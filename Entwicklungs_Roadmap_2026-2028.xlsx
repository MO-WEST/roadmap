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687" documentId="11_EB6ACB005E5775DD0CCABAE49DF366E03E2A3DD7" xr6:coauthVersionLast="47" xr6:coauthVersionMax="47" xr10:uidLastSave="{23913873-FAB8-4B98-828A-35CB67BCF024}"/>
  <bookViews>
    <workbookView xWindow="0" yWindow="0" windowWidth="16384" windowHeight="8192" tabRatio="500" firstSheet="5" activeTab="5" xr2:uid="{00000000-000D-0000-FFFF-FFFF00000000}"/>
  </bookViews>
  <sheets>
    <sheet name="PO-Backlog" sheetId="7" r:id="rId1"/>
    <sheet name="Roadmap2026" sheetId="1" r:id="rId2"/>
    <sheet name="Dashboard2026" sheetId="2" r:id="rId3"/>
    <sheet name="Q12026" sheetId="3" r:id="rId4"/>
    <sheet name="Q22026" sheetId="4" r:id="rId5"/>
    <sheet name="Q32026" sheetId="5" r:id="rId6"/>
    <sheet name="Q42026" sheetId="6" r:id="rId7"/>
    <sheet name="DATA2026" sheetId="8" state="hidden" r:id="rId8"/>
    <sheet name="PO-Backlog2027" sheetId="15" state="hidden" r:id="rId9"/>
    <sheet name="Roadmap2027" sheetId="9" r:id="rId10"/>
    <sheet name="Dashboard2027" sheetId="10" r:id="rId11"/>
    <sheet name="Q12027" sheetId="11" r:id="rId12"/>
    <sheet name="Q22027" sheetId="12" r:id="rId13"/>
    <sheet name="Q32027" sheetId="13" r:id="rId14"/>
    <sheet name="Q42027" sheetId="14" r:id="rId15"/>
    <sheet name="DATA2027" sheetId="16" state="hidden" r:id="rId16"/>
    <sheet name="PO-Backlog2028" sheetId="23" state="hidden" r:id="rId17"/>
    <sheet name="Roadmap2028" sheetId="17" state="hidden" r:id="rId18"/>
    <sheet name="Dashboard2028" sheetId="18" state="hidden" r:id="rId19"/>
    <sheet name="Q12028" sheetId="19" state="hidden" r:id="rId20"/>
    <sheet name="Q22028" sheetId="20" state="hidden" r:id="rId21"/>
    <sheet name="Q32028" sheetId="21" state="hidden" r:id="rId22"/>
    <sheet name="Q42028" sheetId="22" state="hidden" r:id="rId23"/>
    <sheet name="DATA2028" sheetId="24" state="hidden" r:id="rId2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4" i="1" l="1"/>
  <c r="H27" i="5"/>
  <c r="H26" i="5"/>
  <c r="H25" i="5"/>
  <c r="H24" i="5"/>
  <c r="H23" i="5"/>
  <c r="H22" i="5"/>
  <c r="H401" i="24"/>
  <c r="G401" i="24"/>
  <c r="F401" i="24"/>
  <c r="E401" i="24"/>
  <c r="D401" i="24"/>
  <c r="C401" i="24"/>
  <c r="B401" i="24"/>
  <c r="A401" i="24"/>
  <c r="H400" i="24"/>
  <c r="G400" i="24"/>
  <c r="F400" i="24"/>
  <c r="E400" i="24"/>
  <c r="D400" i="24"/>
  <c r="C400" i="24"/>
  <c r="B400" i="24"/>
  <c r="A400" i="24"/>
  <c r="H399" i="24"/>
  <c r="G399" i="24"/>
  <c r="F399" i="24"/>
  <c r="E399" i="24"/>
  <c r="D399" i="24"/>
  <c r="C399" i="24"/>
  <c r="B399" i="24"/>
  <c r="A399" i="24"/>
  <c r="H398" i="24"/>
  <c r="G398" i="24"/>
  <c r="F398" i="24"/>
  <c r="E398" i="24"/>
  <c r="D398" i="24"/>
  <c r="C398" i="24"/>
  <c r="B398" i="24"/>
  <c r="A398" i="24"/>
  <c r="H397" i="24"/>
  <c r="G397" i="24"/>
  <c r="F397" i="24"/>
  <c r="E397" i="24"/>
  <c r="D397" i="24"/>
  <c r="C397" i="24"/>
  <c r="B397" i="24"/>
  <c r="A397" i="24"/>
  <c r="H396" i="24"/>
  <c r="G396" i="24"/>
  <c r="F396" i="24"/>
  <c r="E396" i="24"/>
  <c r="D396" i="24"/>
  <c r="C396" i="24"/>
  <c r="B396" i="24"/>
  <c r="A396" i="24"/>
  <c r="H395" i="24"/>
  <c r="G395" i="24"/>
  <c r="F395" i="24"/>
  <c r="E395" i="24"/>
  <c r="D395" i="24"/>
  <c r="C395" i="24"/>
  <c r="B395" i="24"/>
  <c r="A395" i="24"/>
  <c r="H394" i="24"/>
  <c r="G394" i="24"/>
  <c r="F394" i="24"/>
  <c r="E394" i="24"/>
  <c r="D394" i="24"/>
  <c r="C394" i="24"/>
  <c r="B394" i="24"/>
  <c r="A394" i="24"/>
  <c r="H393" i="24"/>
  <c r="G393" i="24"/>
  <c r="F393" i="24"/>
  <c r="E393" i="24"/>
  <c r="D393" i="24"/>
  <c r="C393" i="24"/>
  <c r="B393" i="24"/>
  <c r="A393" i="24"/>
  <c r="H392" i="24"/>
  <c r="G392" i="24"/>
  <c r="F392" i="24"/>
  <c r="E392" i="24"/>
  <c r="D392" i="24"/>
  <c r="C392" i="24"/>
  <c r="B392" i="24"/>
  <c r="A392" i="24"/>
  <c r="H391" i="24"/>
  <c r="G391" i="24"/>
  <c r="F391" i="24"/>
  <c r="E391" i="24"/>
  <c r="D391" i="24"/>
  <c r="C391" i="24"/>
  <c r="B391" i="24"/>
  <c r="A391" i="24"/>
  <c r="H390" i="24"/>
  <c r="G390" i="24"/>
  <c r="F390" i="24"/>
  <c r="E390" i="24"/>
  <c r="D390" i="24"/>
  <c r="C390" i="24"/>
  <c r="B390" i="24"/>
  <c r="A390" i="24"/>
  <c r="H389" i="24"/>
  <c r="G389" i="24"/>
  <c r="F389" i="24"/>
  <c r="E389" i="24"/>
  <c r="D389" i="24"/>
  <c r="C389" i="24"/>
  <c r="B389" i="24"/>
  <c r="A389" i="24"/>
  <c r="H388" i="24"/>
  <c r="G388" i="24"/>
  <c r="F388" i="24"/>
  <c r="E388" i="24"/>
  <c r="D388" i="24"/>
  <c r="C388" i="24"/>
  <c r="B388" i="24"/>
  <c r="A388" i="24"/>
  <c r="H387" i="24"/>
  <c r="G387" i="24"/>
  <c r="F387" i="24"/>
  <c r="E387" i="24"/>
  <c r="D387" i="24"/>
  <c r="C387" i="24"/>
  <c r="B387" i="24"/>
  <c r="A387" i="24"/>
  <c r="H386" i="24"/>
  <c r="G386" i="24"/>
  <c r="F386" i="24"/>
  <c r="E386" i="24"/>
  <c r="D386" i="24"/>
  <c r="C386" i="24"/>
  <c r="B386" i="24"/>
  <c r="A386" i="24"/>
  <c r="H385" i="24"/>
  <c r="G385" i="24"/>
  <c r="F385" i="24"/>
  <c r="E385" i="24"/>
  <c r="D385" i="24"/>
  <c r="C385" i="24"/>
  <c r="B385" i="24"/>
  <c r="A385" i="24"/>
  <c r="H384" i="24"/>
  <c r="G384" i="24"/>
  <c r="F384" i="24"/>
  <c r="E384" i="24"/>
  <c r="D384" i="24"/>
  <c r="C384" i="24"/>
  <c r="B384" i="24"/>
  <c r="A384" i="24"/>
  <c r="H383" i="24"/>
  <c r="G383" i="24"/>
  <c r="F383" i="24"/>
  <c r="E383" i="24"/>
  <c r="D383" i="24"/>
  <c r="C383" i="24"/>
  <c r="B383" i="24"/>
  <c r="A383" i="24"/>
  <c r="H382" i="24"/>
  <c r="G382" i="24"/>
  <c r="F382" i="24"/>
  <c r="E382" i="24"/>
  <c r="D382" i="24"/>
  <c r="C382" i="24"/>
  <c r="B382" i="24"/>
  <c r="A382" i="24"/>
  <c r="H381" i="24"/>
  <c r="G381" i="24"/>
  <c r="F381" i="24"/>
  <c r="E381" i="24"/>
  <c r="D381" i="24"/>
  <c r="C381" i="24"/>
  <c r="B381" i="24"/>
  <c r="A381" i="24"/>
  <c r="H380" i="24"/>
  <c r="G380" i="24"/>
  <c r="F380" i="24"/>
  <c r="E380" i="24"/>
  <c r="D380" i="24"/>
  <c r="C380" i="24"/>
  <c r="B380" i="24"/>
  <c r="A380" i="24"/>
  <c r="H379" i="24"/>
  <c r="G379" i="24"/>
  <c r="F379" i="24"/>
  <c r="E379" i="24"/>
  <c r="D379" i="24"/>
  <c r="C379" i="24"/>
  <c r="B379" i="24"/>
  <c r="A379" i="24"/>
  <c r="H378" i="24"/>
  <c r="G378" i="24"/>
  <c r="F378" i="24"/>
  <c r="E378" i="24"/>
  <c r="D378" i="24"/>
  <c r="C378" i="24"/>
  <c r="B378" i="24"/>
  <c r="A378" i="24"/>
  <c r="H377" i="24"/>
  <c r="G377" i="24"/>
  <c r="F377" i="24"/>
  <c r="E377" i="24"/>
  <c r="D377" i="24"/>
  <c r="C377" i="24"/>
  <c r="B377" i="24"/>
  <c r="A377" i="24"/>
  <c r="H376" i="24"/>
  <c r="G376" i="24"/>
  <c r="F376" i="24"/>
  <c r="E376" i="24"/>
  <c r="D376" i="24"/>
  <c r="C376" i="24"/>
  <c r="B376" i="24"/>
  <c r="A376" i="24"/>
  <c r="H375" i="24"/>
  <c r="G375" i="24"/>
  <c r="F375" i="24"/>
  <c r="E375" i="24"/>
  <c r="D375" i="24"/>
  <c r="C375" i="24"/>
  <c r="B375" i="24"/>
  <c r="A375" i="24"/>
  <c r="H374" i="24"/>
  <c r="G374" i="24"/>
  <c r="F374" i="24"/>
  <c r="E374" i="24"/>
  <c r="D374" i="24"/>
  <c r="C374" i="24"/>
  <c r="B374" i="24"/>
  <c r="A374" i="24"/>
  <c r="H373" i="24"/>
  <c r="G373" i="24"/>
  <c r="F373" i="24"/>
  <c r="E373" i="24"/>
  <c r="D373" i="24"/>
  <c r="C373" i="24"/>
  <c r="B373" i="24"/>
  <c r="A373" i="24"/>
  <c r="H372" i="24"/>
  <c r="G372" i="24"/>
  <c r="F372" i="24"/>
  <c r="E372" i="24"/>
  <c r="D372" i="24"/>
  <c r="C372" i="24"/>
  <c r="B372" i="24"/>
  <c r="A372" i="24"/>
  <c r="H371" i="24"/>
  <c r="G371" i="24"/>
  <c r="F371" i="24"/>
  <c r="E371" i="24"/>
  <c r="D371" i="24"/>
  <c r="C371" i="24"/>
  <c r="B371" i="24"/>
  <c r="A371" i="24"/>
  <c r="H370" i="24"/>
  <c r="G370" i="24"/>
  <c r="F370" i="24"/>
  <c r="E370" i="24"/>
  <c r="D370" i="24"/>
  <c r="C370" i="24"/>
  <c r="B370" i="24"/>
  <c r="A370" i="24"/>
  <c r="H369" i="24"/>
  <c r="G369" i="24"/>
  <c r="F369" i="24"/>
  <c r="E369" i="24"/>
  <c r="D369" i="24"/>
  <c r="C369" i="24"/>
  <c r="B369" i="24"/>
  <c r="A369" i="24"/>
  <c r="H368" i="24"/>
  <c r="G368" i="24"/>
  <c r="F368" i="24"/>
  <c r="E368" i="24"/>
  <c r="D368" i="24"/>
  <c r="C368" i="24"/>
  <c r="B368" i="24"/>
  <c r="A368" i="24"/>
  <c r="H367" i="24"/>
  <c r="G367" i="24"/>
  <c r="F367" i="24"/>
  <c r="E367" i="24"/>
  <c r="D367" i="24"/>
  <c r="C367" i="24"/>
  <c r="B367" i="24"/>
  <c r="A367" i="24"/>
  <c r="H366" i="24"/>
  <c r="G366" i="24"/>
  <c r="F366" i="24"/>
  <c r="E366" i="24"/>
  <c r="D366" i="24"/>
  <c r="C366" i="24"/>
  <c r="B366" i="24"/>
  <c r="A366" i="24"/>
  <c r="H365" i="24"/>
  <c r="G365" i="24"/>
  <c r="F365" i="24"/>
  <c r="E365" i="24"/>
  <c r="D365" i="24"/>
  <c r="C365" i="24"/>
  <c r="B365" i="24"/>
  <c r="A365" i="24"/>
  <c r="H364" i="24"/>
  <c r="G364" i="24"/>
  <c r="F364" i="24"/>
  <c r="E364" i="24"/>
  <c r="D364" i="24"/>
  <c r="C364" i="24"/>
  <c r="B364" i="24"/>
  <c r="A364" i="24"/>
  <c r="H363" i="24"/>
  <c r="G363" i="24"/>
  <c r="F363" i="24"/>
  <c r="E363" i="24"/>
  <c r="D363" i="24"/>
  <c r="C363" i="24"/>
  <c r="B363" i="24"/>
  <c r="A363" i="24"/>
  <c r="H362" i="24"/>
  <c r="G362" i="24"/>
  <c r="F362" i="24"/>
  <c r="E362" i="24"/>
  <c r="D362" i="24"/>
  <c r="C362" i="24"/>
  <c r="B362" i="24"/>
  <c r="A362" i="24"/>
  <c r="H361" i="24"/>
  <c r="G361" i="24"/>
  <c r="F361" i="24"/>
  <c r="E361" i="24"/>
  <c r="D361" i="24"/>
  <c r="C361" i="24"/>
  <c r="B361" i="24"/>
  <c r="A361" i="24"/>
  <c r="H360" i="24"/>
  <c r="G360" i="24"/>
  <c r="F360" i="24"/>
  <c r="E360" i="24"/>
  <c r="D360" i="24"/>
  <c r="C360" i="24"/>
  <c r="B360" i="24"/>
  <c r="A360" i="24"/>
  <c r="H359" i="24"/>
  <c r="G359" i="24"/>
  <c r="F359" i="24"/>
  <c r="E359" i="24"/>
  <c r="D359" i="24"/>
  <c r="C359" i="24"/>
  <c r="B359" i="24"/>
  <c r="A359" i="24"/>
  <c r="H358" i="24"/>
  <c r="G358" i="24"/>
  <c r="F358" i="24"/>
  <c r="E358" i="24"/>
  <c r="D358" i="24"/>
  <c r="C358" i="24"/>
  <c r="B358" i="24"/>
  <c r="A358" i="24"/>
  <c r="H357" i="24"/>
  <c r="G357" i="24"/>
  <c r="F357" i="24"/>
  <c r="E357" i="24"/>
  <c r="D357" i="24"/>
  <c r="C357" i="24"/>
  <c r="B357" i="24"/>
  <c r="A357" i="24"/>
  <c r="H356" i="24"/>
  <c r="G356" i="24"/>
  <c r="F356" i="24"/>
  <c r="E356" i="24"/>
  <c r="D356" i="24"/>
  <c r="C356" i="24"/>
  <c r="B356" i="24"/>
  <c r="A356" i="24"/>
  <c r="H355" i="24"/>
  <c r="G355" i="24"/>
  <c r="F355" i="24"/>
  <c r="E355" i="24"/>
  <c r="D355" i="24"/>
  <c r="C355" i="24"/>
  <c r="B355" i="24"/>
  <c r="A355" i="24"/>
  <c r="H354" i="24"/>
  <c r="G354" i="24"/>
  <c r="F354" i="24"/>
  <c r="E354" i="24"/>
  <c r="D354" i="24"/>
  <c r="C354" i="24"/>
  <c r="B354" i="24"/>
  <c r="A354" i="24"/>
  <c r="H353" i="24"/>
  <c r="G353" i="24"/>
  <c r="F353" i="24"/>
  <c r="E353" i="24"/>
  <c r="D353" i="24"/>
  <c r="C353" i="24"/>
  <c r="B353" i="24"/>
  <c r="A353" i="24"/>
  <c r="H352" i="24"/>
  <c r="G352" i="24"/>
  <c r="F352" i="24"/>
  <c r="E352" i="24"/>
  <c r="D352" i="24"/>
  <c r="C352" i="24"/>
  <c r="B352" i="24"/>
  <c r="A352" i="24"/>
  <c r="H351" i="24"/>
  <c r="G351" i="24"/>
  <c r="F351" i="24"/>
  <c r="E351" i="24"/>
  <c r="D351" i="24"/>
  <c r="C351" i="24"/>
  <c r="B351" i="24"/>
  <c r="A351" i="24"/>
  <c r="H350" i="24"/>
  <c r="G350" i="24"/>
  <c r="F350" i="24"/>
  <c r="E350" i="24"/>
  <c r="D350" i="24"/>
  <c r="C350" i="24"/>
  <c r="B350" i="24"/>
  <c r="A350" i="24"/>
  <c r="H349" i="24"/>
  <c r="G349" i="24"/>
  <c r="F349" i="24"/>
  <c r="E349" i="24"/>
  <c r="D349" i="24"/>
  <c r="C349" i="24"/>
  <c r="B349" i="24"/>
  <c r="A349" i="24"/>
  <c r="H348" i="24"/>
  <c r="G348" i="24"/>
  <c r="F348" i="24"/>
  <c r="E348" i="24"/>
  <c r="D348" i="24"/>
  <c r="C348" i="24"/>
  <c r="B348" i="24"/>
  <c r="A348" i="24"/>
  <c r="H347" i="24"/>
  <c r="G347" i="24"/>
  <c r="F347" i="24"/>
  <c r="E347" i="24"/>
  <c r="D347" i="24"/>
  <c r="C347" i="24"/>
  <c r="B347" i="24"/>
  <c r="A347" i="24"/>
  <c r="H346" i="24"/>
  <c r="G346" i="24"/>
  <c r="F346" i="24"/>
  <c r="E346" i="24"/>
  <c r="D346" i="24"/>
  <c r="C346" i="24"/>
  <c r="B346" i="24"/>
  <c r="A346" i="24"/>
  <c r="H345" i="24"/>
  <c r="G345" i="24"/>
  <c r="F345" i="24"/>
  <c r="E345" i="24"/>
  <c r="D345" i="24"/>
  <c r="C345" i="24"/>
  <c r="B345" i="24"/>
  <c r="A345" i="24"/>
  <c r="H344" i="24"/>
  <c r="G344" i="24"/>
  <c r="F344" i="24"/>
  <c r="E344" i="24"/>
  <c r="D344" i="24"/>
  <c r="C344" i="24"/>
  <c r="B344" i="24"/>
  <c r="A344" i="24"/>
  <c r="H343" i="24"/>
  <c r="G343" i="24"/>
  <c r="F343" i="24"/>
  <c r="E343" i="24"/>
  <c r="D343" i="24"/>
  <c r="C343" i="24"/>
  <c r="B343" i="24"/>
  <c r="A343" i="24"/>
  <c r="H342" i="24"/>
  <c r="G342" i="24"/>
  <c r="F342" i="24"/>
  <c r="E342" i="24"/>
  <c r="D342" i="24"/>
  <c r="C342" i="24"/>
  <c r="B342" i="24"/>
  <c r="A342" i="24"/>
  <c r="H341" i="24"/>
  <c r="G341" i="24"/>
  <c r="F341" i="24"/>
  <c r="E341" i="24"/>
  <c r="D341" i="24"/>
  <c r="C341" i="24"/>
  <c r="B341" i="24"/>
  <c r="A341" i="24"/>
  <c r="H340" i="24"/>
  <c r="G340" i="24"/>
  <c r="F340" i="24"/>
  <c r="E340" i="24"/>
  <c r="D340" i="24"/>
  <c r="C340" i="24"/>
  <c r="B340" i="24"/>
  <c r="A340" i="24"/>
  <c r="H339" i="24"/>
  <c r="G339" i="24"/>
  <c r="F339" i="24"/>
  <c r="E339" i="24"/>
  <c r="D339" i="24"/>
  <c r="C339" i="24"/>
  <c r="B339" i="24"/>
  <c r="A339" i="24"/>
  <c r="H338" i="24"/>
  <c r="G338" i="24"/>
  <c r="F338" i="24"/>
  <c r="E338" i="24"/>
  <c r="D338" i="24"/>
  <c r="C338" i="24"/>
  <c r="B338" i="24"/>
  <c r="A338" i="24"/>
  <c r="H337" i="24"/>
  <c r="G337" i="24"/>
  <c r="F337" i="24"/>
  <c r="E337" i="24"/>
  <c r="D337" i="24"/>
  <c r="C337" i="24"/>
  <c r="B337" i="24"/>
  <c r="A337" i="24"/>
  <c r="H336" i="24"/>
  <c r="G336" i="24"/>
  <c r="F336" i="24"/>
  <c r="E336" i="24"/>
  <c r="D336" i="24"/>
  <c r="C336" i="24"/>
  <c r="B336" i="24"/>
  <c r="A336" i="24"/>
  <c r="H335" i="24"/>
  <c r="G335" i="24"/>
  <c r="F335" i="24"/>
  <c r="E335" i="24"/>
  <c r="D335" i="24"/>
  <c r="C335" i="24"/>
  <c r="B335" i="24"/>
  <c r="A335" i="24"/>
  <c r="H334" i="24"/>
  <c r="G334" i="24"/>
  <c r="F334" i="24"/>
  <c r="E334" i="24"/>
  <c r="D334" i="24"/>
  <c r="C334" i="24"/>
  <c r="B334" i="24"/>
  <c r="A334" i="24"/>
  <c r="H333" i="24"/>
  <c r="G333" i="24"/>
  <c r="F333" i="24"/>
  <c r="E333" i="24"/>
  <c r="D333" i="24"/>
  <c r="C333" i="24"/>
  <c r="B333" i="24"/>
  <c r="A333" i="24"/>
  <c r="H332" i="24"/>
  <c r="G332" i="24"/>
  <c r="F332" i="24"/>
  <c r="E332" i="24"/>
  <c r="D332" i="24"/>
  <c r="C332" i="24"/>
  <c r="B332" i="24"/>
  <c r="A332" i="24"/>
  <c r="H331" i="24"/>
  <c r="G331" i="24"/>
  <c r="F331" i="24"/>
  <c r="E331" i="24"/>
  <c r="D331" i="24"/>
  <c r="C331" i="24"/>
  <c r="B331" i="24"/>
  <c r="A331" i="24"/>
  <c r="H330" i="24"/>
  <c r="G330" i="24"/>
  <c r="F330" i="24"/>
  <c r="E330" i="24"/>
  <c r="D330" i="24"/>
  <c r="C330" i="24"/>
  <c r="B330" i="24"/>
  <c r="A330" i="24"/>
  <c r="H329" i="24"/>
  <c r="G329" i="24"/>
  <c r="F329" i="24"/>
  <c r="E329" i="24"/>
  <c r="D329" i="24"/>
  <c r="C329" i="24"/>
  <c r="B329" i="24"/>
  <c r="A329" i="24"/>
  <c r="H328" i="24"/>
  <c r="G328" i="24"/>
  <c r="F328" i="24"/>
  <c r="E328" i="24"/>
  <c r="D328" i="24"/>
  <c r="C328" i="24"/>
  <c r="B328" i="24"/>
  <c r="A328" i="24"/>
  <c r="H327" i="24"/>
  <c r="G327" i="24"/>
  <c r="F327" i="24"/>
  <c r="E327" i="24"/>
  <c r="D327" i="24"/>
  <c r="C327" i="24"/>
  <c r="B327" i="24"/>
  <c r="A327" i="24"/>
  <c r="H326" i="24"/>
  <c r="G326" i="24"/>
  <c r="F326" i="24"/>
  <c r="E326" i="24"/>
  <c r="D326" i="24"/>
  <c r="C326" i="24"/>
  <c r="B326" i="24"/>
  <c r="A326" i="24"/>
  <c r="H325" i="24"/>
  <c r="G325" i="24"/>
  <c r="F325" i="24"/>
  <c r="E325" i="24"/>
  <c r="D325" i="24"/>
  <c r="C325" i="24"/>
  <c r="B325" i="24"/>
  <c r="A325" i="24"/>
  <c r="H324" i="24"/>
  <c r="G324" i="24"/>
  <c r="F324" i="24"/>
  <c r="E324" i="24"/>
  <c r="D324" i="24"/>
  <c r="C324" i="24"/>
  <c r="B324" i="24"/>
  <c r="A324" i="24"/>
  <c r="H323" i="24"/>
  <c r="G323" i="24"/>
  <c r="F323" i="24"/>
  <c r="E323" i="24"/>
  <c r="D323" i="24"/>
  <c r="C323" i="24"/>
  <c r="B323" i="24"/>
  <c r="A323" i="24"/>
  <c r="H322" i="24"/>
  <c r="G322" i="24"/>
  <c r="F322" i="24"/>
  <c r="E322" i="24"/>
  <c r="D322" i="24"/>
  <c r="C322" i="24"/>
  <c r="B322" i="24"/>
  <c r="A322" i="24"/>
  <c r="H321" i="24"/>
  <c r="G321" i="24"/>
  <c r="F321" i="24"/>
  <c r="E321" i="24"/>
  <c r="D321" i="24"/>
  <c r="C321" i="24"/>
  <c r="B321" i="24"/>
  <c r="A321" i="24"/>
  <c r="H320" i="24"/>
  <c r="G320" i="24"/>
  <c r="F320" i="24"/>
  <c r="E320" i="24"/>
  <c r="D320" i="24"/>
  <c r="C320" i="24"/>
  <c r="B320" i="24"/>
  <c r="A320" i="24"/>
  <c r="H319" i="24"/>
  <c r="G319" i="24"/>
  <c r="F319" i="24"/>
  <c r="E319" i="24"/>
  <c r="D319" i="24"/>
  <c r="C319" i="24"/>
  <c r="B319" i="24"/>
  <c r="A319" i="24"/>
  <c r="H318" i="24"/>
  <c r="G318" i="24"/>
  <c r="F318" i="24"/>
  <c r="E318" i="24"/>
  <c r="D318" i="24"/>
  <c r="C318" i="24"/>
  <c r="B318" i="24"/>
  <c r="A318" i="24"/>
  <c r="H317" i="24"/>
  <c r="G317" i="24"/>
  <c r="F317" i="24"/>
  <c r="E317" i="24"/>
  <c r="D317" i="24"/>
  <c r="C317" i="24"/>
  <c r="B317" i="24"/>
  <c r="A317" i="24"/>
  <c r="H316" i="24"/>
  <c r="G316" i="24"/>
  <c r="F316" i="24"/>
  <c r="E316" i="24"/>
  <c r="D316" i="24"/>
  <c r="C316" i="24"/>
  <c r="B316" i="24"/>
  <c r="A316" i="24"/>
  <c r="H315" i="24"/>
  <c r="G315" i="24"/>
  <c r="F315" i="24"/>
  <c r="E315" i="24"/>
  <c r="D315" i="24"/>
  <c r="C315" i="24"/>
  <c r="B315" i="24"/>
  <c r="A315" i="24"/>
  <c r="H314" i="24"/>
  <c r="G314" i="24"/>
  <c r="F314" i="24"/>
  <c r="E314" i="24"/>
  <c r="D314" i="24"/>
  <c r="C314" i="24"/>
  <c r="B314" i="24"/>
  <c r="A314" i="24"/>
  <c r="H313" i="24"/>
  <c r="G313" i="24"/>
  <c r="F313" i="24"/>
  <c r="E313" i="24"/>
  <c r="D313" i="24"/>
  <c r="C313" i="24"/>
  <c r="B313" i="24"/>
  <c r="A313" i="24"/>
  <c r="H312" i="24"/>
  <c r="G312" i="24"/>
  <c r="F312" i="24"/>
  <c r="E312" i="24"/>
  <c r="D312" i="24"/>
  <c r="C312" i="24"/>
  <c r="B312" i="24"/>
  <c r="A312" i="24"/>
  <c r="H311" i="24"/>
  <c r="G311" i="24"/>
  <c r="F311" i="24"/>
  <c r="E311" i="24"/>
  <c r="D311" i="24"/>
  <c r="C311" i="24"/>
  <c r="B311" i="24"/>
  <c r="A311" i="24"/>
  <c r="H310" i="24"/>
  <c r="G310" i="24"/>
  <c r="F310" i="24"/>
  <c r="E310" i="24"/>
  <c r="D310" i="24"/>
  <c r="C310" i="24"/>
  <c r="B310" i="24"/>
  <c r="A310" i="24"/>
  <c r="H309" i="24"/>
  <c r="G309" i="24"/>
  <c r="F309" i="24"/>
  <c r="E309" i="24"/>
  <c r="D309" i="24"/>
  <c r="C309" i="24"/>
  <c r="B309" i="24"/>
  <c r="A309" i="24"/>
  <c r="H308" i="24"/>
  <c r="G308" i="24"/>
  <c r="F308" i="24"/>
  <c r="E308" i="24"/>
  <c r="D308" i="24"/>
  <c r="C308" i="24"/>
  <c r="B308" i="24"/>
  <c r="A308" i="24"/>
  <c r="H307" i="24"/>
  <c r="G307" i="24"/>
  <c r="F307" i="24"/>
  <c r="E307" i="24"/>
  <c r="D307" i="24"/>
  <c r="C307" i="24"/>
  <c r="B307" i="24"/>
  <c r="A307" i="24"/>
  <c r="H306" i="24"/>
  <c r="G306" i="24"/>
  <c r="F306" i="24"/>
  <c r="E306" i="24"/>
  <c r="D306" i="24"/>
  <c r="C306" i="24"/>
  <c r="B306" i="24"/>
  <c r="A306" i="24"/>
  <c r="H305" i="24"/>
  <c r="G305" i="24"/>
  <c r="F305" i="24"/>
  <c r="E305" i="24"/>
  <c r="D305" i="24"/>
  <c r="C305" i="24"/>
  <c r="B305" i="24"/>
  <c r="A305" i="24"/>
  <c r="H304" i="24"/>
  <c r="G304" i="24"/>
  <c r="F304" i="24"/>
  <c r="E304" i="24"/>
  <c r="D304" i="24"/>
  <c r="C304" i="24"/>
  <c r="B304" i="24"/>
  <c r="A304" i="24"/>
  <c r="H303" i="24"/>
  <c r="G303" i="24"/>
  <c r="F303" i="24"/>
  <c r="E303" i="24"/>
  <c r="D303" i="24"/>
  <c r="C303" i="24"/>
  <c r="B303" i="24"/>
  <c r="A303" i="24"/>
  <c r="H302" i="24"/>
  <c r="G302" i="24"/>
  <c r="F302" i="24"/>
  <c r="E302" i="24"/>
  <c r="D302" i="24"/>
  <c r="C302" i="24"/>
  <c r="B302" i="24"/>
  <c r="A302" i="24"/>
  <c r="H301" i="24"/>
  <c r="G301" i="24"/>
  <c r="F301" i="24"/>
  <c r="E301" i="24"/>
  <c r="D301" i="24"/>
  <c r="C301" i="24"/>
  <c r="B301" i="24"/>
  <c r="A301" i="24"/>
  <c r="H300" i="24"/>
  <c r="G300" i="24"/>
  <c r="F300" i="24"/>
  <c r="E300" i="24"/>
  <c r="D300" i="24"/>
  <c r="C300" i="24"/>
  <c r="B300" i="24"/>
  <c r="A300" i="24"/>
  <c r="H299" i="24"/>
  <c r="G299" i="24"/>
  <c r="F299" i="24"/>
  <c r="E299" i="24"/>
  <c r="D299" i="24"/>
  <c r="C299" i="24"/>
  <c r="B299" i="24"/>
  <c r="A299" i="24"/>
  <c r="H298" i="24"/>
  <c r="G298" i="24"/>
  <c r="F298" i="24"/>
  <c r="E298" i="24"/>
  <c r="D298" i="24"/>
  <c r="C298" i="24"/>
  <c r="B298" i="24"/>
  <c r="A298" i="24"/>
  <c r="H297" i="24"/>
  <c r="G297" i="24"/>
  <c r="F297" i="24"/>
  <c r="E297" i="24"/>
  <c r="D297" i="24"/>
  <c r="C297" i="24"/>
  <c r="B297" i="24"/>
  <c r="A297" i="24"/>
  <c r="H296" i="24"/>
  <c r="G296" i="24"/>
  <c r="F296" i="24"/>
  <c r="E296" i="24"/>
  <c r="D296" i="24"/>
  <c r="C296" i="24"/>
  <c r="B296" i="24"/>
  <c r="A296" i="24"/>
  <c r="H295" i="24"/>
  <c r="G295" i="24"/>
  <c r="F295" i="24"/>
  <c r="E295" i="24"/>
  <c r="D295" i="24"/>
  <c r="C295" i="24"/>
  <c r="B295" i="24"/>
  <c r="A295" i="24"/>
  <c r="H294" i="24"/>
  <c r="G294" i="24"/>
  <c r="F294" i="24"/>
  <c r="E294" i="24"/>
  <c r="D294" i="24"/>
  <c r="C294" i="24"/>
  <c r="B294" i="24"/>
  <c r="A294" i="24"/>
  <c r="H293" i="24"/>
  <c r="G293" i="24"/>
  <c r="F293" i="24"/>
  <c r="E293" i="24"/>
  <c r="D293" i="24"/>
  <c r="C293" i="24"/>
  <c r="B293" i="24"/>
  <c r="A293" i="24"/>
  <c r="H292" i="24"/>
  <c r="G292" i="24"/>
  <c r="F292" i="24"/>
  <c r="E292" i="24"/>
  <c r="D292" i="24"/>
  <c r="C292" i="24"/>
  <c r="B292" i="24"/>
  <c r="A292" i="24"/>
  <c r="H291" i="24"/>
  <c r="G291" i="24"/>
  <c r="F291" i="24"/>
  <c r="E291" i="24"/>
  <c r="D291" i="24"/>
  <c r="C291" i="24"/>
  <c r="B291" i="24"/>
  <c r="A291" i="24"/>
  <c r="H290" i="24"/>
  <c r="G290" i="24"/>
  <c r="F290" i="24"/>
  <c r="E290" i="24"/>
  <c r="D290" i="24"/>
  <c r="C290" i="24"/>
  <c r="B290" i="24"/>
  <c r="A290" i="24"/>
  <c r="H289" i="24"/>
  <c r="G289" i="24"/>
  <c r="F289" i="24"/>
  <c r="E289" i="24"/>
  <c r="D289" i="24"/>
  <c r="C289" i="24"/>
  <c r="B289" i="24"/>
  <c r="A289" i="24"/>
  <c r="H288" i="24"/>
  <c r="G288" i="24"/>
  <c r="F288" i="24"/>
  <c r="E288" i="24"/>
  <c r="D288" i="24"/>
  <c r="C288" i="24"/>
  <c r="B288" i="24"/>
  <c r="A288" i="24"/>
  <c r="H287" i="24"/>
  <c r="G287" i="24"/>
  <c r="F287" i="24"/>
  <c r="E287" i="24"/>
  <c r="D287" i="24"/>
  <c r="C287" i="24"/>
  <c r="B287" i="24"/>
  <c r="A287" i="24"/>
  <c r="H286" i="24"/>
  <c r="G286" i="24"/>
  <c r="F286" i="24"/>
  <c r="E286" i="24"/>
  <c r="D286" i="24"/>
  <c r="C286" i="24"/>
  <c r="B286" i="24"/>
  <c r="A286" i="24"/>
  <c r="H285" i="24"/>
  <c r="G285" i="24"/>
  <c r="F285" i="24"/>
  <c r="E285" i="24"/>
  <c r="D285" i="24"/>
  <c r="C285" i="24"/>
  <c r="B285" i="24"/>
  <c r="A285" i="24"/>
  <c r="H284" i="24"/>
  <c r="G284" i="24"/>
  <c r="F284" i="24"/>
  <c r="E284" i="24"/>
  <c r="D284" i="24"/>
  <c r="C284" i="24"/>
  <c r="B284" i="24"/>
  <c r="A284" i="24"/>
  <c r="H283" i="24"/>
  <c r="G283" i="24"/>
  <c r="F283" i="24"/>
  <c r="E283" i="24"/>
  <c r="D283" i="24"/>
  <c r="C283" i="24"/>
  <c r="B283" i="24"/>
  <c r="A283" i="24"/>
  <c r="H282" i="24"/>
  <c r="G282" i="24"/>
  <c r="F282" i="24"/>
  <c r="E282" i="24"/>
  <c r="D282" i="24"/>
  <c r="C282" i="24"/>
  <c r="B282" i="24"/>
  <c r="A282" i="24"/>
  <c r="H281" i="24"/>
  <c r="G281" i="24"/>
  <c r="F281" i="24"/>
  <c r="E281" i="24"/>
  <c r="D281" i="24"/>
  <c r="C281" i="24"/>
  <c r="B281" i="24"/>
  <c r="A281" i="24"/>
  <c r="H280" i="24"/>
  <c r="G280" i="24"/>
  <c r="F280" i="24"/>
  <c r="E280" i="24"/>
  <c r="D280" i="24"/>
  <c r="C280" i="24"/>
  <c r="B280" i="24"/>
  <c r="A280" i="24"/>
  <c r="H279" i="24"/>
  <c r="G279" i="24"/>
  <c r="F279" i="24"/>
  <c r="E279" i="24"/>
  <c r="D279" i="24"/>
  <c r="C279" i="24"/>
  <c r="B279" i="24"/>
  <c r="A279" i="24"/>
  <c r="H278" i="24"/>
  <c r="G278" i="24"/>
  <c r="F278" i="24"/>
  <c r="E278" i="24"/>
  <c r="D278" i="24"/>
  <c r="C278" i="24"/>
  <c r="B278" i="24"/>
  <c r="A278" i="24"/>
  <c r="H277" i="24"/>
  <c r="G277" i="24"/>
  <c r="F277" i="24"/>
  <c r="E277" i="24"/>
  <c r="D277" i="24"/>
  <c r="C277" i="24"/>
  <c r="B277" i="24"/>
  <c r="A277" i="24"/>
  <c r="H276" i="24"/>
  <c r="G276" i="24"/>
  <c r="F276" i="24"/>
  <c r="E276" i="24"/>
  <c r="D276" i="24"/>
  <c r="C276" i="24"/>
  <c r="B276" i="24"/>
  <c r="A276" i="24"/>
  <c r="H275" i="24"/>
  <c r="G275" i="24"/>
  <c r="F275" i="24"/>
  <c r="E275" i="24"/>
  <c r="D275" i="24"/>
  <c r="C275" i="24"/>
  <c r="B275" i="24"/>
  <c r="A275" i="24"/>
  <c r="H274" i="24"/>
  <c r="G274" i="24"/>
  <c r="F274" i="24"/>
  <c r="E274" i="24"/>
  <c r="D274" i="24"/>
  <c r="C274" i="24"/>
  <c r="B274" i="24"/>
  <c r="A274" i="24"/>
  <c r="H273" i="24"/>
  <c r="G273" i="24"/>
  <c r="F273" i="24"/>
  <c r="E273" i="24"/>
  <c r="D273" i="24"/>
  <c r="C273" i="24"/>
  <c r="B273" i="24"/>
  <c r="A273" i="24"/>
  <c r="H272" i="24"/>
  <c r="G272" i="24"/>
  <c r="F272" i="24"/>
  <c r="E272" i="24"/>
  <c r="D272" i="24"/>
  <c r="C272" i="24"/>
  <c r="B272" i="24"/>
  <c r="A272" i="24"/>
  <c r="H271" i="24"/>
  <c r="G271" i="24"/>
  <c r="F271" i="24"/>
  <c r="E271" i="24"/>
  <c r="D271" i="24"/>
  <c r="C271" i="24"/>
  <c r="B271" i="24"/>
  <c r="A271" i="24"/>
  <c r="H270" i="24"/>
  <c r="G270" i="24"/>
  <c r="F270" i="24"/>
  <c r="E270" i="24"/>
  <c r="D270" i="24"/>
  <c r="C270" i="24"/>
  <c r="B270" i="24"/>
  <c r="A270" i="24"/>
  <c r="H269" i="24"/>
  <c r="G269" i="24"/>
  <c r="F269" i="24"/>
  <c r="E269" i="24"/>
  <c r="D269" i="24"/>
  <c r="C269" i="24"/>
  <c r="B269" i="24"/>
  <c r="A269" i="24"/>
  <c r="H268" i="24"/>
  <c r="G268" i="24"/>
  <c r="F268" i="24"/>
  <c r="E268" i="24"/>
  <c r="D268" i="24"/>
  <c r="C268" i="24"/>
  <c r="B268" i="24"/>
  <c r="A268" i="24"/>
  <c r="H267" i="24"/>
  <c r="G267" i="24"/>
  <c r="F267" i="24"/>
  <c r="E267" i="24"/>
  <c r="D267" i="24"/>
  <c r="C267" i="24"/>
  <c r="B267" i="24"/>
  <c r="A267" i="24"/>
  <c r="H266" i="24"/>
  <c r="G266" i="24"/>
  <c r="F266" i="24"/>
  <c r="E266" i="24"/>
  <c r="D266" i="24"/>
  <c r="C266" i="24"/>
  <c r="B266" i="24"/>
  <c r="A266" i="24"/>
  <c r="H265" i="24"/>
  <c r="G265" i="24"/>
  <c r="F265" i="24"/>
  <c r="E265" i="24"/>
  <c r="D265" i="24"/>
  <c r="C265" i="24"/>
  <c r="B265" i="24"/>
  <c r="A265" i="24"/>
  <c r="H264" i="24"/>
  <c r="G264" i="24"/>
  <c r="F264" i="24"/>
  <c r="E264" i="24"/>
  <c r="D264" i="24"/>
  <c r="C264" i="24"/>
  <c r="B264" i="24"/>
  <c r="A264" i="24"/>
  <c r="H263" i="24"/>
  <c r="G263" i="24"/>
  <c r="F263" i="24"/>
  <c r="E263" i="24"/>
  <c r="D263" i="24"/>
  <c r="C263" i="24"/>
  <c r="B263" i="24"/>
  <c r="A263" i="24"/>
  <c r="H262" i="24"/>
  <c r="G262" i="24"/>
  <c r="F262" i="24"/>
  <c r="E262" i="24"/>
  <c r="D262" i="24"/>
  <c r="C262" i="24"/>
  <c r="B262" i="24"/>
  <c r="A262" i="24"/>
  <c r="H261" i="24"/>
  <c r="G261" i="24"/>
  <c r="F261" i="24"/>
  <c r="E261" i="24"/>
  <c r="D261" i="24"/>
  <c r="C261" i="24"/>
  <c r="B261" i="24"/>
  <c r="A261" i="24"/>
  <c r="H260" i="24"/>
  <c r="G260" i="24"/>
  <c r="F260" i="24"/>
  <c r="E260" i="24"/>
  <c r="D260" i="24"/>
  <c r="C260" i="24"/>
  <c r="B260" i="24"/>
  <c r="A260" i="24"/>
  <c r="H259" i="24"/>
  <c r="G259" i="24"/>
  <c r="F259" i="24"/>
  <c r="E259" i="24"/>
  <c r="D259" i="24"/>
  <c r="C259" i="24"/>
  <c r="B259" i="24"/>
  <c r="A259" i="24"/>
  <c r="H258" i="24"/>
  <c r="G258" i="24"/>
  <c r="F258" i="24"/>
  <c r="E258" i="24"/>
  <c r="D258" i="24"/>
  <c r="C258" i="24"/>
  <c r="B258" i="24"/>
  <c r="A258" i="24"/>
  <c r="H257" i="24"/>
  <c r="G257" i="24"/>
  <c r="F257" i="24"/>
  <c r="E257" i="24"/>
  <c r="D257" i="24"/>
  <c r="C257" i="24"/>
  <c r="B257" i="24"/>
  <c r="A257" i="24"/>
  <c r="H256" i="24"/>
  <c r="G256" i="24"/>
  <c r="F256" i="24"/>
  <c r="E256" i="24"/>
  <c r="D256" i="24"/>
  <c r="C256" i="24"/>
  <c r="B256" i="24"/>
  <c r="A256" i="24"/>
  <c r="H255" i="24"/>
  <c r="G255" i="24"/>
  <c r="F255" i="24"/>
  <c r="E255" i="24"/>
  <c r="D255" i="24"/>
  <c r="C255" i="24"/>
  <c r="B255" i="24"/>
  <c r="A255" i="24"/>
  <c r="H254" i="24"/>
  <c r="G254" i="24"/>
  <c r="F254" i="24"/>
  <c r="E254" i="24"/>
  <c r="D254" i="24"/>
  <c r="C254" i="24"/>
  <c r="B254" i="24"/>
  <c r="A254" i="24"/>
  <c r="H253" i="24"/>
  <c r="G253" i="24"/>
  <c r="F253" i="24"/>
  <c r="E253" i="24"/>
  <c r="D253" i="24"/>
  <c r="C253" i="24"/>
  <c r="B253" i="24"/>
  <c r="A253" i="24"/>
  <c r="H252" i="24"/>
  <c r="G252" i="24"/>
  <c r="F252" i="24"/>
  <c r="E252" i="24"/>
  <c r="D252" i="24"/>
  <c r="C252" i="24"/>
  <c r="B252" i="24"/>
  <c r="A252" i="24"/>
  <c r="H251" i="24"/>
  <c r="G251" i="24"/>
  <c r="F251" i="24"/>
  <c r="E251" i="24"/>
  <c r="D251" i="24"/>
  <c r="C251" i="24"/>
  <c r="B251" i="24"/>
  <c r="A251" i="24"/>
  <c r="H250" i="24"/>
  <c r="G250" i="24"/>
  <c r="F250" i="24"/>
  <c r="E250" i="24"/>
  <c r="D250" i="24"/>
  <c r="C250" i="24"/>
  <c r="B250" i="24"/>
  <c r="A250" i="24"/>
  <c r="H249" i="24"/>
  <c r="G249" i="24"/>
  <c r="F249" i="24"/>
  <c r="E249" i="24"/>
  <c r="D249" i="24"/>
  <c r="C249" i="24"/>
  <c r="B249" i="24"/>
  <c r="A249" i="24"/>
  <c r="H248" i="24"/>
  <c r="G248" i="24"/>
  <c r="F248" i="24"/>
  <c r="E248" i="24"/>
  <c r="D248" i="24"/>
  <c r="C248" i="24"/>
  <c r="B248" i="24"/>
  <c r="A248" i="24"/>
  <c r="H247" i="24"/>
  <c r="G247" i="24"/>
  <c r="F247" i="24"/>
  <c r="E247" i="24"/>
  <c r="D247" i="24"/>
  <c r="C247" i="24"/>
  <c r="B247" i="24"/>
  <c r="A247" i="24"/>
  <c r="H246" i="24"/>
  <c r="G246" i="24"/>
  <c r="F246" i="24"/>
  <c r="E246" i="24"/>
  <c r="D246" i="24"/>
  <c r="C246" i="24"/>
  <c r="B246" i="24"/>
  <c r="A246" i="24"/>
  <c r="H245" i="24"/>
  <c r="G245" i="24"/>
  <c r="F245" i="24"/>
  <c r="E245" i="24"/>
  <c r="D245" i="24"/>
  <c r="C245" i="24"/>
  <c r="B245" i="24"/>
  <c r="A245" i="24"/>
  <c r="H244" i="24"/>
  <c r="G244" i="24"/>
  <c r="F244" i="24"/>
  <c r="E244" i="24"/>
  <c r="D244" i="24"/>
  <c r="C244" i="24"/>
  <c r="B244" i="24"/>
  <c r="A244" i="24"/>
  <c r="H243" i="24"/>
  <c r="G243" i="24"/>
  <c r="F243" i="24"/>
  <c r="E243" i="24"/>
  <c r="D243" i="24"/>
  <c r="C243" i="24"/>
  <c r="B243" i="24"/>
  <c r="A243" i="24"/>
  <c r="H242" i="24"/>
  <c r="G242" i="24"/>
  <c r="F242" i="24"/>
  <c r="E242" i="24"/>
  <c r="D242" i="24"/>
  <c r="C242" i="24"/>
  <c r="B242" i="24"/>
  <c r="A242" i="24"/>
  <c r="H241" i="24"/>
  <c r="G241" i="24"/>
  <c r="F241" i="24"/>
  <c r="E241" i="24"/>
  <c r="D241" i="24"/>
  <c r="C241" i="24"/>
  <c r="B241" i="24"/>
  <c r="A241" i="24"/>
  <c r="H240" i="24"/>
  <c r="G240" i="24"/>
  <c r="F240" i="24"/>
  <c r="E240" i="24"/>
  <c r="D240" i="24"/>
  <c r="C240" i="24"/>
  <c r="B240" i="24"/>
  <c r="A240" i="24"/>
  <c r="H239" i="24"/>
  <c r="G239" i="24"/>
  <c r="F239" i="24"/>
  <c r="E239" i="24"/>
  <c r="D239" i="24"/>
  <c r="C239" i="24"/>
  <c r="B239" i="24"/>
  <c r="A239" i="24"/>
  <c r="H238" i="24"/>
  <c r="G238" i="24"/>
  <c r="F238" i="24"/>
  <c r="E238" i="24"/>
  <c r="D238" i="24"/>
  <c r="C238" i="24"/>
  <c r="B238" i="24"/>
  <c r="A238" i="24"/>
  <c r="H237" i="24"/>
  <c r="G237" i="24"/>
  <c r="F237" i="24"/>
  <c r="E237" i="24"/>
  <c r="D237" i="24"/>
  <c r="C237" i="24"/>
  <c r="B237" i="24"/>
  <c r="A237" i="24"/>
  <c r="H236" i="24"/>
  <c r="G236" i="24"/>
  <c r="F236" i="24"/>
  <c r="E236" i="24"/>
  <c r="D236" i="24"/>
  <c r="C236" i="24"/>
  <c r="B236" i="24"/>
  <c r="A236" i="24"/>
  <c r="H235" i="24"/>
  <c r="G235" i="24"/>
  <c r="F235" i="24"/>
  <c r="E235" i="24"/>
  <c r="D235" i="24"/>
  <c r="C235" i="24"/>
  <c r="B235" i="24"/>
  <c r="A235" i="24"/>
  <c r="H234" i="24"/>
  <c r="G234" i="24"/>
  <c r="F234" i="24"/>
  <c r="E234" i="24"/>
  <c r="D234" i="24"/>
  <c r="C234" i="24"/>
  <c r="B234" i="24"/>
  <c r="A234" i="24"/>
  <c r="H233" i="24"/>
  <c r="G233" i="24"/>
  <c r="F233" i="24"/>
  <c r="E233" i="24"/>
  <c r="D233" i="24"/>
  <c r="C233" i="24"/>
  <c r="B233" i="24"/>
  <c r="A233" i="24"/>
  <c r="H232" i="24"/>
  <c r="G232" i="24"/>
  <c r="F232" i="24"/>
  <c r="E232" i="24"/>
  <c r="D232" i="24"/>
  <c r="C232" i="24"/>
  <c r="B232" i="24"/>
  <c r="A232" i="24"/>
  <c r="H231" i="24"/>
  <c r="G231" i="24"/>
  <c r="F231" i="24"/>
  <c r="E231" i="24"/>
  <c r="D231" i="24"/>
  <c r="C231" i="24"/>
  <c r="B231" i="24"/>
  <c r="A231" i="24"/>
  <c r="H230" i="24"/>
  <c r="G230" i="24"/>
  <c r="F230" i="24"/>
  <c r="E230" i="24"/>
  <c r="D230" i="24"/>
  <c r="C230" i="24"/>
  <c r="B230" i="24"/>
  <c r="A230" i="24"/>
  <c r="H229" i="24"/>
  <c r="G229" i="24"/>
  <c r="F229" i="24"/>
  <c r="E229" i="24"/>
  <c r="D229" i="24"/>
  <c r="C229" i="24"/>
  <c r="B229" i="24"/>
  <c r="A229" i="24"/>
  <c r="H228" i="24"/>
  <c r="G228" i="24"/>
  <c r="F228" i="24"/>
  <c r="E228" i="24"/>
  <c r="D228" i="24"/>
  <c r="C228" i="24"/>
  <c r="B228" i="24"/>
  <c r="A228" i="24"/>
  <c r="H227" i="24"/>
  <c r="G227" i="24"/>
  <c r="F227" i="24"/>
  <c r="E227" i="24"/>
  <c r="D227" i="24"/>
  <c r="C227" i="24"/>
  <c r="B227" i="24"/>
  <c r="A227" i="24"/>
  <c r="H226" i="24"/>
  <c r="G226" i="24"/>
  <c r="F226" i="24"/>
  <c r="E226" i="24"/>
  <c r="D226" i="24"/>
  <c r="C226" i="24"/>
  <c r="B226" i="24"/>
  <c r="A226" i="24"/>
  <c r="H225" i="24"/>
  <c r="G225" i="24"/>
  <c r="F225" i="24"/>
  <c r="E225" i="24"/>
  <c r="D225" i="24"/>
  <c r="C225" i="24"/>
  <c r="B225" i="24"/>
  <c r="A225" i="24"/>
  <c r="H224" i="24"/>
  <c r="G224" i="24"/>
  <c r="F224" i="24"/>
  <c r="E224" i="24"/>
  <c r="D224" i="24"/>
  <c r="C224" i="24"/>
  <c r="B224" i="24"/>
  <c r="A224" i="24"/>
  <c r="H223" i="24"/>
  <c r="G223" i="24"/>
  <c r="F223" i="24"/>
  <c r="E223" i="24"/>
  <c r="D223" i="24"/>
  <c r="C223" i="24"/>
  <c r="B223" i="24"/>
  <c r="A223" i="24"/>
  <c r="H222" i="24"/>
  <c r="G222" i="24"/>
  <c r="F222" i="24"/>
  <c r="E222" i="24"/>
  <c r="D222" i="24"/>
  <c r="C222" i="24"/>
  <c r="B222" i="24"/>
  <c r="A222" i="24"/>
  <c r="H221" i="24"/>
  <c r="G221" i="24"/>
  <c r="F221" i="24"/>
  <c r="E221" i="24"/>
  <c r="D221" i="24"/>
  <c r="C221" i="24"/>
  <c r="B221" i="24"/>
  <c r="A221" i="24"/>
  <c r="H220" i="24"/>
  <c r="G220" i="24"/>
  <c r="F220" i="24"/>
  <c r="E220" i="24"/>
  <c r="D220" i="24"/>
  <c r="C220" i="24"/>
  <c r="B220" i="24"/>
  <c r="A220" i="24"/>
  <c r="H219" i="24"/>
  <c r="G219" i="24"/>
  <c r="F219" i="24"/>
  <c r="E219" i="24"/>
  <c r="D219" i="24"/>
  <c r="C219" i="24"/>
  <c r="B219" i="24"/>
  <c r="A219" i="24"/>
  <c r="H218" i="24"/>
  <c r="G218" i="24"/>
  <c r="F218" i="24"/>
  <c r="E218" i="24"/>
  <c r="D218" i="24"/>
  <c r="C218" i="24"/>
  <c r="B218" i="24"/>
  <c r="A218" i="24"/>
  <c r="H217" i="24"/>
  <c r="G217" i="24"/>
  <c r="F217" i="24"/>
  <c r="E217" i="24"/>
  <c r="D217" i="24"/>
  <c r="C217" i="24"/>
  <c r="B217" i="24"/>
  <c r="A217" i="24"/>
  <c r="H216" i="24"/>
  <c r="G216" i="24"/>
  <c r="F216" i="24"/>
  <c r="E216" i="24"/>
  <c r="D216" i="24"/>
  <c r="C216" i="24"/>
  <c r="B216" i="24"/>
  <c r="A216" i="24"/>
  <c r="H215" i="24"/>
  <c r="G215" i="24"/>
  <c r="F215" i="24"/>
  <c r="E215" i="24"/>
  <c r="D215" i="24"/>
  <c r="C215" i="24"/>
  <c r="B215" i="24"/>
  <c r="A215" i="24"/>
  <c r="H214" i="24"/>
  <c r="G214" i="24"/>
  <c r="F214" i="24"/>
  <c r="E214" i="24"/>
  <c r="D214" i="24"/>
  <c r="C214" i="24"/>
  <c r="B214" i="24"/>
  <c r="A214" i="24"/>
  <c r="H213" i="24"/>
  <c r="G213" i="24"/>
  <c r="F213" i="24"/>
  <c r="E213" i="24"/>
  <c r="D213" i="24"/>
  <c r="C213" i="24"/>
  <c r="B213" i="24"/>
  <c r="A213" i="24"/>
  <c r="H212" i="24"/>
  <c r="G212" i="24"/>
  <c r="F212" i="24"/>
  <c r="E212" i="24"/>
  <c r="D212" i="24"/>
  <c r="C212" i="24"/>
  <c r="B212" i="24"/>
  <c r="A212" i="24"/>
  <c r="H211" i="24"/>
  <c r="G211" i="24"/>
  <c r="F211" i="24"/>
  <c r="E211" i="24"/>
  <c r="D211" i="24"/>
  <c r="C211" i="24"/>
  <c r="B211" i="24"/>
  <c r="A211" i="24"/>
  <c r="H210" i="24"/>
  <c r="G210" i="24"/>
  <c r="F210" i="24"/>
  <c r="E210" i="24"/>
  <c r="D210" i="24"/>
  <c r="C210" i="24"/>
  <c r="B210" i="24"/>
  <c r="A210" i="24"/>
  <c r="H209" i="24"/>
  <c r="G209" i="24"/>
  <c r="F209" i="24"/>
  <c r="E209" i="24"/>
  <c r="D209" i="24"/>
  <c r="C209" i="24"/>
  <c r="B209" i="24"/>
  <c r="A209" i="24"/>
  <c r="H208" i="24"/>
  <c r="G208" i="24"/>
  <c r="F208" i="24"/>
  <c r="E208" i="24"/>
  <c r="D208" i="24"/>
  <c r="C208" i="24"/>
  <c r="B208" i="24"/>
  <c r="A208" i="24"/>
  <c r="H207" i="24"/>
  <c r="G207" i="24"/>
  <c r="F207" i="24"/>
  <c r="E207" i="24"/>
  <c r="D207" i="24"/>
  <c r="C207" i="24"/>
  <c r="B207" i="24"/>
  <c r="A207" i="24"/>
  <c r="H206" i="24"/>
  <c r="G206" i="24"/>
  <c r="F206" i="24"/>
  <c r="E206" i="24"/>
  <c r="D206" i="24"/>
  <c r="C206" i="24"/>
  <c r="B206" i="24"/>
  <c r="A206" i="24"/>
  <c r="H205" i="24"/>
  <c r="G205" i="24"/>
  <c r="F205" i="24"/>
  <c r="E205" i="24"/>
  <c r="D205" i="24"/>
  <c r="C205" i="24"/>
  <c r="B205" i="24"/>
  <c r="A205" i="24"/>
  <c r="H204" i="24"/>
  <c r="G204" i="24"/>
  <c r="F204" i="24"/>
  <c r="E204" i="24"/>
  <c r="D204" i="24"/>
  <c r="C204" i="24"/>
  <c r="B204" i="24"/>
  <c r="A204" i="24"/>
  <c r="H203" i="24"/>
  <c r="G203" i="24"/>
  <c r="F203" i="24"/>
  <c r="E203" i="24"/>
  <c r="D203" i="24"/>
  <c r="C203" i="24"/>
  <c r="B203" i="24"/>
  <c r="A203" i="24"/>
  <c r="H202" i="24"/>
  <c r="G202" i="24"/>
  <c r="F202" i="24"/>
  <c r="E202" i="24"/>
  <c r="D202" i="24"/>
  <c r="C202" i="24"/>
  <c r="B202" i="24"/>
  <c r="A202" i="24"/>
  <c r="H201" i="24"/>
  <c r="G201" i="24"/>
  <c r="F201" i="24"/>
  <c r="E201" i="24"/>
  <c r="D201" i="24"/>
  <c r="C201" i="24"/>
  <c r="B201" i="24"/>
  <c r="A201" i="24"/>
  <c r="H200" i="24"/>
  <c r="G200" i="24"/>
  <c r="F200" i="24"/>
  <c r="E200" i="24"/>
  <c r="D200" i="24"/>
  <c r="C200" i="24"/>
  <c r="B200" i="24"/>
  <c r="A200" i="24"/>
  <c r="H199" i="24"/>
  <c r="G199" i="24"/>
  <c r="F199" i="24"/>
  <c r="E199" i="24"/>
  <c r="D199" i="24"/>
  <c r="C199" i="24"/>
  <c r="B199" i="24"/>
  <c r="A199" i="24"/>
  <c r="H198" i="24"/>
  <c r="G198" i="24"/>
  <c r="F198" i="24"/>
  <c r="E198" i="24"/>
  <c r="D198" i="24"/>
  <c r="C198" i="24"/>
  <c r="B198" i="24"/>
  <c r="A198" i="24"/>
  <c r="H197" i="24"/>
  <c r="G197" i="24"/>
  <c r="F197" i="24"/>
  <c r="E197" i="24"/>
  <c r="D197" i="24"/>
  <c r="C197" i="24"/>
  <c r="B197" i="24"/>
  <c r="A197" i="24"/>
  <c r="H196" i="24"/>
  <c r="G196" i="24"/>
  <c r="F196" i="24"/>
  <c r="E196" i="24"/>
  <c r="D196" i="24"/>
  <c r="C196" i="24"/>
  <c r="B196" i="24"/>
  <c r="A196" i="24"/>
  <c r="H195" i="24"/>
  <c r="G195" i="24"/>
  <c r="F195" i="24"/>
  <c r="E195" i="24"/>
  <c r="D195" i="24"/>
  <c r="C195" i="24"/>
  <c r="B195" i="24"/>
  <c r="A195" i="24"/>
  <c r="H194" i="24"/>
  <c r="G194" i="24"/>
  <c r="F194" i="24"/>
  <c r="E194" i="24"/>
  <c r="D194" i="24"/>
  <c r="C194" i="24"/>
  <c r="B194" i="24"/>
  <c r="A194" i="24"/>
  <c r="H193" i="24"/>
  <c r="G193" i="24"/>
  <c r="F193" i="24"/>
  <c r="E193" i="24"/>
  <c r="D193" i="24"/>
  <c r="C193" i="24"/>
  <c r="B193" i="24"/>
  <c r="A193" i="24"/>
  <c r="H192" i="24"/>
  <c r="G192" i="24"/>
  <c r="F192" i="24"/>
  <c r="E192" i="24"/>
  <c r="D192" i="24"/>
  <c r="C192" i="24"/>
  <c r="B192" i="24"/>
  <c r="A192" i="24"/>
  <c r="H191" i="24"/>
  <c r="G191" i="24"/>
  <c r="F191" i="24"/>
  <c r="E191" i="24"/>
  <c r="D191" i="24"/>
  <c r="C191" i="24"/>
  <c r="B191" i="24"/>
  <c r="A191" i="24"/>
  <c r="H190" i="24"/>
  <c r="G190" i="24"/>
  <c r="F190" i="24"/>
  <c r="E190" i="24"/>
  <c r="D190" i="24"/>
  <c r="C190" i="24"/>
  <c r="B190" i="24"/>
  <c r="A190" i="24"/>
  <c r="H189" i="24"/>
  <c r="G189" i="24"/>
  <c r="F189" i="24"/>
  <c r="E189" i="24"/>
  <c r="D189" i="24"/>
  <c r="C189" i="24"/>
  <c r="B189" i="24"/>
  <c r="A189" i="24"/>
  <c r="H188" i="24"/>
  <c r="G188" i="24"/>
  <c r="F188" i="24"/>
  <c r="E188" i="24"/>
  <c r="D188" i="24"/>
  <c r="C188" i="24"/>
  <c r="B188" i="24"/>
  <c r="A188" i="24"/>
  <c r="H187" i="24"/>
  <c r="G187" i="24"/>
  <c r="F187" i="24"/>
  <c r="E187" i="24"/>
  <c r="D187" i="24"/>
  <c r="C187" i="24"/>
  <c r="B187" i="24"/>
  <c r="A187" i="24"/>
  <c r="H186" i="24"/>
  <c r="G186" i="24"/>
  <c r="F186" i="24"/>
  <c r="E186" i="24"/>
  <c r="D186" i="24"/>
  <c r="C186" i="24"/>
  <c r="B186" i="24"/>
  <c r="A186" i="24"/>
  <c r="H185" i="24"/>
  <c r="G185" i="24"/>
  <c r="F185" i="24"/>
  <c r="E185" i="24"/>
  <c r="D185" i="24"/>
  <c r="C185" i="24"/>
  <c r="B185" i="24"/>
  <c r="A185" i="24"/>
  <c r="H184" i="24"/>
  <c r="G184" i="24"/>
  <c r="F184" i="24"/>
  <c r="E184" i="24"/>
  <c r="D184" i="24"/>
  <c r="C184" i="24"/>
  <c r="B184" i="24"/>
  <c r="A184" i="24"/>
  <c r="H183" i="24"/>
  <c r="G183" i="24"/>
  <c r="F183" i="24"/>
  <c r="E183" i="24"/>
  <c r="D183" i="24"/>
  <c r="C183" i="24"/>
  <c r="B183" i="24"/>
  <c r="A183" i="24"/>
  <c r="H182" i="24"/>
  <c r="G182" i="24"/>
  <c r="F182" i="24"/>
  <c r="E182" i="24"/>
  <c r="D182" i="24"/>
  <c r="C182" i="24"/>
  <c r="B182" i="24"/>
  <c r="A182" i="24"/>
  <c r="H181" i="24"/>
  <c r="G181" i="24"/>
  <c r="F181" i="24"/>
  <c r="E181" i="24"/>
  <c r="D181" i="24"/>
  <c r="C181" i="24"/>
  <c r="B181" i="24"/>
  <c r="A181" i="24"/>
  <c r="H180" i="24"/>
  <c r="G180" i="24"/>
  <c r="F180" i="24"/>
  <c r="E180" i="24"/>
  <c r="D180" i="24"/>
  <c r="C180" i="24"/>
  <c r="B180" i="24"/>
  <c r="A180" i="24"/>
  <c r="H179" i="24"/>
  <c r="G179" i="24"/>
  <c r="F179" i="24"/>
  <c r="E179" i="24"/>
  <c r="D179" i="24"/>
  <c r="C179" i="24"/>
  <c r="B179" i="24"/>
  <c r="A179" i="24"/>
  <c r="H178" i="24"/>
  <c r="G178" i="24"/>
  <c r="F178" i="24"/>
  <c r="E178" i="24"/>
  <c r="D178" i="24"/>
  <c r="C178" i="24"/>
  <c r="B178" i="24"/>
  <c r="A178" i="24"/>
  <c r="H177" i="24"/>
  <c r="G177" i="24"/>
  <c r="F177" i="24"/>
  <c r="E177" i="24"/>
  <c r="D177" i="24"/>
  <c r="C177" i="24"/>
  <c r="B177" i="24"/>
  <c r="A177" i="24"/>
  <c r="H176" i="24"/>
  <c r="G176" i="24"/>
  <c r="F176" i="24"/>
  <c r="E176" i="24"/>
  <c r="D176" i="24"/>
  <c r="C176" i="24"/>
  <c r="B176" i="24"/>
  <c r="A176" i="24"/>
  <c r="H175" i="24"/>
  <c r="G175" i="24"/>
  <c r="F175" i="24"/>
  <c r="E175" i="24"/>
  <c r="D175" i="24"/>
  <c r="C175" i="24"/>
  <c r="B175" i="24"/>
  <c r="A175" i="24"/>
  <c r="H174" i="24"/>
  <c r="G174" i="24"/>
  <c r="F174" i="24"/>
  <c r="E174" i="24"/>
  <c r="D174" i="24"/>
  <c r="C174" i="24"/>
  <c r="B174" i="24"/>
  <c r="A174" i="24"/>
  <c r="H173" i="24"/>
  <c r="G173" i="24"/>
  <c r="F173" i="24"/>
  <c r="E173" i="24"/>
  <c r="D173" i="24"/>
  <c r="C173" i="24"/>
  <c r="B173" i="24"/>
  <c r="A173" i="24"/>
  <c r="H172" i="24"/>
  <c r="G172" i="24"/>
  <c r="F172" i="24"/>
  <c r="E172" i="24"/>
  <c r="D172" i="24"/>
  <c r="C172" i="24"/>
  <c r="B172" i="24"/>
  <c r="A172" i="24"/>
  <c r="H171" i="24"/>
  <c r="G171" i="24"/>
  <c r="F171" i="24"/>
  <c r="E171" i="24"/>
  <c r="D171" i="24"/>
  <c r="C171" i="24"/>
  <c r="B171" i="24"/>
  <c r="A171" i="24"/>
  <c r="H170" i="24"/>
  <c r="G170" i="24"/>
  <c r="F170" i="24"/>
  <c r="E170" i="24"/>
  <c r="D170" i="24"/>
  <c r="C170" i="24"/>
  <c r="B170" i="24"/>
  <c r="A170" i="24"/>
  <c r="H169" i="24"/>
  <c r="G169" i="24"/>
  <c r="F169" i="24"/>
  <c r="E169" i="24"/>
  <c r="D169" i="24"/>
  <c r="C169" i="24"/>
  <c r="B169" i="24"/>
  <c r="A169" i="24"/>
  <c r="H168" i="24"/>
  <c r="G168" i="24"/>
  <c r="F168" i="24"/>
  <c r="E168" i="24"/>
  <c r="D168" i="24"/>
  <c r="C168" i="24"/>
  <c r="B168" i="24"/>
  <c r="A168" i="24"/>
  <c r="H167" i="24"/>
  <c r="G167" i="24"/>
  <c r="F167" i="24"/>
  <c r="E167" i="24"/>
  <c r="D167" i="24"/>
  <c r="C167" i="24"/>
  <c r="B167" i="24"/>
  <c r="A167" i="24"/>
  <c r="H166" i="24"/>
  <c r="G166" i="24"/>
  <c r="F166" i="24"/>
  <c r="E166" i="24"/>
  <c r="D166" i="24"/>
  <c r="C166" i="24"/>
  <c r="B166" i="24"/>
  <c r="A166" i="24"/>
  <c r="H165" i="24"/>
  <c r="G165" i="24"/>
  <c r="F165" i="24"/>
  <c r="E165" i="24"/>
  <c r="D165" i="24"/>
  <c r="C165" i="24"/>
  <c r="B165" i="24"/>
  <c r="A165" i="24"/>
  <c r="H164" i="24"/>
  <c r="G164" i="24"/>
  <c r="F164" i="24"/>
  <c r="E164" i="24"/>
  <c r="D164" i="24"/>
  <c r="C164" i="24"/>
  <c r="B164" i="24"/>
  <c r="A164" i="24"/>
  <c r="H163" i="24"/>
  <c r="G163" i="24"/>
  <c r="F163" i="24"/>
  <c r="E163" i="24"/>
  <c r="D163" i="24"/>
  <c r="C163" i="24"/>
  <c r="B163" i="24"/>
  <c r="A163" i="24"/>
  <c r="H162" i="24"/>
  <c r="G162" i="24"/>
  <c r="F162" i="24"/>
  <c r="E162" i="24"/>
  <c r="D162" i="24"/>
  <c r="C162" i="24"/>
  <c r="B162" i="24"/>
  <c r="A162" i="24"/>
  <c r="H161" i="24"/>
  <c r="G161" i="24"/>
  <c r="F161" i="24"/>
  <c r="E161" i="24"/>
  <c r="D161" i="24"/>
  <c r="C161" i="24"/>
  <c r="B161" i="24"/>
  <c r="A161" i="24"/>
  <c r="H160" i="24"/>
  <c r="G160" i="24"/>
  <c r="F160" i="24"/>
  <c r="E160" i="24"/>
  <c r="D160" i="24"/>
  <c r="C160" i="24"/>
  <c r="B160" i="24"/>
  <c r="A160" i="24"/>
  <c r="H159" i="24"/>
  <c r="G159" i="24"/>
  <c r="F159" i="24"/>
  <c r="E159" i="24"/>
  <c r="D159" i="24"/>
  <c r="C159" i="24"/>
  <c r="B159" i="24"/>
  <c r="A159" i="24"/>
  <c r="H158" i="24"/>
  <c r="G158" i="24"/>
  <c r="F158" i="24"/>
  <c r="E158" i="24"/>
  <c r="D158" i="24"/>
  <c r="C158" i="24"/>
  <c r="B158" i="24"/>
  <c r="A158" i="24"/>
  <c r="H157" i="24"/>
  <c r="G157" i="24"/>
  <c r="F157" i="24"/>
  <c r="E157" i="24"/>
  <c r="D157" i="24"/>
  <c r="C157" i="24"/>
  <c r="B157" i="24"/>
  <c r="A157" i="24"/>
  <c r="H156" i="24"/>
  <c r="G156" i="24"/>
  <c r="F156" i="24"/>
  <c r="E156" i="24"/>
  <c r="D156" i="24"/>
  <c r="C156" i="24"/>
  <c r="B156" i="24"/>
  <c r="A156" i="24"/>
  <c r="H155" i="24"/>
  <c r="G155" i="24"/>
  <c r="F155" i="24"/>
  <c r="E155" i="24"/>
  <c r="D155" i="24"/>
  <c r="C155" i="24"/>
  <c r="B155" i="24"/>
  <c r="A155" i="24"/>
  <c r="H154" i="24"/>
  <c r="G154" i="24"/>
  <c r="F154" i="24"/>
  <c r="E154" i="24"/>
  <c r="D154" i="24"/>
  <c r="C154" i="24"/>
  <c r="B154" i="24"/>
  <c r="A154" i="24"/>
  <c r="H153" i="24"/>
  <c r="G153" i="24"/>
  <c r="F153" i="24"/>
  <c r="E153" i="24"/>
  <c r="D153" i="24"/>
  <c r="C153" i="24"/>
  <c r="B153" i="24"/>
  <c r="A153" i="24"/>
  <c r="H152" i="24"/>
  <c r="G152" i="24"/>
  <c r="F152" i="24"/>
  <c r="E152" i="24"/>
  <c r="D152" i="24"/>
  <c r="C152" i="24"/>
  <c r="B152" i="24"/>
  <c r="A152" i="24"/>
  <c r="H151" i="24"/>
  <c r="G151" i="24"/>
  <c r="F151" i="24"/>
  <c r="E151" i="24"/>
  <c r="D151" i="24"/>
  <c r="C151" i="24"/>
  <c r="B151" i="24"/>
  <c r="A151" i="24"/>
  <c r="H150" i="24"/>
  <c r="G150" i="24"/>
  <c r="F150" i="24"/>
  <c r="E150" i="24"/>
  <c r="D150" i="24"/>
  <c r="C150" i="24"/>
  <c r="B150" i="24"/>
  <c r="A150" i="24"/>
  <c r="H149" i="24"/>
  <c r="G149" i="24"/>
  <c r="F149" i="24"/>
  <c r="E149" i="24"/>
  <c r="D149" i="24"/>
  <c r="C149" i="24"/>
  <c r="B149" i="24"/>
  <c r="A149" i="24"/>
  <c r="H148" i="24"/>
  <c r="G148" i="24"/>
  <c r="F148" i="24"/>
  <c r="E148" i="24"/>
  <c r="D148" i="24"/>
  <c r="C148" i="24"/>
  <c r="B148" i="24"/>
  <c r="A148" i="24"/>
  <c r="H147" i="24"/>
  <c r="G147" i="24"/>
  <c r="F147" i="24"/>
  <c r="E147" i="24"/>
  <c r="D147" i="24"/>
  <c r="C147" i="24"/>
  <c r="B147" i="24"/>
  <c r="A147" i="24"/>
  <c r="H146" i="24"/>
  <c r="G146" i="24"/>
  <c r="F146" i="24"/>
  <c r="E146" i="24"/>
  <c r="D146" i="24"/>
  <c r="C146" i="24"/>
  <c r="B146" i="24"/>
  <c r="A146" i="24"/>
  <c r="H145" i="24"/>
  <c r="G145" i="24"/>
  <c r="F145" i="24"/>
  <c r="E145" i="24"/>
  <c r="D145" i="24"/>
  <c r="C145" i="24"/>
  <c r="B145" i="24"/>
  <c r="A145" i="24"/>
  <c r="H144" i="24"/>
  <c r="G144" i="24"/>
  <c r="F144" i="24"/>
  <c r="E144" i="24"/>
  <c r="D144" i="24"/>
  <c r="C144" i="24"/>
  <c r="B144" i="24"/>
  <c r="A144" i="24"/>
  <c r="H143" i="24"/>
  <c r="G143" i="24"/>
  <c r="F143" i="24"/>
  <c r="E143" i="24"/>
  <c r="D143" i="24"/>
  <c r="C143" i="24"/>
  <c r="B143" i="24"/>
  <c r="A143" i="24"/>
  <c r="H142" i="24"/>
  <c r="G142" i="24"/>
  <c r="F142" i="24"/>
  <c r="E142" i="24"/>
  <c r="D142" i="24"/>
  <c r="C142" i="24"/>
  <c r="B142" i="24"/>
  <c r="A142" i="24"/>
  <c r="H141" i="24"/>
  <c r="G141" i="24"/>
  <c r="F141" i="24"/>
  <c r="E141" i="24"/>
  <c r="D141" i="24"/>
  <c r="C141" i="24"/>
  <c r="B141" i="24"/>
  <c r="A141" i="24"/>
  <c r="H140" i="24"/>
  <c r="G140" i="24"/>
  <c r="F140" i="24"/>
  <c r="E140" i="24"/>
  <c r="D140" i="24"/>
  <c r="C140" i="24"/>
  <c r="B140" i="24"/>
  <c r="A140" i="24"/>
  <c r="H139" i="24"/>
  <c r="G139" i="24"/>
  <c r="F139" i="24"/>
  <c r="E139" i="24"/>
  <c r="D139" i="24"/>
  <c r="C139" i="24"/>
  <c r="B139" i="24"/>
  <c r="A139" i="24"/>
  <c r="H138" i="24"/>
  <c r="G138" i="24"/>
  <c r="F138" i="24"/>
  <c r="E138" i="24"/>
  <c r="D138" i="24"/>
  <c r="C138" i="24"/>
  <c r="B138" i="24"/>
  <c r="A138" i="24"/>
  <c r="H137" i="24"/>
  <c r="G137" i="24"/>
  <c r="F137" i="24"/>
  <c r="E137" i="24"/>
  <c r="D137" i="24"/>
  <c r="C137" i="24"/>
  <c r="B137" i="24"/>
  <c r="A137" i="24"/>
  <c r="H136" i="24"/>
  <c r="G136" i="24"/>
  <c r="F136" i="24"/>
  <c r="E136" i="24"/>
  <c r="D136" i="24"/>
  <c r="C136" i="24"/>
  <c r="B136" i="24"/>
  <c r="A136" i="24"/>
  <c r="H135" i="24"/>
  <c r="G135" i="24"/>
  <c r="F135" i="24"/>
  <c r="E135" i="24"/>
  <c r="D135" i="24"/>
  <c r="C135" i="24"/>
  <c r="B135" i="24"/>
  <c r="A135" i="24"/>
  <c r="H134" i="24"/>
  <c r="G134" i="24"/>
  <c r="F134" i="24"/>
  <c r="E134" i="24"/>
  <c r="D134" i="24"/>
  <c r="C134" i="24"/>
  <c r="B134" i="24"/>
  <c r="A134" i="24"/>
  <c r="H133" i="24"/>
  <c r="G133" i="24"/>
  <c r="F133" i="24"/>
  <c r="E133" i="24"/>
  <c r="D133" i="24"/>
  <c r="C133" i="24"/>
  <c r="B133" i="24"/>
  <c r="A133" i="24"/>
  <c r="H132" i="24"/>
  <c r="G132" i="24"/>
  <c r="F132" i="24"/>
  <c r="E132" i="24"/>
  <c r="D132" i="24"/>
  <c r="C132" i="24"/>
  <c r="B132" i="24"/>
  <c r="A132" i="24"/>
  <c r="H131" i="24"/>
  <c r="G131" i="24"/>
  <c r="F131" i="24"/>
  <c r="E131" i="24"/>
  <c r="D131" i="24"/>
  <c r="C131" i="24"/>
  <c r="B131" i="24"/>
  <c r="A131" i="24"/>
  <c r="H130" i="24"/>
  <c r="G130" i="24"/>
  <c r="F130" i="24"/>
  <c r="E130" i="24"/>
  <c r="D130" i="24"/>
  <c r="C130" i="24"/>
  <c r="B130" i="24"/>
  <c r="A130" i="24"/>
  <c r="H129" i="24"/>
  <c r="G129" i="24"/>
  <c r="F129" i="24"/>
  <c r="E129" i="24"/>
  <c r="D129" i="24"/>
  <c r="C129" i="24"/>
  <c r="B129" i="24"/>
  <c r="A129" i="24"/>
  <c r="H128" i="24"/>
  <c r="G128" i="24"/>
  <c r="F128" i="24"/>
  <c r="E128" i="24"/>
  <c r="D128" i="24"/>
  <c r="C128" i="24"/>
  <c r="B128" i="24"/>
  <c r="A128" i="24"/>
  <c r="H127" i="24"/>
  <c r="G127" i="24"/>
  <c r="F127" i="24"/>
  <c r="E127" i="24"/>
  <c r="D127" i="24"/>
  <c r="C127" i="24"/>
  <c r="B127" i="24"/>
  <c r="A127" i="24"/>
  <c r="H126" i="24"/>
  <c r="G126" i="24"/>
  <c r="F126" i="24"/>
  <c r="E126" i="24"/>
  <c r="D126" i="24"/>
  <c r="C126" i="24"/>
  <c r="B126" i="24"/>
  <c r="A126" i="24"/>
  <c r="H125" i="24"/>
  <c r="G125" i="24"/>
  <c r="F125" i="24"/>
  <c r="E125" i="24"/>
  <c r="D125" i="24"/>
  <c r="C125" i="24"/>
  <c r="B125" i="24"/>
  <c r="A125" i="24"/>
  <c r="H124" i="24"/>
  <c r="G124" i="24"/>
  <c r="F124" i="24"/>
  <c r="E124" i="24"/>
  <c r="D124" i="24"/>
  <c r="C124" i="24"/>
  <c r="B124" i="24"/>
  <c r="A124" i="24"/>
  <c r="H123" i="24"/>
  <c r="G123" i="24"/>
  <c r="F123" i="24"/>
  <c r="E123" i="24"/>
  <c r="D123" i="24"/>
  <c r="C123" i="24"/>
  <c r="B123" i="24"/>
  <c r="A123" i="24"/>
  <c r="H122" i="24"/>
  <c r="G122" i="24"/>
  <c r="F122" i="24"/>
  <c r="E122" i="24"/>
  <c r="D122" i="24"/>
  <c r="C122" i="24"/>
  <c r="B122" i="24"/>
  <c r="A122" i="24"/>
  <c r="H121" i="24"/>
  <c r="G121" i="24"/>
  <c r="F121" i="24"/>
  <c r="E121" i="24"/>
  <c r="D121" i="24"/>
  <c r="C121" i="24"/>
  <c r="B121" i="24"/>
  <c r="A121" i="24"/>
  <c r="H120" i="24"/>
  <c r="G120" i="24"/>
  <c r="F120" i="24"/>
  <c r="E120" i="24"/>
  <c r="D120" i="24"/>
  <c r="C120" i="24"/>
  <c r="B120" i="24"/>
  <c r="A120" i="24"/>
  <c r="H119" i="24"/>
  <c r="G119" i="24"/>
  <c r="F119" i="24"/>
  <c r="E119" i="24"/>
  <c r="D119" i="24"/>
  <c r="C119" i="24"/>
  <c r="B119" i="24"/>
  <c r="A119" i="24"/>
  <c r="H118" i="24"/>
  <c r="G118" i="24"/>
  <c r="F118" i="24"/>
  <c r="E118" i="24"/>
  <c r="D118" i="24"/>
  <c r="C118" i="24"/>
  <c r="B118" i="24"/>
  <c r="A118" i="24"/>
  <c r="H117" i="24"/>
  <c r="G117" i="24"/>
  <c r="F117" i="24"/>
  <c r="E117" i="24"/>
  <c r="D117" i="24"/>
  <c r="C117" i="24"/>
  <c r="B117" i="24"/>
  <c r="A117" i="24"/>
  <c r="H116" i="24"/>
  <c r="G116" i="24"/>
  <c r="F116" i="24"/>
  <c r="E116" i="24"/>
  <c r="D116" i="24"/>
  <c r="C116" i="24"/>
  <c r="B116" i="24"/>
  <c r="A116" i="24"/>
  <c r="H115" i="24"/>
  <c r="G115" i="24"/>
  <c r="F115" i="24"/>
  <c r="E115" i="24"/>
  <c r="D115" i="24"/>
  <c r="C115" i="24"/>
  <c r="B115" i="24"/>
  <c r="A115" i="24"/>
  <c r="H114" i="24"/>
  <c r="G114" i="24"/>
  <c r="F114" i="24"/>
  <c r="E114" i="24"/>
  <c r="D114" i="24"/>
  <c r="C114" i="24"/>
  <c r="B114" i="24"/>
  <c r="A114" i="24"/>
  <c r="H113" i="24"/>
  <c r="G113" i="24"/>
  <c r="F113" i="24"/>
  <c r="E113" i="24"/>
  <c r="D113" i="24"/>
  <c r="C113" i="24"/>
  <c r="B113" i="24"/>
  <c r="A113" i="24"/>
  <c r="H112" i="24"/>
  <c r="G112" i="24"/>
  <c r="F112" i="24"/>
  <c r="E112" i="24"/>
  <c r="D112" i="24"/>
  <c r="C112" i="24"/>
  <c r="B112" i="24"/>
  <c r="A112" i="24"/>
  <c r="H111" i="24"/>
  <c r="G111" i="24"/>
  <c r="F111" i="24"/>
  <c r="E111" i="24"/>
  <c r="D111" i="24"/>
  <c r="C111" i="24"/>
  <c r="B111" i="24"/>
  <c r="A111" i="24"/>
  <c r="H110" i="24"/>
  <c r="G110" i="24"/>
  <c r="F110" i="24"/>
  <c r="E110" i="24"/>
  <c r="D110" i="24"/>
  <c r="C110" i="24"/>
  <c r="B110" i="24"/>
  <c r="A110" i="24"/>
  <c r="H109" i="24"/>
  <c r="G109" i="24"/>
  <c r="F109" i="24"/>
  <c r="E109" i="24"/>
  <c r="D109" i="24"/>
  <c r="C109" i="24"/>
  <c r="B109" i="24"/>
  <c r="A109" i="24"/>
  <c r="H108" i="24"/>
  <c r="G108" i="24"/>
  <c r="F108" i="24"/>
  <c r="E108" i="24"/>
  <c r="D108" i="24"/>
  <c r="C108" i="24"/>
  <c r="B108" i="24"/>
  <c r="A108" i="24"/>
  <c r="H107" i="24"/>
  <c r="G107" i="24"/>
  <c r="F107" i="24"/>
  <c r="E107" i="24"/>
  <c r="D107" i="24"/>
  <c r="C107" i="24"/>
  <c r="B107" i="24"/>
  <c r="A107" i="24"/>
  <c r="H106" i="24"/>
  <c r="G106" i="24"/>
  <c r="F106" i="24"/>
  <c r="E106" i="24"/>
  <c r="D106" i="24"/>
  <c r="C106" i="24"/>
  <c r="B106" i="24"/>
  <c r="A106" i="24"/>
  <c r="H105" i="24"/>
  <c r="G105" i="24"/>
  <c r="F105" i="24"/>
  <c r="E105" i="24"/>
  <c r="D105" i="24"/>
  <c r="C105" i="24"/>
  <c r="B105" i="24"/>
  <c r="A105" i="24"/>
  <c r="H104" i="24"/>
  <c r="G104" i="24"/>
  <c r="F104" i="24"/>
  <c r="E104" i="24"/>
  <c r="D104" i="24"/>
  <c r="C104" i="24"/>
  <c r="B104" i="24"/>
  <c r="A104" i="24"/>
  <c r="H103" i="24"/>
  <c r="G103" i="24"/>
  <c r="F103" i="24"/>
  <c r="E103" i="24"/>
  <c r="D103" i="24"/>
  <c r="C103" i="24"/>
  <c r="B103" i="24"/>
  <c r="A103" i="24"/>
  <c r="H102" i="24"/>
  <c r="G102" i="24"/>
  <c r="F102" i="24"/>
  <c r="E102" i="24"/>
  <c r="D102" i="24"/>
  <c r="C102" i="24"/>
  <c r="B102" i="24"/>
  <c r="A102" i="24"/>
  <c r="H101" i="24"/>
  <c r="G101" i="24"/>
  <c r="F101" i="24"/>
  <c r="E101" i="24"/>
  <c r="D101" i="24"/>
  <c r="C101" i="24"/>
  <c r="B101" i="24"/>
  <c r="A101" i="24"/>
  <c r="H100" i="24"/>
  <c r="G100" i="24"/>
  <c r="F100" i="24"/>
  <c r="E100" i="24"/>
  <c r="D100" i="24"/>
  <c r="C100" i="24"/>
  <c r="B100" i="24"/>
  <c r="A100" i="24"/>
  <c r="H99" i="24"/>
  <c r="G99" i="24"/>
  <c r="F99" i="24"/>
  <c r="E99" i="24"/>
  <c r="D99" i="24"/>
  <c r="C99" i="24"/>
  <c r="B99" i="24"/>
  <c r="A99" i="24"/>
  <c r="H98" i="24"/>
  <c r="G98" i="24"/>
  <c r="F98" i="24"/>
  <c r="E98" i="24"/>
  <c r="D98" i="24"/>
  <c r="C98" i="24"/>
  <c r="B98" i="24"/>
  <c r="A98" i="24"/>
  <c r="H97" i="24"/>
  <c r="G97" i="24"/>
  <c r="F97" i="24"/>
  <c r="E97" i="24"/>
  <c r="D97" i="24"/>
  <c r="C97" i="24"/>
  <c r="B97" i="24"/>
  <c r="A97" i="24"/>
  <c r="H96" i="24"/>
  <c r="G96" i="24"/>
  <c r="F96" i="24"/>
  <c r="E96" i="24"/>
  <c r="D96" i="24"/>
  <c r="C96" i="24"/>
  <c r="B96" i="24"/>
  <c r="A96" i="24"/>
  <c r="H95" i="24"/>
  <c r="G95" i="24"/>
  <c r="F95" i="24"/>
  <c r="E95" i="24"/>
  <c r="D95" i="24"/>
  <c r="C95" i="24"/>
  <c r="B95" i="24"/>
  <c r="A95" i="24"/>
  <c r="H94" i="24"/>
  <c r="G94" i="24"/>
  <c r="F94" i="24"/>
  <c r="E94" i="24"/>
  <c r="D94" i="24"/>
  <c r="C94" i="24"/>
  <c r="B94" i="24"/>
  <c r="A94" i="24"/>
  <c r="H93" i="24"/>
  <c r="G93" i="24"/>
  <c r="F93" i="24"/>
  <c r="E93" i="24"/>
  <c r="D93" i="24"/>
  <c r="C93" i="24"/>
  <c r="B93" i="24"/>
  <c r="A93" i="24"/>
  <c r="H92" i="24"/>
  <c r="G92" i="24"/>
  <c r="F92" i="24"/>
  <c r="E92" i="24"/>
  <c r="D92" i="24"/>
  <c r="C92" i="24"/>
  <c r="B92" i="24"/>
  <c r="A92" i="24"/>
  <c r="H91" i="24"/>
  <c r="G91" i="24"/>
  <c r="F91" i="24"/>
  <c r="E91" i="24"/>
  <c r="D91" i="24"/>
  <c r="C91" i="24"/>
  <c r="B91" i="24"/>
  <c r="A91" i="24"/>
  <c r="H90" i="24"/>
  <c r="G90" i="24"/>
  <c r="F90" i="24"/>
  <c r="E90" i="24"/>
  <c r="D90" i="24"/>
  <c r="C90" i="24"/>
  <c r="B90" i="24"/>
  <c r="A90" i="24"/>
  <c r="H89" i="24"/>
  <c r="G89" i="24"/>
  <c r="F89" i="24"/>
  <c r="E89" i="24"/>
  <c r="D89" i="24"/>
  <c r="C89" i="24"/>
  <c r="B89" i="24"/>
  <c r="A89" i="24"/>
  <c r="H88" i="24"/>
  <c r="G88" i="24"/>
  <c r="F88" i="24"/>
  <c r="E88" i="24"/>
  <c r="D88" i="24"/>
  <c r="C88" i="24"/>
  <c r="B88" i="24"/>
  <c r="A88" i="24"/>
  <c r="H87" i="24"/>
  <c r="G87" i="24"/>
  <c r="F87" i="24"/>
  <c r="E87" i="24"/>
  <c r="D87" i="24"/>
  <c r="C87" i="24"/>
  <c r="B87" i="24"/>
  <c r="A87" i="24"/>
  <c r="H86" i="24"/>
  <c r="G86" i="24"/>
  <c r="F86" i="24"/>
  <c r="E86" i="24"/>
  <c r="D86" i="24"/>
  <c r="C86" i="24"/>
  <c r="B86" i="24"/>
  <c r="A86" i="24"/>
  <c r="H85" i="24"/>
  <c r="G85" i="24"/>
  <c r="F85" i="24"/>
  <c r="E85" i="24"/>
  <c r="D85" i="24"/>
  <c r="C85" i="24"/>
  <c r="B85" i="24"/>
  <c r="A85" i="24"/>
  <c r="H84" i="24"/>
  <c r="G84" i="24"/>
  <c r="F84" i="24"/>
  <c r="E84" i="24"/>
  <c r="D84" i="24"/>
  <c r="C84" i="24"/>
  <c r="B84" i="24"/>
  <c r="A84" i="24"/>
  <c r="H83" i="24"/>
  <c r="G83" i="24"/>
  <c r="F83" i="24"/>
  <c r="E83" i="24"/>
  <c r="D83" i="24"/>
  <c r="C83" i="24"/>
  <c r="B83" i="24"/>
  <c r="A83" i="24"/>
  <c r="H82" i="24"/>
  <c r="G82" i="24"/>
  <c r="F82" i="24"/>
  <c r="E82" i="24"/>
  <c r="D82" i="24"/>
  <c r="C82" i="24"/>
  <c r="B82" i="24"/>
  <c r="A82" i="24"/>
  <c r="H81" i="24"/>
  <c r="G81" i="24"/>
  <c r="F81" i="24"/>
  <c r="E81" i="24"/>
  <c r="D81" i="24"/>
  <c r="C81" i="24"/>
  <c r="B81" i="24"/>
  <c r="A81" i="24"/>
  <c r="H80" i="24"/>
  <c r="G80" i="24"/>
  <c r="F80" i="24"/>
  <c r="E80" i="24"/>
  <c r="D80" i="24"/>
  <c r="C80" i="24"/>
  <c r="B80" i="24"/>
  <c r="A80" i="24"/>
  <c r="H79" i="24"/>
  <c r="G79" i="24"/>
  <c r="F79" i="24"/>
  <c r="E79" i="24"/>
  <c r="D79" i="24"/>
  <c r="C79" i="24"/>
  <c r="B79" i="24"/>
  <c r="A79" i="24"/>
  <c r="H78" i="24"/>
  <c r="G78" i="24"/>
  <c r="F78" i="24"/>
  <c r="E78" i="24"/>
  <c r="D78" i="24"/>
  <c r="C78" i="24"/>
  <c r="B78" i="24"/>
  <c r="A78" i="24"/>
  <c r="H77" i="24"/>
  <c r="G77" i="24"/>
  <c r="F77" i="24"/>
  <c r="E77" i="24"/>
  <c r="D77" i="24"/>
  <c r="C77" i="24"/>
  <c r="B77" i="24"/>
  <c r="A77" i="24"/>
  <c r="H76" i="24"/>
  <c r="G76" i="24"/>
  <c r="F76" i="24"/>
  <c r="E76" i="24"/>
  <c r="D76" i="24"/>
  <c r="C76" i="24"/>
  <c r="B76" i="24"/>
  <c r="A76" i="24"/>
  <c r="H75" i="24"/>
  <c r="G75" i="24"/>
  <c r="F75" i="24"/>
  <c r="E75" i="24"/>
  <c r="D75" i="24"/>
  <c r="C75" i="24"/>
  <c r="B75" i="24"/>
  <c r="A75" i="24"/>
  <c r="H74" i="24"/>
  <c r="G74" i="24"/>
  <c r="F74" i="24"/>
  <c r="E74" i="24"/>
  <c r="D74" i="24"/>
  <c r="C74" i="24"/>
  <c r="B74" i="24"/>
  <c r="A74" i="24"/>
  <c r="H73" i="24"/>
  <c r="G73" i="24"/>
  <c r="F73" i="24"/>
  <c r="E73" i="24"/>
  <c r="D73" i="24"/>
  <c r="C73" i="24"/>
  <c r="B73" i="24"/>
  <c r="A73" i="24"/>
  <c r="H72" i="24"/>
  <c r="G72" i="24"/>
  <c r="F72" i="24"/>
  <c r="E72" i="24"/>
  <c r="D72" i="24"/>
  <c r="C72" i="24"/>
  <c r="B72" i="24"/>
  <c r="A72" i="24"/>
  <c r="H71" i="24"/>
  <c r="G71" i="24"/>
  <c r="F71" i="24"/>
  <c r="E71" i="24"/>
  <c r="D71" i="24"/>
  <c r="C71" i="24"/>
  <c r="B71" i="24"/>
  <c r="A71" i="24"/>
  <c r="H70" i="24"/>
  <c r="G70" i="24"/>
  <c r="F70" i="24"/>
  <c r="E70" i="24"/>
  <c r="D70" i="24"/>
  <c r="C70" i="24"/>
  <c r="B70" i="24"/>
  <c r="A70" i="24"/>
  <c r="H69" i="24"/>
  <c r="G69" i="24"/>
  <c r="F69" i="24"/>
  <c r="E69" i="24"/>
  <c r="D69" i="24"/>
  <c r="C69" i="24"/>
  <c r="B69" i="24"/>
  <c r="A69" i="24"/>
  <c r="H68" i="24"/>
  <c r="G68" i="24"/>
  <c r="F68" i="24"/>
  <c r="E68" i="24"/>
  <c r="D68" i="24"/>
  <c r="C68" i="24"/>
  <c r="B68" i="24"/>
  <c r="A68" i="24"/>
  <c r="H67" i="24"/>
  <c r="G67" i="24"/>
  <c r="F67" i="24"/>
  <c r="E67" i="24"/>
  <c r="D67" i="24"/>
  <c r="C67" i="24"/>
  <c r="B67" i="24"/>
  <c r="A67" i="24"/>
  <c r="H66" i="24"/>
  <c r="G66" i="24"/>
  <c r="F66" i="24"/>
  <c r="E66" i="24"/>
  <c r="D66" i="24"/>
  <c r="C66" i="24"/>
  <c r="B66" i="24"/>
  <c r="A66" i="24"/>
  <c r="H65" i="24"/>
  <c r="G65" i="24"/>
  <c r="F65" i="24"/>
  <c r="E65" i="24"/>
  <c r="D65" i="24"/>
  <c r="C65" i="24"/>
  <c r="B65" i="24"/>
  <c r="A65" i="24"/>
  <c r="H64" i="24"/>
  <c r="G64" i="24"/>
  <c r="F64" i="24"/>
  <c r="E64" i="24"/>
  <c r="D64" i="24"/>
  <c r="C64" i="24"/>
  <c r="B64" i="24"/>
  <c r="A64" i="24"/>
  <c r="H63" i="24"/>
  <c r="G63" i="24"/>
  <c r="F63" i="24"/>
  <c r="E63" i="24"/>
  <c r="D63" i="24"/>
  <c r="C63" i="24"/>
  <c r="B63" i="24"/>
  <c r="A63" i="24"/>
  <c r="H62" i="24"/>
  <c r="G62" i="24"/>
  <c r="F62" i="24"/>
  <c r="E62" i="24"/>
  <c r="D62" i="24"/>
  <c r="C62" i="24"/>
  <c r="B62" i="24"/>
  <c r="A62" i="24"/>
  <c r="H61" i="24"/>
  <c r="G61" i="24"/>
  <c r="F61" i="24"/>
  <c r="E61" i="24"/>
  <c r="D61" i="24"/>
  <c r="C61" i="24"/>
  <c r="B61" i="24"/>
  <c r="A61" i="24"/>
  <c r="H60" i="24"/>
  <c r="G60" i="24"/>
  <c r="F60" i="24"/>
  <c r="E60" i="24"/>
  <c r="D60" i="24"/>
  <c r="C60" i="24"/>
  <c r="B60" i="24"/>
  <c r="A60" i="24"/>
  <c r="H59" i="24"/>
  <c r="G59" i="24"/>
  <c r="F59" i="24"/>
  <c r="E59" i="24"/>
  <c r="D59" i="24"/>
  <c r="C59" i="24"/>
  <c r="B59" i="24"/>
  <c r="A59" i="24"/>
  <c r="H58" i="24"/>
  <c r="G58" i="24"/>
  <c r="F58" i="24"/>
  <c r="E58" i="24"/>
  <c r="D58" i="24"/>
  <c r="C58" i="24"/>
  <c r="B58" i="24"/>
  <c r="A58" i="24"/>
  <c r="H57" i="24"/>
  <c r="G57" i="24"/>
  <c r="F57" i="24"/>
  <c r="E57" i="24"/>
  <c r="D57" i="24"/>
  <c r="C57" i="24"/>
  <c r="B57" i="24"/>
  <c r="A57" i="24"/>
  <c r="H56" i="24"/>
  <c r="G56" i="24"/>
  <c r="F56" i="24"/>
  <c r="E56" i="24"/>
  <c r="D56" i="24"/>
  <c r="C56" i="24"/>
  <c r="B56" i="24"/>
  <c r="A56" i="24"/>
  <c r="H55" i="24"/>
  <c r="G55" i="24"/>
  <c r="F55" i="24"/>
  <c r="E55" i="24"/>
  <c r="D55" i="24"/>
  <c r="C55" i="24"/>
  <c r="B55" i="24"/>
  <c r="A55" i="24"/>
  <c r="H54" i="24"/>
  <c r="G54" i="24"/>
  <c r="F54" i="24"/>
  <c r="E54" i="24"/>
  <c r="D54" i="24"/>
  <c r="C54" i="24"/>
  <c r="B54" i="24"/>
  <c r="A54" i="24"/>
  <c r="H53" i="24"/>
  <c r="G53" i="24"/>
  <c r="F53" i="24"/>
  <c r="E53" i="24"/>
  <c r="D53" i="24"/>
  <c r="C53" i="24"/>
  <c r="B53" i="24"/>
  <c r="A53" i="24"/>
  <c r="H52" i="24"/>
  <c r="G52" i="24"/>
  <c r="F52" i="24"/>
  <c r="E52" i="24"/>
  <c r="D52" i="24"/>
  <c r="C52" i="24"/>
  <c r="B52" i="24"/>
  <c r="A52" i="24"/>
  <c r="H51" i="24"/>
  <c r="G51" i="24"/>
  <c r="F51" i="24"/>
  <c r="E51" i="24"/>
  <c r="D51" i="24"/>
  <c r="C51" i="24"/>
  <c r="B51" i="24"/>
  <c r="A51" i="24"/>
  <c r="H50" i="24"/>
  <c r="G50" i="24"/>
  <c r="F50" i="24"/>
  <c r="E50" i="24"/>
  <c r="D50" i="24"/>
  <c r="C50" i="24"/>
  <c r="B50" i="24"/>
  <c r="A50" i="24"/>
  <c r="H49" i="24"/>
  <c r="G49" i="24"/>
  <c r="F49" i="24"/>
  <c r="E49" i="24"/>
  <c r="D49" i="24"/>
  <c r="C49" i="24"/>
  <c r="B49" i="24"/>
  <c r="A49" i="24"/>
  <c r="H48" i="24"/>
  <c r="G48" i="24"/>
  <c r="F48" i="24"/>
  <c r="E48" i="24"/>
  <c r="D48" i="24"/>
  <c r="C48" i="24"/>
  <c r="B48" i="24"/>
  <c r="A48" i="24"/>
  <c r="H47" i="24"/>
  <c r="G47" i="24"/>
  <c r="F47" i="24"/>
  <c r="E47" i="24"/>
  <c r="D47" i="24"/>
  <c r="C47" i="24"/>
  <c r="B47" i="24"/>
  <c r="A47" i="24"/>
  <c r="H46" i="24"/>
  <c r="G46" i="24"/>
  <c r="F46" i="24"/>
  <c r="E46" i="24"/>
  <c r="D46" i="24"/>
  <c r="C46" i="24"/>
  <c r="B46" i="24"/>
  <c r="A46" i="24"/>
  <c r="H45" i="24"/>
  <c r="G45" i="24"/>
  <c r="F45" i="24"/>
  <c r="E45" i="24"/>
  <c r="D45" i="24"/>
  <c r="C45" i="24"/>
  <c r="B45" i="24"/>
  <c r="A45" i="24"/>
  <c r="H44" i="24"/>
  <c r="G44" i="24"/>
  <c r="F44" i="24"/>
  <c r="E44" i="24"/>
  <c r="D44" i="24"/>
  <c r="C44" i="24"/>
  <c r="B44" i="24"/>
  <c r="A44" i="24"/>
  <c r="H43" i="24"/>
  <c r="G43" i="24"/>
  <c r="F43" i="24"/>
  <c r="E43" i="24"/>
  <c r="D43" i="24"/>
  <c r="C43" i="24"/>
  <c r="B43" i="24"/>
  <c r="A43" i="24"/>
  <c r="H42" i="24"/>
  <c r="G42" i="24"/>
  <c r="F42" i="24"/>
  <c r="E42" i="24"/>
  <c r="D42" i="24"/>
  <c r="C42" i="24"/>
  <c r="B42" i="24"/>
  <c r="A42" i="24"/>
  <c r="H41" i="24"/>
  <c r="G41" i="24"/>
  <c r="F41" i="24"/>
  <c r="E41" i="24"/>
  <c r="D41" i="24"/>
  <c r="C41" i="24"/>
  <c r="B41" i="24"/>
  <c r="A41" i="24"/>
  <c r="H40" i="24"/>
  <c r="G40" i="24"/>
  <c r="F40" i="24"/>
  <c r="E40" i="24"/>
  <c r="D40" i="24"/>
  <c r="C40" i="24"/>
  <c r="B40" i="24"/>
  <c r="A40" i="24"/>
  <c r="H39" i="24"/>
  <c r="G39" i="24"/>
  <c r="F39" i="24"/>
  <c r="E39" i="24"/>
  <c r="D39" i="24"/>
  <c r="C39" i="24"/>
  <c r="B39" i="24"/>
  <c r="A39" i="24"/>
  <c r="H38" i="24"/>
  <c r="G38" i="24"/>
  <c r="F38" i="24"/>
  <c r="E38" i="24"/>
  <c r="D38" i="24"/>
  <c r="C38" i="24"/>
  <c r="B38" i="24"/>
  <c r="A38" i="24"/>
  <c r="H37" i="24"/>
  <c r="G37" i="24"/>
  <c r="F37" i="24"/>
  <c r="E37" i="24"/>
  <c r="D37" i="24"/>
  <c r="C37" i="24"/>
  <c r="B37" i="24"/>
  <c r="A37" i="24"/>
  <c r="H36" i="24"/>
  <c r="G36" i="24"/>
  <c r="F36" i="24"/>
  <c r="E36" i="24"/>
  <c r="D36" i="24"/>
  <c r="C36" i="24"/>
  <c r="B36" i="24"/>
  <c r="A36" i="24"/>
  <c r="H35" i="24"/>
  <c r="G35" i="24"/>
  <c r="F35" i="24"/>
  <c r="E35" i="24"/>
  <c r="D35" i="24"/>
  <c r="C35" i="24"/>
  <c r="B35" i="24"/>
  <c r="A35" i="24"/>
  <c r="H34" i="24"/>
  <c r="G34" i="24"/>
  <c r="F34" i="24"/>
  <c r="E34" i="24"/>
  <c r="D34" i="24"/>
  <c r="C34" i="24"/>
  <c r="B34" i="24"/>
  <c r="A34" i="24"/>
  <c r="H33" i="24"/>
  <c r="G33" i="24"/>
  <c r="F33" i="24"/>
  <c r="E33" i="24"/>
  <c r="D33" i="24"/>
  <c r="C33" i="24"/>
  <c r="B33" i="24"/>
  <c r="A33" i="24"/>
  <c r="H32" i="24"/>
  <c r="G32" i="24"/>
  <c r="F32" i="24"/>
  <c r="E32" i="24"/>
  <c r="D32" i="24"/>
  <c r="C32" i="24"/>
  <c r="B32" i="24"/>
  <c r="A32" i="24"/>
  <c r="H31" i="24"/>
  <c r="G31" i="24"/>
  <c r="F31" i="24"/>
  <c r="E31" i="24"/>
  <c r="D31" i="24"/>
  <c r="C31" i="24"/>
  <c r="B31" i="24"/>
  <c r="A31" i="24"/>
  <c r="H30" i="24"/>
  <c r="G30" i="24"/>
  <c r="F30" i="24"/>
  <c r="E30" i="24"/>
  <c r="D30" i="24"/>
  <c r="C30" i="24"/>
  <c r="B30" i="24"/>
  <c r="A30" i="24"/>
  <c r="H29" i="24"/>
  <c r="G29" i="24"/>
  <c r="F29" i="24"/>
  <c r="E29" i="24"/>
  <c r="D29" i="24"/>
  <c r="C29" i="24"/>
  <c r="B29" i="24"/>
  <c r="A29" i="24"/>
  <c r="H28" i="24"/>
  <c r="G28" i="24"/>
  <c r="F28" i="24"/>
  <c r="E28" i="24"/>
  <c r="D28" i="24"/>
  <c r="C28" i="24"/>
  <c r="B28" i="24"/>
  <c r="A28" i="24"/>
  <c r="H27" i="24"/>
  <c r="G27" i="24"/>
  <c r="F27" i="24"/>
  <c r="E27" i="24"/>
  <c r="D27" i="24"/>
  <c r="C27" i="24"/>
  <c r="B27" i="24"/>
  <c r="A27" i="24"/>
  <c r="H26" i="24"/>
  <c r="G26" i="24"/>
  <c r="F26" i="24"/>
  <c r="E26" i="24"/>
  <c r="D26" i="24"/>
  <c r="C26" i="24"/>
  <c r="B26" i="24"/>
  <c r="A26" i="24"/>
  <c r="H25" i="24"/>
  <c r="G25" i="24"/>
  <c r="F25" i="24"/>
  <c r="E25" i="24"/>
  <c r="D25" i="24"/>
  <c r="C25" i="24"/>
  <c r="B25" i="24"/>
  <c r="A25" i="24"/>
  <c r="H24" i="24"/>
  <c r="G24" i="24"/>
  <c r="F24" i="24"/>
  <c r="E24" i="24"/>
  <c r="D24" i="24"/>
  <c r="C24" i="24"/>
  <c r="B24" i="24"/>
  <c r="A24" i="24"/>
  <c r="H23" i="24"/>
  <c r="G23" i="24"/>
  <c r="F23" i="24"/>
  <c r="E23" i="24"/>
  <c r="D23" i="24"/>
  <c r="C23" i="24"/>
  <c r="B23" i="24"/>
  <c r="A23" i="24"/>
  <c r="H22" i="24"/>
  <c r="G22" i="24"/>
  <c r="F22" i="24"/>
  <c r="E22" i="24"/>
  <c r="D22" i="24"/>
  <c r="C22" i="24"/>
  <c r="B22" i="24"/>
  <c r="A22" i="24"/>
  <c r="H21" i="24"/>
  <c r="G21" i="24"/>
  <c r="F21" i="24"/>
  <c r="E21" i="24"/>
  <c r="D21" i="24"/>
  <c r="C21" i="24"/>
  <c r="B21" i="24"/>
  <c r="A21" i="24"/>
  <c r="H20" i="24"/>
  <c r="G20" i="24"/>
  <c r="F20" i="24"/>
  <c r="E20" i="24"/>
  <c r="D20" i="24"/>
  <c r="C20" i="24"/>
  <c r="B20" i="24"/>
  <c r="A20" i="24"/>
  <c r="H19" i="24"/>
  <c r="G19" i="24"/>
  <c r="F19" i="24"/>
  <c r="E19" i="24"/>
  <c r="D19" i="24"/>
  <c r="C19" i="24"/>
  <c r="B19" i="24"/>
  <c r="A19" i="24"/>
  <c r="H18" i="24"/>
  <c r="G18" i="24"/>
  <c r="F18" i="24"/>
  <c r="E18" i="24"/>
  <c r="D18" i="24"/>
  <c r="C18" i="24"/>
  <c r="B18" i="24"/>
  <c r="A18" i="24"/>
  <c r="H17" i="24"/>
  <c r="G17" i="24"/>
  <c r="F17" i="24"/>
  <c r="E17" i="24"/>
  <c r="D17" i="24"/>
  <c r="C17" i="24"/>
  <c r="B17" i="24"/>
  <c r="A17" i="24"/>
  <c r="H16" i="24"/>
  <c r="G16" i="24"/>
  <c r="F16" i="24"/>
  <c r="E16" i="24"/>
  <c r="D16" i="24"/>
  <c r="C16" i="24"/>
  <c r="B16" i="24"/>
  <c r="A16" i="24"/>
  <c r="H15" i="24"/>
  <c r="G15" i="24"/>
  <c r="F15" i="24"/>
  <c r="E15" i="24"/>
  <c r="D15" i="24"/>
  <c r="C15" i="24"/>
  <c r="B15" i="24"/>
  <c r="A15" i="24"/>
  <c r="H14" i="24"/>
  <c r="G14" i="24"/>
  <c r="F14" i="24"/>
  <c r="E14" i="24"/>
  <c r="D14" i="24"/>
  <c r="C14" i="24"/>
  <c r="B14" i="24"/>
  <c r="A14" i="24"/>
  <c r="H13" i="24"/>
  <c r="G13" i="24"/>
  <c r="F13" i="24"/>
  <c r="E13" i="24"/>
  <c r="D13" i="24"/>
  <c r="C13" i="24"/>
  <c r="B13" i="24"/>
  <c r="A13" i="24"/>
  <c r="H12" i="24"/>
  <c r="G12" i="24"/>
  <c r="F12" i="24"/>
  <c r="E12" i="24"/>
  <c r="D12" i="24"/>
  <c r="C12" i="24"/>
  <c r="B12" i="24"/>
  <c r="A12" i="24"/>
  <c r="H11" i="24"/>
  <c r="G11" i="24"/>
  <c r="F11" i="24"/>
  <c r="E11" i="24"/>
  <c r="D11" i="24"/>
  <c r="C11" i="24"/>
  <c r="B11" i="24"/>
  <c r="A11" i="24"/>
  <c r="H10" i="24"/>
  <c r="G10" i="24"/>
  <c r="F10" i="24"/>
  <c r="E10" i="24"/>
  <c r="D10" i="24"/>
  <c r="C10" i="24"/>
  <c r="B10" i="24"/>
  <c r="A10" i="24"/>
  <c r="H9" i="24"/>
  <c r="G9" i="24"/>
  <c r="F9" i="24"/>
  <c r="E9" i="24"/>
  <c r="D9" i="24"/>
  <c r="C9" i="24"/>
  <c r="B9" i="24"/>
  <c r="A9" i="24"/>
  <c r="H8" i="24"/>
  <c r="G8" i="24"/>
  <c r="F8" i="24"/>
  <c r="E8" i="24"/>
  <c r="D8" i="24"/>
  <c r="C8" i="24"/>
  <c r="B8" i="24"/>
  <c r="A8" i="24"/>
  <c r="H7" i="24"/>
  <c r="G7" i="24"/>
  <c r="F7" i="24"/>
  <c r="E7" i="24"/>
  <c r="D7" i="24"/>
  <c r="C7" i="24"/>
  <c r="B7" i="24"/>
  <c r="A7" i="24"/>
  <c r="H6" i="24"/>
  <c r="G6" i="24"/>
  <c r="F6" i="24"/>
  <c r="E6" i="24"/>
  <c r="D6" i="24"/>
  <c r="C6" i="24"/>
  <c r="B6" i="24"/>
  <c r="A6" i="24"/>
  <c r="H5" i="24"/>
  <c r="G5" i="24"/>
  <c r="F5" i="24"/>
  <c r="E5" i="24"/>
  <c r="D5" i="24"/>
  <c r="C5" i="24"/>
  <c r="B5" i="24"/>
  <c r="A5" i="24"/>
  <c r="H4" i="24"/>
  <c r="G4" i="24"/>
  <c r="F4" i="24"/>
  <c r="E4" i="24"/>
  <c r="D4" i="24"/>
  <c r="C4" i="24"/>
  <c r="B4" i="24"/>
  <c r="A4" i="24"/>
  <c r="H3" i="24"/>
  <c r="G3" i="24"/>
  <c r="F3" i="24"/>
  <c r="E3" i="24"/>
  <c r="D3" i="24"/>
  <c r="C3" i="24"/>
  <c r="B3" i="24"/>
  <c r="A3" i="24"/>
  <c r="H2" i="24"/>
  <c r="G2" i="24"/>
  <c r="F2" i="24"/>
  <c r="E2" i="24"/>
  <c r="D2" i="24"/>
  <c r="C2" i="24"/>
  <c r="B2" i="24"/>
  <c r="A2" i="24"/>
  <c r="N82" i="23"/>
  <c r="M82" i="23"/>
  <c r="L82" i="23"/>
  <c r="K82" i="23"/>
  <c r="J82" i="23"/>
  <c r="H82" i="23"/>
  <c r="N81" i="23"/>
  <c r="M81" i="23"/>
  <c r="L81" i="23"/>
  <c r="K81" i="23"/>
  <c r="J81" i="23"/>
  <c r="H81" i="23"/>
  <c r="N80" i="23"/>
  <c r="M80" i="23"/>
  <c r="L80" i="23"/>
  <c r="K80" i="23"/>
  <c r="J80" i="23"/>
  <c r="H80" i="23"/>
  <c r="N79" i="23"/>
  <c r="M79" i="23"/>
  <c r="L79" i="23"/>
  <c r="K79" i="23"/>
  <c r="J79" i="23"/>
  <c r="H79" i="23"/>
  <c r="N78" i="23"/>
  <c r="M78" i="23"/>
  <c r="L78" i="23"/>
  <c r="K78" i="23"/>
  <c r="J78" i="23"/>
  <c r="H78" i="23"/>
  <c r="N77" i="23"/>
  <c r="M77" i="23"/>
  <c r="L77" i="23"/>
  <c r="K77" i="23"/>
  <c r="J77" i="23"/>
  <c r="H77" i="23"/>
  <c r="N76" i="23"/>
  <c r="M76" i="23"/>
  <c r="L76" i="23"/>
  <c r="K76" i="23"/>
  <c r="J76" i="23"/>
  <c r="H76" i="23"/>
  <c r="N75" i="23"/>
  <c r="M75" i="23"/>
  <c r="L75" i="23"/>
  <c r="K75" i="23"/>
  <c r="J75" i="23"/>
  <c r="H75" i="23"/>
  <c r="N74" i="23"/>
  <c r="M74" i="23"/>
  <c r="L74" i="23"/>
  <c r="K74" i="23"/>
  <c r="J74" i="23"/>
  <c r="H74" i="23"/>
  <c r="N73" i="23"/>
  <c r="M73" i="23"/>
  <c r="L73" i="23"/>
  <c r="K73" i="23"/>
  <c r="J73" i="23"/>
  <c r="H73" i="23"/>
  <c r="N72" i="23"/>
  <c r="M72" i="23"/>
  <c r="L72" i="23"/>
  <c r="K72" i="23"/>
  <c r="J72" i="23"/>
  <c r="H72" i="23"/>
  <c r="N71" i="23"/>
  <c r="M71" i="23"/>
  <c r="L71" i="23"/>
  <c r="K71" i="23"/>
  <c r="J71" i="23"/>
  <c r="H71" i="23"/>
  <c r="N70" i="23"/>
  <c r="M70" i="23"/>
  <c r="L70" i="23"/>
  <c r="K70" i="23"/>
  <c r="J70" i="23"/>
  <c r="H70" i="23"/>
  <c r="N69" i="23"/>
  <c r="M69" i="23"/>
  <c r="L69" i="23"/>
  <c r="K69" i="23"/>
  <c r="J69" i="23"/>
  <c r="H69" i="23"/>
  <c r="N68" i="23"/>
  <c r="M68" i="23"/>
  <c r="L68" i="23"/>
  <c r="K68" i="23"/>
  <c r="J68" i="23"/>
  <c r="H68" i="23"/>
  <c r="N67" i="23"/>
  <c r="M67" i="23"/>
  <c r="L67" i="23"/>
  <c r="K67" i="23"/>
  <c r="J67" i="23"/>
  <c r="H67" i="23"/>
  <c r="N66" i="23"/>
  <c r="M66" i="23"/>
  <c r="L66" i="23"/>
  <c r="K66" i="23"/>
  <c r="J66" i="23"/>
  <c r="H66" i="23"/>
  <c r="N65" i="23"/>
  <c r="M65" i="23"/>
  <c r="L65" i="23"/>
  <c r="K65" i="23"/>
  <c r="J65" i="23"/>
  <c r="H65" i="23"/>
  <c r="N64" i="23"/>
  <c r="M64" i="23"/>
  <c r="L64" i="23"/>
  <c r="K64" i="23"/>
  <c r="J64" i="23"/>
  <c r="H64" i="23"/>
  <c r="N63" i="23"/>
  <c r="M63" i="23"/>
  <c r="L63" i="23"/>
  <c r="K63" i="23"/>
  <c r="J63" i="23"/>
  <c r="H63" i="23"/>
  <c r="N62" i="23"/>
  <c r="M62" i="23"/>
  <c r="L62" i="23"/>
  <c r="K62" i="23"/>
  <c r="J62" i="23"/>
  <c r="H62" i="23"/>
  <c r="N61" i="23"/>
  <c r="M61" i="23"/>
  <c r="L61" i="23"/>
  <c r="K61" i="23"/>
  <c r="J61" i="23"/>
  <c r="H61" i="23"/>
  <c r="N60" i="23"/>
  <c r="M60" i="23"/>
  <c r="L60" i="23"/>
  <c r="K60" i="23"/>
  <c r="J60" i="23"/>
  <c r="H60" i="23"/>
  <c r="N59" i="23"/>
  <c r="M59" i="23"/>
  <c r="L59" i="23"/>
  <c r="K59" i="23"/>
  <c r="J59" i="23"/>
  <c r="H59" i="23"/>
  <c r="N58" i="23"/>
  <c r="M58" i="23"/>
  <c r="L58" i="23"/>
  <c r="K58" i="23"/>
  <c r="J58" i="23"/>
  <c r="H58" i="23"/>
  <c r="N57" i="23"/>
  <c r="M57" i="23"/>
  <c r="L57" i="23"/>
  <c r="K57" i="23"/>
  <c r="J57" i="23"/>
  <c r="H57" i="23"/>
  <c r="N56" i="23"/>
  <c r="M56" i="23"/>
  <c r="L56" i="23"/>
  <c r="K56" i="23"/>
  <c r="J56" i="23"/>
  <c r="H56" i="23"/>
  <c r="N55" i="23"/>
  <c r="M55" i="23"/>
  <c r="L55" i="23"/>
  <c r="K55" i="23"/>
  <c r="J55" i="23"/>
  <c r="H55" i="23"/>
  <c r="N54" i="23"/>
  <c r="M54" i="23"/>
  <c r="L54" i="23"/>
  <c r="K54" i="23"/>
  <c r="J54" i="23"/>
  <c r="H54" i="23"/>
  <c r="N53" i="23"/>
  <c r="M53" i="23"/>
  <c r="L53" i="23"/>
  <c r="K53" i="23"/>
  <c r="J53" i="23"/>
  <c r="H53" i="23"/>
  <c r="N52" i="23"/>
  <c r="M52" i="23"/>
  <c r="L52" i="23"/>
  <c r="K52" i="23"/>
  <c r="J52" i="23"/>
  <c r="H52" i="23"/>
  <c r="N51" i="23"/>
  <c r="M51" i="23"/>
  <c r="L51" i="23"/>
  <c r="K51" i="23"/>
  <c r="J51" i="23"/>
  <c r="H51" i="23"/>
  <c r="N50" i="23"/>
  <c r="M50" i="23"/>
  <c r="L50" i="23"/>
  <c r="K50" i="23"/>
  <c r="J50" i="23"/>
  <c r="H50" i="23"/>
  <c r="N49" i="23"/>
  <c r="M49" i="23"/>
  <c r="L49" i="23"/>
  <c r="K49" i="23"/>
  <c r="J49" i="23"/>
  <c r="H49" i="23"/>
  <c r="N48" i="23"/>
  <c r="M48" i="23"/>
  <c r="L48" i="23"/>
  <c r="K48" i="23"/>
  <c r="J48" i="23"/>
  <c r="H48" i="23"/>
  <c r="N47" i="23"/>
  <c r="M47" i="23"/>
  <c r="L47" i="23"/>
  <c r="K47" i="23"/>
  <c r="J47" i="23"/>
  <c r="H47" i="23"/>
  <c r="N46" i="23"/>
  <c r="M46" i="23"/>
  <c r="L46" i="23"/>
  <c r="K46" i="23"/>
  <c r="J46" i="23"/>
  <c r="H46" i="23"/>
  <c r="N45" i="23"/>
  <c r="M45" i="23"/>
  <c r="L45" i="23"/>
  <c r="K45" i="23"/>
  <c r="J45" i="23"/>
  <c r="H45" i="23"/>
  <c r="N44" i="23"/>
  <c r="M44" i="23"/>
  <c r="L44" i="23"/>
  <c r="K44" i="23"/>
  <c r="J44" i="23"/>
  <c r="H44" i="23"/>
  <c r="N43" i="23"/>
  <c r="M43" i="23"/>
  <c r="L43" i="23"/>
  <c r="K43" i="23"/>
  <c r="J43" i="23"/>
  <c r="H43" i="23"/>
  <c r="N42" i="23"/>
  <c r="M42" i="23"/>
  <c r="L42" i="23"/>
  <c r="K42" i="23"/>
  <c r="J42" i="23"/>
  <c r="H42" i="23"/>
  <c r="N41" i="23"/>
  <c r="M41" i="23"/>
  <c r="L41" i="23"/>
  <c r="K41" i="23"/>
  <c r="J41" i="23"/>
  <c r="H41" i="23"/>
  <c r="N40" i="23"/>
  <c r="M40" i="23"/>
  <c r="L40" i="23"/>
  <c r="K40" i="23"/>
  <c r="J40" i="23"/>
  <c r="H40" i="23"/>
  <c r="N39" i="23"/>
  <c r="M39" i="23"/>
  <c r="L39" i="23"/>
  <c r="K39" i="23"/>
  <c r="J39" i="23"/>
  <c r="H39" i="23"/>
  <c r="N38" i="23"/>
  <c r="M38" i="23"/>
  <c r="L38" i="23"/>
  <c r="K38" i="23"/>
  <c r="J38" i="23"/>
  <c r="H38" i="23"/>
  <c r="N37" i="23"/>
  <c r="M37" i="23"/>
  <c r="L37" i="23"/>
  <c r="K37" i="23"/>
  <c r="J37" i="23"/>
  <c r="H37" i="23"/>
  <c r="N36" i="23"/>
  <c r="M36" i="23"/>
  <c r="L36" i="23"/>
  <c r="K36" i="23"/>
  <c r="J36" i="23"/>
  <c r="H36" i="23"/>
  <c r="N35" i="23"/>
  <c r="M35" i="23"/>
  <c r="L35" i="23"/>
  <c r="K35" i="23"/>
  <c r="J35" i="23"/>
  <c r="H35" i="23"/>
  <c r="N34" i="23"/>
  <c r="M34" i="23"/>
  <c r="L34" i="23"/>
  <c r="K34" i="23"/>
  <c r="J34" i="23"/>
  <c r="H34" i="23"/>
  <c r="N33" i="23"/>
  <c r="M33" i="23"/>
  <c r="L33" i="23"/>
  <c r="K33" i="23"/>
  <c r="J33" i="23"/>
  <c r="H33" i="23"/>
  <c r="N32" i="23"/>
  <c r="M32" i="23"/>
  <c r="L32" i="23"/>
  <c r="K32" i="23"/>
  <c r="J32" i="23"/>
  <c r="H32" i="23"/>
  <c r="N31" i="23"/>
  <c r="M31" i="23"/>
  <c r="L31" i="23"/>
  <c r="K31" i="23"/>
  <c r="J31" i="23"/>
  <c r="H31" i="23"/>
  <c r="N30" i="23"/>
  <c r="M30" i="23"/>
  <c r="L30" i="23"/>
  <c r="K30" i="23"/>
  <c r="J30" i="23"/>
  <c r="H30" i="23"/>
  <c r="N29" i="23"/>
  <c r="M29" i="23"/>
  <c r="L29" i="23"/>
  <c r="K29" i="23"/>
  <c r="J29" i="23"/>
  <c r="H29" i="23"/>
  <c r="N28" i="23"/>
  <c r="M28" i="23"/>
  <c r="L28" i="23"/>
  <c r="K28" i="23"/>
  <c r="J28" i="23"/>
  <c r="H28" i="23"/>
  <c r="N27" i="23"/>
  <c r="M27" i="23"/>
  <c r="L27" i="23"/>
  <c r="K27" i="23"/>
  <c r="J27" i="23"/>
  <c r="H27" i="23"/>
  <c r="N26" i="23"/>
  <c r="M26" i="23"/>
  <c r="L26" i="23"/>
  <c r="K26" i="23"/>
  <c r="J26" i="23"/>
  <c r="H26" i="23"/>
  <c r="N25" i="23"/>
  <c r="M25" i="23"/>
  <c r="L25" i="23"/>
  <c r="K25" i="23"/>
  <c r="J25" i="23"/>
  <c r="H25" i="23"/>
  <c r="N24" i="23"/>
  <c r="M24" i="23"/>
  <c r="L24" i="23"/>
  <c r="K24" i="23"/>
  <c r="J24" i="23"/>
  <c r="H24" i="23"/>
  <c r="N23" i="23"/>
  <c r="M23" i="23"/>
  <c r="L23" i="23"/>
  <c r="K23" i="23"/>
  <c r="J23" i="23"/>
  <c r="H23" i="23"/>
  <c r="N22" i="23"/>
  <c r="M22" i="23"/>
  <c r="L22" i="23"/>
  <c r="K22" i="23"/>
  <c r="J22" i="23"/>
  <c r="H22" i="23"/>
  <c r="N21" i="23"/>
  <c r="M21" i="23"/>
  <c r="L21" i="23"/>
  <c r="K21" i="23"/>
  <c r="J21" i="23"/>
  <c r="H21" i="23"/>
  <c r="N20" i="23"/>
  <c r="M20" i="23"/>
  <c r="L20" i="23"/>
  <c r="K20" i="23"/>
  <c r="J20" i="23"/>
  <c r="H20" i="23"/>
  <c r="N19" i="23"/>
  <c r="M19" i="23"/>
  <c r="L19" i="23"/>
  <c r="K19" i="23"/>
  <c r="J19" i="23"/>
  <c r="H19" i="23"/>
  <c r="N18" i="23"/>
  <c r="M18" i="23"/>
  <c r="L18" i="23"/>
  <c r="K18" i="23"/>
  <c r="J18" i="23"/>
  <c r="H18" i="23"/>
  <c r="N17" i="23"/>
  <c r="M17" i="23"/>
  <c r="L17" i="23"/>
  <c r="K17" i="23"/>
  <c r="J17" i="23"/>
  <c r="H17" i="23"/>
  <c r="N16" i="23"/>
  <c r="M16" i="23"/>
  <c r="L16" i="23"/>
  <c r="K16" i="23"/>
  <c r="J16" i="23"/>
  <c r="H16" i="23"/>
  <c r="N15" i="23"/>
  <c r="M15" i="23"/>
  <c r="L15" i="23"/>
  <c r="K15" i="23"/>
  <c r="J15" i="23"/>
  <c r="H15" i="23"/>
  <c r="N14" i="23"/>
  <c r="M14" i="23"/>
  <c r="L14" i="23"/>
  <c r="K14" i="23"/>
  <c r="J14" i="23"/>
  <c r="H14" i="23"/>
  <c r="N13" i="23"/>
  <c r="M13" i="23"/>
  <c r="L13" i="23"/>
  <c r="K13" i="23"/>
  <c r="J13" i="23"/>
  <c r="H13" i="23"/>
  <c r="N12" i="23"/>
  <c r="M12" i="23"/>
  <c r="L12" i="23"/>
  <c r="K12" i="23"/>
  <c r="J12" i="23"/>
  <c r="H12" i="23"/>
  <c r="N11" i="23"/>
  <c r="M11" i="23"/>
  <c r="L11" i="23"/>
  <c r="K11" i="23"/>
  <c r="J11" i="23"/>
  <c r="H11" i="23"/>
  <c r="N10" i="23"/>
  <c r="M10" i="23"/>
  <c r="L10" i="23"/>
  <c r="K10" i="23"/>
  <c r="J10" i="23"/>
  <c r="H10" i="23"/>
  <c r="N9" i="23"/>
  <c r="M9" i="23"/>
  <c r="L9" i="23"/>
  <c r="K9" i="23"/>
  <c r="J9" i="23"/>
  <c r="H9" i="23"/>
  <c r="N8" i="23"/>
  <c r="M8" i="23"/>
  <c r="L8" i="23"/>
  <c r="K8" i="23"/>
  <c r="J8" i="23"/>
  <c r="H8" i="23"/>
  <c r="N7" i="23"/>
  <c r="M7" i="23"/>
  <c r="L7" i="23"/>
  <c r="K7" i="23"/>
  <c r="J7" i="23"/>
  <c r="H7" i="23"/>
  <c r="N6" i="23"/>
  <c r="M6" i="23"/>
  <c r="L6" i="23"/>
  <c r="K6" i="23"/>
  <c r="J6" i="23"/>
  <c r="H6" i="23"/>
  <c r="N5" i="23"/>
  <c r="M5" i="23"/>
  <c r="L5" i="23"/>
  <c r="K5" i="23"/>
  <c r="J5" i="23"/>
  <c r="H5" i="23"/>
  <c r="N4" i="23"/>
  <c r="M4" i="23"/>
  <c r="L4" i="23"/>
  <c r="K4" i="23"/>
  <c r="J4" i="23"/>
  <c r="H4" i="23"/>
  <c r="N3" i="23"/>
  <c r="M3" i="23"/>
  <c r="L3" i="23"/>
  <c r="K3" i="23"/>
  <c r="J3" i="23"/>
  <c r="H3" i="23"/>
  <c r="H83" i="23" s="1"/>
  <c r="N82" i="22"/>
  <c r="M82" i="22"/>
  <c r="L82" i="22"/>
  <c r="K82" i="22"/>
  <c r="J82" i="22"/>
  <c r="H82" i="22"/>
  <c r="N81" i="22"/>
  <c r="M81" i="22"/>
  <c r="L81" i="22"/>
  <c r="K81" i="22"/>
  <c r="J81" i="22"/>
  <c r="H81" i="22"/>
  <c r="N80" i="22"/>
  <c r="M80" i="22"/>
  <c r="L80" i="22"/>
  <c r="K80" i="22"/>
  <c r="J80" i="22"/>
  <c r="H80" i="22"/>
  <c r="N79" i="22"/>
  <c r="M79" i="22"/>
  <c r="L79" i="22"/>
  <c r="K79" i="22"/>
  <c r="J79" i="22"/>
  <c r="H79" i="22"/>
  <c r="N78" i="22"/>
  <c r="M78" i="22"/>
  <c r="L78" i="22"/>
  <c r="K78" i="22"/>
  <c r="J78" i="22"/>
  <c r="H78" i="22"/>
  <c r="N77" i="22"/>
  <c r="M77" i="22"/>
  <c r="L77" i="22"/>
  <c r="K77" i="22"/>
  <c r="J77" i="22"/>
  <c r="H77" i="22"/>
  <c r="N76" i="22"/>
  <c r="M76" i="22"/>
  <c r="L76" i="22"/>
  <c r="K76" i="22"/>
  <c r="J76" i="22"/>
  <c r="H76" i="22"/>
  <c r="N75" i="22"/>
  <c r="M75" i="22"/>
  <c r="L75" i="22"/>
  <c r="K75" i="22"/>
  <c r="J75" i="22"/>
  <c r="H75" i="22"/>
  <c r="N74" i="22"/>
  <c r="M74" i="22"/>
  <c r="L74" i="22"/>
  <c r="K74" i="22"/>
  <c r="J74" i="22"/>
  <c r="H74" i="22"/>
  <c r="N73" i="22"/>
  <c r="M73" i="22"/>
  <c r="L73" i="22"/>
  <c r="K73" i="22"/>
  <c r="J73" i="22"/>
  <c r="H73" i="22"/>
  <c r="N72" i="22"/>
  <c r="M72" i="22"/>
  <c r="L72" i="22"/>
  <c r="K72" i="22"/>
  <c r="J72" i="22"/>
  <c r="H72" i="22"/>
  <c r="N71" i="22"/>
  <c r="M71" i="22"/>
  <c r="L71" i="22"/>
  <c r="K71" i="22"/>
  <c r="J71" i="22"/>
  <c r="H71" i="22"/>
  <c r="N70" i="22"/>
  <c r="M70" i="22"/>
  <c r="L70" i="22"/>
  <c r="K70" i="22"/>
  <c r="J70" i="22"/>
  <c r="H70" i="22"/>
  <c r="N69" i="22"/>
  <c r="M69" i="22"/>
  <c r="L69" i="22"/>
  <c r="K69" i="22"/>
  <c r="J69" i="22"/>
  <c r="H69" i="22"/>
  <c r="N68" i="22"/>
  <c r="M68" i="22"/>
  <c r="L68" i="22"/>
  <c r="K68" i="22"/>
  <c r="J68" i="22"/>
  <c r="H68" i="22"/>
  <c r="N67" i="22"/>
  <c r="M67" i="22"/>
  <c r="L67" i="22"/>
  <c r="K67" i="22"/>
  <c r="J67" i="22"/>
  <c r="H67" i="22"/>
  <c r="N66" i="22"/>
  <c r="M66" i="22"/>
  <c r="L66" i="22"/>
  <c r="K66" i="22"/>
  <c r="J66" i="22"/>
  <c r="H66" i="22"/>
  <c r="N65" i="22"/>
  <c r="M65" i="22"/>
  <c r="L65" i="22"/>
  <c r="K65" i="22"/>
  <c r="J65" i="22"/>
  <c r="H65" i="22"/>
  <c r="N64" i="22"/>
  <c r="M64" i="22"/>
  <c r="L64" i="22"/>
  <c r="K64" i="22"/>
  <c r="J64" i="22"/>
  <c r="H64" i="22"/>
  <c r="N63" i="22"/>
  <c r="M63" i="22"/>
  <c r="L63" i="22"/>
  <c r="K63" i="22"/>
  <c r="J63" i="22"/>
  <c r="H63" i="22"/>
  <c r="N62" i="22"/>
  <c r="M62" i="22"/>
  <c r="L62" i="22"/>
  <c r="K62" i="22"/>
  <c r="J62" i="22"/>
  <c r="H62" i="22"/>
  <c r="N61" i="22"/>
  <c r="M61" i="22"/>
  <c r="L61" i="22"/>
  <c r="K61" i="22"/>
  <c r="J61" i="22"/>
  <c r="H61" i="22"/>
  <c r="N60" i="22"/>
  <c r="M60" i="22"/>
  <c r="L60" i="22"/>
  <c r="K60" i="22"/>
  <c r="J60" i="22"/>
  <c r="H60" i="22"/>
  <c r="N59" i="22"/>
  <c r="M59" i="22"/>
  <c r="L59" i="22"/>
  <c r="K59" i="22"/>
  <c r="J59" i="22"/>
  <c r="H59" i="22"/>
  <c r="N58" i="22"/>
  <c r="M58" i="22"/>
  <c r="L58" i="22"/>
  <c r="K58" i="22"/>
  <c r="J58" i="22"/>
  <c r="H58" i="22"/>
  <c r="N57" i="22"/>
  <c r="M57" i="22"/>
  <c r="L57" i="22"/>
  <c r="K57" i="22"/>
  <c r="J57" i="22"/>
  <c r="H57" i="22"/>
  <c r="N56" i="22"/>
  <c r="M56" i="22"/>
  <c r="L56" i="22"/>
  <c r="K56" i="22"/>
  <c r="J56" i="22"/>
  <c r="H56" i="22"/>
  <c r="N55" i="22"/>
  <c r="M55" i="22"/>
  <c r="L55" i="22"/>
  <c r="K55" i="22"/>
  <c r="J55" i="22"/>
  <c r="H55" i="22"/>
  <c r="N54" i="22"/>
  <c r="M54" i="22"/>
  <c r="L54" i="22"/>
  <c r="K54" i="22"/>
  <c r="J54" i="22"/>
  <c r="H54" i="22"/>
  <c r="N53" i="22"/>
  <c r="M53" i="22"/>
  <c r="L53" i="22"/>
  <c r="K53" i="22"/>
  <c r="J53" i="22"/>
  <c r="H53" i="22"/>
  <c r="N52" i="22"/>
  <c r="M52" i="22"/>
  <c r="L52" i="22"/>
  <c r="K52" i="22"/>
  <c r="J52" i="22"/>
  <c r="H52" i="22"/>
  <c r="N51" i="22"/>
  <c r="M51" i="22"/>
  <c r="L51" i="22"/>
  <c r="K51" i="22"/>
  <c r="J51" i="22"/>
  <c r="H51" i="22"/>
  <c r="N50" i="22"/>
  <c r="M50" i="22"/>
  <c r="L50" i="22"/>
  <c r="K50" i="22"/>
  <c r="J50" i="22"/>
  <c r="H50" i="22"/>
  <c r="N49" i="22"/>
  <c r="M49" i="22"/>
  <c r="L49" i="22"/>
  <c r="K49" i="22"/>
  <c r="J49" i="22"/>
  <c r="H49" i="22"/>
  <c r="N48" i="22"/>
  <c r="M48" i="22"/>
  <c r="L48" i="22"/>
  <c r="K48" i="22"/>
  <c r="J48" i="22"/>
  <c r="H48" i="22"/>
  <c r="N47" i="22"/>
  <c r="M47" i="22"/>
  <c r="L47" i="22"/>
  <c r="K47" i="22"/>
  <c r="J47" i="22"/>
  <c r="H47" i="22"/>
  <c r="N46" i="22"/>
  <c r="M46" i="22"/>
  <c r="L46" i="22"/>
  <c r="K46" i="22"/>
  <c r="J46" i="22"/>
  <c r="H46" i="22"/>
  <c r="N45" i="22"/>
  <c r="M45" i="22"/>
  <c r="L45" i="22"/>
  <c r="K45" i="22"/>
  <c r="J45" i="22"/>
  <c r="H45" i="22"/>
  <c r="N44" i="22"/>
  <c r="M44" i="22"/>
  <c r="L44" i="22"/>
  <c r="K44" i="22"/>
  <c r="J44" i="22"/>
  <c r="H44" i="22"/>
  <c r="N43" i="22"/>
  <c r="M43" i="22"/>
  <c r="L43" i="22"/>
  <c r="K43" i="22"/>
  <c r="J43" i="22"/>
  <c r="H43" i="22"/>
  <c r="N42" i="22"/>
  <c r="M42" i="22"/>
  <c r="L42" i="22"/>
  <c r="K42" i="22"/>
  <c r="J42" i="22"/>
  <c r="H42" i="22"/>
  <c r="N41" i="22"/>
  <c r="M41" i="22"/>
  <c r="L41" i="22"/>
  <c r="K41" i="22"/>
  <c r="J41" i="22"/>
  <c r="H41" i="22"/>
  <c r="N40" i="22"/>
  <c r="M40" i="22"/>
  <c r="L40" i="22"/>
  <c r="K40" i="22"/>
  <c r="J40" i="22"/>
  <c r="H40" i="22"/>
  <c r="N39" i="22"/>
  <c r="M39" i="22"/>
  <c r="L39" i="22"/>
  <c r="K39" i="22"/>
  <c r="J39" i="22"/>
  <c r="H39" i="22"/>
  <c r="N38" i="22"/>
  <c r="M38" i="22"/>
  <c r="L38" i="22"/>
  <c r="K38" i="22"/>
  <c r="J38" i="22"/>
  <c r="H38" i="22"/>
  <c r="N37" i="22"/>
  <c r="M37" i="22"/>
  <c r="L37" i="22"/>
  <c r="K37" i="22"/>
  <c r="J37" i="22"/>
  <c r="H37" i="22"/>
  <c r="N36" i="22"/>
  <c r="M36" i="22"/>
  <c r="L36" i="22"/>
  <c r="K36" i="22"/>
  <c r="J36" i="22"/>
  <c r="H36" i="22"/>
  <c r="N35" i="22"/>
  <c r="M35" i="22"/>
  <c r="L35" i="22"/>
  <c r="K35" i="22"/>
  <c r="J35" i="22"/>
  <c r="H35" i="22"/>
  <c r="N34" i="22"/>
  <c r="M34" i="22"/>
  <c r="L34" i="22"/>
  <c r="K34" i="22"/>
  <c r="J34" i="22"/>
  <c r="H34" i="22"/>
  <c r="N33" i="22"/>
  <c r="M33" i="22"/>
  <c r="L33" i="22"/>
  <c r="K33" i="22"/>
  <c r="J33" i="22"/>
  <c r="H33" i="22"/>
  <c r="N32" i="22"/>
  <c r="M32" i="22"/>
  <c r="L32" i="22"/>
  <c r="K32" i="22"/>
  <c r="J32" i="22"/>
  <c r="H32" i="22"/>
  <c r="N31" i="22"/>
  <c r="M31" i="22"/>
  <c r="L31" i="22"/>
  <c r="K31" i="22"/>
  <c r="J31" i="22"/>
  <c r="H31" i="22"/>
  <c r="N30" i="22"/>
  <c r="M30" i="22"/>
  <c r="L30" i="22"/>
  <c r="K30" i="22"/>
  <c r="J30" i="22"/>
  <c r="H30" i="22"/>
  <c r="N29" i="22"/>
  <c r="M29" i="22"/>
  <c r="L29" i="22"/>
  <c r="K29" i="22"/>
  <c r="J29" i="22"/>
  <c r="H29" i="22"/>
  <c r="N28" i="22"/>
  <c r="M28" i="22"/>
  <c r="L28" i="22"/>
  <c r="K28" i="22"/>
  <c r="J28" i="22"/>
  <c r="H28" i="22"/>
  <c r="N27" i="22"/>
  <c r="M27" i="22"/>
  <c r="L27" i="22"/>
  <c r="K27" i="22"/>
  <c r="J27" i="22"/>
  <c r="H27" i="22"/>
  <c r="N26" i="22"/>
  <c r="M26" i="22"/>
  <c r="L26" i="22"/>
  <c r="K26" i="22"/>
  <c r="J26" i="22"/>
  <c r="H26" i="22"/>
  <c r="N25" i="22"/>
  <c r="M25" i="22"/>
  <c r="L25" i="22"/>
  <c r="K25" i="22"/>
  <c r="J25" i="22"/>
  <c r="H25" i="22"/>
  <c r="N24" i="22"/>
  <c r="M24" i="22"/>
  <c r="L24" i="22"/>
  <c r="K24" i="22"/>
  <c r="J24" i="22"/>
  <c r="H24" i="22"/>
  <c r="N23" i="22"/>
  <c r="M23" i="22"/>
  <c r="L23" i="22"/>
  <c r="K23" i="22"/>
  <c r="J23" i="22"/>
  <c r="H23" i="22"/>
  <c r="N22" i="22"/>
  <c r="M22" i="22"/>
  <c r="L22" i="22"/>
  <c r="K22" i="22"/>
  <c r="J22" i="22"/>
  <c r="H22" i="22"/>
  <c r="N21" i="22"/>
  <c r="M21" i="22"/>
  <c r="L21" i="22"/>
  <c r="K21" i="22"/>
  <c r="J21" i="22"/>
  <c r="H21" i="22"/>
  <c r="N20" i="22"/>
  <c r="M20" i="22"/>
  <c r="L20" i="22"/>
  <c r="K20" i="22"/>
  <c r="J20" i="22"/>
  <c r="H20" i="22"/>
  <c r="N19" i="22"/>
  <c r="M19" i="22"/>
  <c r="L19" i="22"/>
  <c r="K19" i="22"/>
  <c r="J19" i="22"/>
  <c r="H19" i="22"/>
  <c r="N18" i="22"/>
  <c r="M18" i="22"/>
  <c r="L18" i="22"/>
  <c r="K18" i="22"/>
  <c r="J18" i="22"/>
  <c r="H18" i="22"/>
  <c r="N17" i="22"/>
  <c r="M17" i="22"/>
  <c r="L17" i="22"/>
  <c r="K17" i="22"/>
  <c r="J17" i="22"/>
  <c r="H17" i="22"/>
  <c r="N16" i="22"/>
  <c r="M16" i="22"/>
  <c r="L16" i="22"/>
  <c r="K16" i="22"/>
  <c r="J16" i="22"/>
  <c r="H16" i="22"/>
  <c r="N15" i="22"/>
  <c r="M15" i="22"/>
  <c r="L15" i="22"/>
  <c r="K15" i="22"/>
  <c r="J15" i="22"/>
  <c r="H15" i="22"/>
  <c r="N14" i="22"/>
  <c r="M14" i="22"/>
  <c r="L14" i="22"/>
  <c r="K14" i="22"/>
  <c r="J14" i="22"/>
  <c r="H14" i="22"/>
  <c r="N13" i="22"/>
  <c r="M13" i="22"/>
  <c r="L13" i="22"/>
  <c r="K13" i="22"/>
  <c r="J13" i="22"/>
  <c r="H13" i="22"/>
  <c r="N12" i="22"/>
  <c r="M12" i="22"/>
  <c r="L12" i="22"/>
  <c r="K12" i="22"/>
  <c r="J12" i="22"/>
  <c r="H12" i="22"/>
  <c r="N11" i="22"/>
  <c r="M11" i="22"/>
  <c r="L11" i="22"/>
  <c r="K11" i="22"/>
  <c r="J11" i="22"/>
  <c r="H11" i="22"/>
  <c r="N10" i="22"/>
  <c r="M10" i="22"/>
  <c r="L10" i="22"/>
  <c r="K10" i="22"/>
  <c r="J10" i="22"/>
  <c r="H10" i="22"/>
  <c r="N9" i="22"/>
  <c r="M9" i="22"/>
  <c r="L9" i="22"/>
  <c r="K9" i="22"/>
  <c r="J9" i="22"/>
  <c r="H9" i="22"/>
  <c r="N8" i="22"/>
  <c r="M8" i="22"/>
  <c r="L8" i="22"/>
  <c r="K8" i="22"/>
  <c r="J8" i="22"/>
  <c r="H8" i="22"/>
  <c r="N7" i="22"/>
  <c r="M7" i="22"/>
  <c r="L7" i="22"/>
  <c r="K7" i="22"/>
  <c r="J7" i="22"/>
  <c r="H7" i="22"/>
  <c r="N6" i="22"/>
  <c r="M6" i="22"/>
  <c r="L6" i="22"/>
  <c r="K6" i="22"/>
  <c r="J6" i="22"/>
  <c r="H6" i="22"/>
  <c r="N5" i="22"/>
  <c r="M5" i="22"/>
  <c r="L5" i="22"/>
  <c r="K5" i="22"/>
  <c r="J5" i="22"/>
  <c r="H5" i="22"/>
  <c r="N4" i="22"/>
  <c r="M4" i="22"/>
  <c r="L4" i="22"/>
  <c r="K4" i="22"/>
  <c r="J4" i="22"/>
  <c r="H4" i="22"/>
  <c r="N3" i="22"/>
  <c r="M3" i="22"/>
  <c r="L3" i="22"/>
  <c r="K3" i="22"/>
  <c r="J3" i="22"/>
  <c r="H3" i="22"/>
  <c r="H83" i="22" s="1"/>
  <c r="N82" i="21"/>
  <c r="M82" i="21"/>
  <c r="L82" i="21"/>
  <c r="K82" i="21"/>
  <c r="J82" i="21"/>
  <c r="H82" i="21"/>
  <c r="N81" i="21"/>
  <c r="M81" i="21"/>
  <c r="L81" i="21"/>
  <c r="K81" i="21"/>
  <c r="J81" i="21"/>
  <c r="H81" i="21"/>
  <c r="N80" i="21"/>
  <c r="M80" i="21"/>
  <c r="L80" i="21"/>
  <c r="K80" i="21"/>
  <c r="J80" i="21"/>
  <c r="H80" i="21"/>
  <c r="N79" i="21"/>
  <c r="M79" i="21"/>
  <c r="L79" i="21"/>
  <c r="K79" i="21"/>
  <c r="J79" i="21"/>
  <c r="H79" i="21"/>
  <c r="N78" i="21"/>
  <c r="M78" i="21"/>
  <c r="L78" i="21"/>
  <c r="K78" i="21"/>
  <c r="J78" i="21"/>
  <c r="H78" i="21"/>
  <c r="N77" i="21"/>
  <c r="M77" i="21"/>
  <c r="L77" i="21"/>
  <c r="K77" i="21"/>
  <c r="J77" i="21"/>
  <c r="H77" i="21"/>
  <c r="N76" i="21"/>
  <c r="M76" i="21"/>
  <c r="L76" i="21"/>
  <c r="K76" i="21"/>
  <c r="J76" i="21"/>
  <c r="H76" i="21"/>
  <c r="N75" i="21"/>
  <c r="M75" i="21"/>
  <c r="L75" i="21"/>
  <c r="K75" i="21"/>
  <c r="J75" i="21"/>
  <c r="H75" i="21"/>
  <c r="N74" i="21"/>
  <c r="M74" i="21"/>
  <c r="L74" i="21"/>
  <c r="K74" i="21"/>
  <c r="J74" i="21"/>
  <c r="H74" i="21"/>
  <c r="N73" i="21"/>
  <c r="M73" i="21"/>
  <c r="L73" i="21"/>
  <c r="K73" i="21"/>
  <c r="J73" i="21"/>
  <c r="H73" i="21"/>
  <c r="N72" i="21"/>
  <c r="M72" i="21"/>
  <c r="L72" i="21"/>
  <c r="K72" i="21"/>
  <c r="J72" i="21"/>
  <c r="H72" i="21"/>
  <c r="N71" i="21"/>
  <c r="M71" i="21"/>
  <c r="L71" i="21"/>
  <c r="K71" i="21"/>
  <c r="J71" i="21"/>
  <c r="H71" i="21"/>
  <c r="N70" i="21"/>
  <c r="M70" i="21"/>
  <c r="L70" i="21"/>
  <c r="K70" i="21"/>
  <c r="J70" i="21"/>
  <c r="H70" i="21"/>
  <c r="N69" i="21"/>
  <c r="M69" i="21"/>
  <c r="L69" i="21"/>
  <c r="K69" i="21"/>
  <c r="J69" i="21"/>
  <c r="H69" i="21"/>
  <c r="N68" i="21"/>
  <c r="M68" i="21"/>
  <c r="L68" i="21"/>
  <c r="K68" i="21"/>
  <c r="J68" i="21"/>
  <c r="H68" i="21"/>
  <c r="N67" i="21"/>
  <c r="M67" i="21"/>
  <c r="L67" i="21"/>
  <c r="K67" i="21"/>
  <c r="J67" i="21"/>
  <c r="H67" i="21"/>
  <c r="N66" i="21"/>
  <c r="M66" i="21"/>
  <c r="L66" i="21"/>
  <c r="K66" i="21"/>
  <c r="J66" i="21"/>
  <c r="H66" i="21"/>
  <c r="N65" i="21"/>
  <c r="M65" i="21"/>
  <c r="L65" i="21"/>
  <c r="K65" i="21"/>
  <c r="J65" i="21"/>
  <c r="H65" i="21"/>
  <c r="N64" i="21"/>
  <c r="M64" i="21"/>
  <c r="L64" i="21"/>
  <c r="K64" i="21"/>
  <c r="J64" i="21"/>
  <c r="H64" i="21"/>
  <c r="N63" i="21"/>
  <c r="M63" i="21"/>
  <c r="L63" i="21"/>
  <c r="K63" i="21"/>
  <c r="J63" i="21"/>
  <c r="H63" i="21"/>
  <c r="N62" i="21"/>
  <c r="M62" i="21"/>
  <c r="L62" i="21"/>
  <c r="K62" i="21"/>
  <c r="J62" i="21"/>
  <c r="H62" i="21"/>
  <c r="N61" i="21"/>
  <c r="M61" i="21"/>
  <c r="L61" i="21"/>
  <c r="K61" i="21"/>
  <c r="J61" i="21"/>
  <c r="H61" i="21"/>
  <c r="N60" i="21"/>
  <c r="M60" i="21"/>
  <c r="L60" i="21"/>
  <c r="K60" i="21"/>
  <c r="J60" i="21"/>
  <c r="H60" i="21"/>
  <c r="N59" i="21"/>
  <c r="M59" i="21"/>
  <c r="L59" i="21"/>
  <c r="K59" i="21"/>
  <c r="J59" i="21"/>
  <c r="H59" i="21"/>
  <c r="N58" i="21"/>
  <c r="M58" i="21"/>
  <c r="L58" i="21"/>
  <c r="K58" i="21"/>
  <c r="J58" i="21"/>
  <c r="H58" i="21"/>
  <c r="N57" i="21"/>
  <c r="M57" i="21"/>
  <c r="L57" i="21"/>
  <c r="K57" i="21"/>
  <c r="J57" i="21"/>
  <c r="H57" i="21"/>
  <c r="N56" i="21"/>
  <c r="M56" i="21"/>
  <c r="L56" i="21"/>
  <c r="K56" i="21"/>
  <c r="J56" i="21"/>
  <c r="H56" i="21"/>
  <c r="N55" i="21"/>
  <c r="M55" i="21"/>
  <c r="L55" i="21"/>
  <c r="K55" i="21"/>
  <c r="J55" i="21"/>
  <c r="H55" i="21"/>
  <c r="N54" i="21"/>
  <c r="M54" i="21"/>
  <c r="L54" i="21"/>
  <c r="K54" i="21"/>
  <c r="J54" i="21"/>
  <c r="H54" i="21"/>
  <c r="N53" i="21"/>
  <c r="M53" i="21"/>
  <c r="L53" i="21"/>
  <c r="K53" i="21"/>
  <c r="J53" i="21"/>
  <c r="H53" i="21"/>
  <c r="N52" i="21"/>
  <c r="M52" i="21"/>
  <c r="L52" i="21"/>
  <c r="K52" i="21"/>
  <c r="J52" i="21"/>
  <c r="H52" i="21"/>
  <c r="N51" i="21"/>
  <c r="M51" i="21"/>
  <c r="L51" i="21"/>
  <c r="K51" i="21"/>
  <c r="J51" i="21"/>
  <c r="H51" i="21"/>
  <c r="N50" i="21"/>
  <c r="M50" i="21"/>
  <c r="L50" i="21"/>
  <c r="K50" i="21"/>
  <c r="J50" i="21"/>
  <c r="H50" i="21"/>
  <c r="N49" i="21"/>
  <c r="M49" i="21"/>
  <c r="L49" i="21"/>
  <c r="K49" i="21"/>
  <c r="J49" i="21"/>
  <c r="H49" i="21"/>
  <c r="N48" i="21"/>
  <c r="M48" i="21"/>
  <c r="L48" i="21"/>
  <c r="K48" i="21"/>
  <c r="J48" i="21"/>
  <c r="H48" i="21"/>
  <c r="N47" i="21"/>
  <c r="M47" i="21"/>
  <c r="L47" i="21"/>
  <c r="K47" i="21"/>
  <c r="J47" i="21"/>
  <c r="H47" i="21"/>
  <c r="N46" i="21"/>
  <c r="M46" i="21"/>
  <c r="L46" i="21"/>
  <c r="K46" i="21"/>
  <c r="J46" i="21"/>
  <c r="H46" i="21"/>
  <c r="N45" i="21"/>
  <c r="M45" i="21"/>
  <c r="L45" i="21"/>
  <c r="K45" i="21"/>
  <c r="J45" i="21"/>
  <c r="H45" i="21"/>
  <c r="N44" i="21"/>
  <c r="M44" i="21"/>
  <c r="L44" i="21"/>
  <c r="K44" i="21"/>
  <c r="J44" i="21"/>
  <c r="H44" i="21"/>
  <c r="N43" i="21"/>
  <c r="M43" i="21"/>
  <c r="L43" i="21"/>
  <c r="K43" i="21"/>
  <c r="J43" i="21"/>
  <c r="H43" i="21"/>
  <c r="N42" i="21"/>
  <c r="M42" i="21"/>
  <c r="L42" i="21"/>
  <c r="K42" i="21"/>
  <c r="J42" i="21"/>
  <c r="H42" i="21"/>
  <c r="N41" i="21"/>
  <c r="M41" i="21"/>
  <c r="L41" i="21"/>
  <c r="K41" i="21"/>
  <c r="J41" i="21"/>
  <c r="H41" i="21"/>
  <c r="N40" i="21"/>
  <c r="M40" i="21"/>
  <c r="L40" i="21"/>
  <c r="K40" i="21"/>
  <c r="J40" i="21"/>
  <c r="H40" i="21"/>
  <c r="N39" i="21"/>
  <c r="M39" i="21"/>
  <c r="L39" i="21"/>
  <c r="K39" i="21"/>
  <c r="J39" i="21"/>
  <c r="H39" i="21"/>
  <c r="N38" i="21"/>
  <c r="M38" i="21"/>
  <c r="L38" i="21"/>
  <c r="K38" i="21"/>
  <c r="J38" i="21"/>
  <c r="H38" i="21"/>
  <c r="N37" i="21"/>
  <c r="M37" i="21"/>
  <c r="L37" i="21"/>
  <c r="K37" i="21"/>
  <c r="J37" i="21"/>
  <c r="H37" i="21"/>
  <c r="N36" i="21"/>
  <c r="M36" i="21"/>
  <c r="L36" i="21"/>
  <c r="K36" i="21"/>
  <c r="J36" i="21"/>
  <c r="H36" i="21"/>
  <c r="N35" i="21"/>
  <c r="M35" i="21"/>
  <c r="L35" i="21"/>
  <c r="K35" i="21"/>
  <c r="J35" i="21"/>
  <c r="H35" i="21"/>
  <c r="N34" i="21"/>
  <c r="M34" i="21"/>
  <c r="L34" i="21"/>
  <c r="K34" i="21"/>
  <c r="J34" i="21"/>
  <c r="H34" i="21"/>
  <c r="N33" i="21"/>
  <c r="M33" i="21"/>
  <c r="L33" i="21"/>
  <c r="K33" i="21"/>
  <c r="J33" i="21"/>
  <c r="H33" i="21"/>
  <c r="N32" i="21"/>
  <c r="M32" i="21"/>
  <c r="L32" i="21"/>
  <c r="K32" i="21"/>
  <c r="J32" i="21"/>
  <c r="H32" i="21"/>
  <c r="N31" i="21"/>
  <c r="M31" i="21"/>
  <c r="L31" i="21"/>
  <c r="K31" i="21"/>
  <c r="J31" i="21"/>
  <c r="H31" i="21"/>
  <c r="N30" i="21"/>
  <c r="M30" i="21"/>
  <c r="L30" i="21"/>
  <c r="K30" i="21"/>
  <c r="J30" i="21"/>
  <c r="H30" i="21"/>
  <c r="N29" i="21"/>
  <c r="M29" i="21"/>
  <c r="L29" i="21"/>
  <c r="K29" i="21"/>
  <c r="J29" i="21"/>
  <c r="H29" i="21"/>
  <c r="N28" i="21"/>
  <c r="M28" i="21"/>
  <c r="L28" i="21"/>
  <c r="K28" i="21"/>
  <c r="J28" i="21"/>
  <c r="H28" i="21"/>
  <c r="N27" i="21"/>
  <c r="M27" i="21"/>
  <c r="L27" i="21"/>
  <c r="K27" i="21"/>
  <c r="J27" i="21"/>
  <c r="H27" i="21"/>
  <c r="N26" i="21"/>
  <c r="M26" i="21"/>
  <c r="L26" i="21"/>
  <c r="K26" i="21"/>
  <c r="J26" i="21"/>
  <c r="H26" i="21"/>
  <c r="N25" i="21"/>
  <c r="M25" i="21"/>
  <c r="L25" i="21"/>
  <c r="K25" i="21"/>
  <c r="J25" i="21"/>
  <c r="H25" i="21"/>
  <c r="N24" i="21"/>
  <c r="M24" i="21"/>
  <c r="L24" i="21"/>
  <c r="K24" i="21"/>
  <c r="J24" i="21"/>
  <c r="H24" i="21"/>
  <c r="N23" i="21"/>
  <c r="M23" i="21"/>
  <c r="L23" i="21"/>
  <c r="K23" i="21"/>
  <c r="J23" i="21"/>
  <c r="H23" i="21"/>
  <c r="N22" i="21"/>
  <c r="M22" i="21"/>
  <c r="L22" i="21"/>
  <c r="K22" i="21"/>
  <c r="J22" i="21"/>
  <c r="H22" i="21"/>
  <c r="N21" i="21"/>
  <c r="M21" i="21"/>
  <c r="L21" i="21"/>
  <c r="K21" i="21"/>
  <c r="J21" i="21"/>
  <c r="H21" i="21"/>
  <c r="N20" i="21"/>
  <c r="M20" i="21"/>
  <c r="L20" i="21"/>
  <c r="K20" i="21"/>
  <c r="J20" i="21"/>
  <c r="H20" i="21"/>
  <c r="N19" i="21"/>
  <c r="M19" i="21"/>
  <c r="L19" i="21"/>
  <c r="K19" i="21"/>
  <c r="J19" i="21"/>
  <c r="H19" i="21"/>
  <c r="N18" i="21"/>
  <c r="M18" i="21"/>
  <c r="L18" i="21"/>
  <c r="K18" i="21"/>
  <c r="J18" i="21"/>
  <c r="H18" i="21"/>
  <c r="N17" i="21"/>
  <c r="M17" i="21"/>
  <c r="L17" i="21"/>
  <c r="K17" i="21"/>
  <c r="J17" i="21"/>
  <c r="H17" i="21"/>
  <c r="N16" i="21"/>
  <c r="M16" i="21"/>
  <c r="L16" i="21"/>
  <c r="K16" i="21"/>
  <c r="J16" i="21"/>
  <c r="H16" i="21"/>
  <c r="N15" i="21"/>
  <c r="M15" i="21"/>
  <c r="L15" i="21"/>
  <c r="K15" i="21"/>
  <c r="J15" i="21"/>
  <c r="H15" i="21"/>
  <c r="N14" i="21"/>
  <c r="M14" i="21"/>
  <c r="L14" i="21"/>
  <c r="K14" i="21"/>
  <c r="J14" i="21"/>
  <c r="H14" i="21"/>
  <c r="N13" i="21"/>
  <c r="M13" i="21"/>
  <c r="L13" i="21"/>
  <c r="K13" i="21"/>
  <c r="J13" i="21"/>
  <c r="H13" i="21"/>
  <c r="N12" i="21"/>
  <c r="M12" i="21"/>
  <c r="L12" i="21"/>
  <c r="K12" i="21"/>
  <c r="J12" i="21"/>
  <c r="H12" i="21"/>
  <c r="N11" i="21"/>
  <c r="M11" i="21"/>
  <c r="L11" i="21"/>
  <c r="K11" i="21"/>
  <c r="J11" i="21"/>
  <c r="H11" i="21"/>
  <c r="N10" i="21"/>
  <c r="M10" i="21"/>
  <c r="L10" i="21"/>
  <c r="K10" i="21"/>
  <c r="J10" i="21"/>
  <c r="H10" i="21"/>
  <c r="N9" i="21"/>
  <c r="M9" i="21"/>
  <c r="L9" i="21"/>
  <c r="K9" i="21"/>
  <c r="J9" i="21"/>
  <c r="H9" i="21"/>
  <c r="N8" i="21"/>
  <c r="M8" i="21"/>
  <c r="L8" i="21"/>
  <c r="K8" i="21"/>
  <c r="J8" i="21"/>
  <c r="H8" i="21"/>
  <c r="N7" i="21"/>
  <c r="M7" i="21"/>
  <c r="L7" i="21"/>
  <c r="K7" i="21"/>
  <c r="J7" i="21"/>
  <c r="H7" i="21"/>
  <c r="N6" i="21"/>
  <c r="M6" i="21"/>
  <c r="L6" i="21"/>
  <c r="K6" i="21"/>
  <c r="J6" i="21"/>
  <c r="H6" i="21"/>
  <c r="N5" i="21"/>
  <c r="M5" i="21"/>
  <c r="L5" i="21"/>
  <c r="K5" i="21"/>
  <c r="J5" i="21"/>
  <c r="H5" i="21"/>
  <c r="N4" i="21"/>
  <c r="M4" i="21"/>
  <c r="L4" i="21"/>
  <c r="K4" i="21"/>
  <c r="J4" i="21"/>
  <c r="H4" i="21"/>
  <c r="N3" i="21"/>
  <c r="M3" i="21"/>
  <c r="L3" i="21"/>
  <c r="K3" i="21"/>
  <c r="J3" i="21"/>
  <c r="H3" i="21"/>
  <c r="H83" i="21" s="1"/>
  <c r="N82" i="20"/>
  <c r="M82" i="20"/>
  <c r="L82" i="20"/>
  <c r="K82" i="20"/>
  <c r="J82" i="20"/>
  <c r="H82" i="20"/>
  <c r="N81" i="20"/>
  <c r="M81" i="20"/>
  <c r="L81" i="20"/>
  <c r="K81" i="20"/>
  <c r="J81" i="20"/>
  <c r="H81" i="20"/>
  <c r="N80" i="20"/>
  <c r="M80" i="20"/>
  <c r="L80" i="20"/>
  <c r="K80" i="20"/>
  <c r="J80" i="20"/>
  <c r="H80" i="20"/>
  <c r="N79" i="20"/>
  <c r="M79" i="20"/>
  <c r="L79" i="20"/>
  <c r="K79" i="20"/>
  <c r="J79" i="20"/>
  <c r="H79" i="20"/>
  <c r="N78" i="20"/>
  <c r="M78" i="20"/>
  <c r="L78" i="20"/>
  <c r="K78" i="20"/>
  <c r="J78" i="20"/>
  <c r="H78" i="20"/>
  <c r="N77" i="20"/>
  <c r="M77" i="20"/>
  <c r="L77" i="20"/>
  <c r="K77" i="20"/>
  <c r="J77" i="20"/>
  <c r="H77" i="20"/>
  <c r="N76" i="20"/>
  <c r="M76" i="20"/>
  <c r="L76" i="20"/>
  <c r="K76" i="20"/>
  <c r="J76" i="20"/>
  <c r="H76" i="20"/>
  <c r="N75" i="20"/>
  <c r="M75" i="20"/>
  <c r="L75" i="20"/>
  <c r="K75" i="20"/>
  <c r="J75" i="20"/>
  <c r="H75" i="20"/>
  <c r="N74" i="20"/>
  <c r="M74" i="20"/>
  <c r="L74" i="20"/>
  <c r="K74" i="20"/>
  <c r="J74" i="20"/>
  <c r="H74" i="20"/>
  <c r="N73" i="20"/>
  <c r="M73" i="20"/>
  <c r="L73" i="20"/>
  <c r="K73" i="20"/>
  <c r="J73" i="20"/>
  <c r="H73" i="20"/>
  <c r="N72" i="20"/>
  <c r="M72" i="20"/>
  <c r="L72" i="20"/>
  <c r="K72" i="20"/>
  <c r="J72" i="20"/>
  <c r="H72" i="20"/>
  <c r="N71" i="20"/>
  <c r="M71" i="20"/>
  <c r="L71" i="20"/>
  <c r="K71" i="20"/>
  <c r="J71" i="20"/>
  <c r="H71" i="20"/>
  <c r="N70" i="20"/>
  <c r="M70" i="20"/>
  <c r="L70" i="20"/>
  <c r="K70" i="20"/>
  <c r="J70" i="20"/>
  <c r="H70" i="20"/>
  <c r="N69" i="20"/>
  <c r="M69" i="20"/>
  <c r="L69" i="20"/>
  <c r="K69" i="20"/>
  <c r="J69" i="20"/>
  <c r="H69" i="20"/>
  <c r="N68" i="20"/>
  <c r="M68" i="20"/>
  <c r="L68" i="20"/>
  <c r="K68" i="20"/>
  <c r="J68" i="20"/>
  <c r="H68" i="20"/>
  <c r="N67" i="20"/>
  <c r="M67" i="20"/>
  <c r="L67" i="20"/>
  <c r="K67" i="20"/>
  <c r="J67" i="20"/>
  <c r="H67" i="20"/>
  <c r="N66" i="20"/>
  <c r="M66" i="20"/>
  <c r="L66" i="20"/>
  <c r="K66" i="20"/>
  <c r="J66" i="20"/>
  <c r="H66" i="20"/>
  <c r="N65" i="20"/>
  <c r="M65" i="20"/>
  <c r="L65" i="20"/>
  <c r="K65" i="20"/>
  <c r="J65" i="20"/>
  <c r="H65" i="20"/>
  <c r="N64" i="20"/>
  <c r="M64" i="20"/>
  <c r="L64" i="20"/>
  <c r="K64" i="20"/>
  <c r="J64" i="20"/>
  <c r="H64" i="20"/>
  <c r="N63" i="20"/>
  <c r="M63" i="20"/>
  <c r="L63" i="20"/>
  <c r="K63" i="20"/>
  <c r="J63" i="20"/>
  <c r="H63" i="20"/>
  <c r="N62" i="20"/>
  <c r="M62" i="20"/>
  <c r="L62" i="20"/>
  <c r="K62" i="20"/>
  <c r="J62" i="20"/>
  <c r="H62" i="20"/>
  <c r="N61" i="20"/>
  <c r="M61" i="20"/>
  <c r="L61" i="20"/>
  <c r="K61" i="20"/>
  <c r="J61" i="20"/>
  <c r="H61" i="20"/>
  <c r="N60" i="20"/>
  <c r="M60" i="20"/>
  <c r="L60" i="20"/>
  <c r="K60" i="20"/>
  <c r="J60" i="20"/>
  <c r="H60" i="20"/>
  <c r="N59" i="20"/>
  <c r="M59" i="20"/>
  <c r="L59" i="20"/>
  <c r="K59" i="20"/>
  <c r="J59" i="20"/>
  <c r="H59" i="20"/>
  <c r="N58" i="20"/>
  <c r="M58" i="20"/>
  <c r="L58" i="20"/>
  <c r="K58" i="20"/>
  <c r="J58" i="20"/>
  <c r="H58" i="20"/>
  <c r="N57" i="20"/>
  <c r="M57" i="20"/>
  <c r="L57" i="20"/>
  <c r="K57" i="20"/>
  <c r="J57" i="20"/>
  <c r="H57" i="20"/>
  <c r="N56" i="20"/>
  <c r="M56" i="20"/>
  <c r="L56" i="20"/>
  <c r="K56" i="20"/>
  <c r="J56" i="20"/>
  <c r="H56" i="20"/>
  <c r="N55" i="20"/>
  <c r="M55" i="20"/>
  <c r="L55" i="20"/>
  <c r="K55" i="20"/>
  <c r="J55" i="20"/>
  <c r="H55" i="20"/>
  <c r="N54" i="20"/>
  <c r="M54" i="20"/>
  <c r="L54" i="20"/>
  <c r="K54" i="20"/>
  <c r="J54" i="20"/>
  <c r="H54" i="20"/>
  <c r="N53" i="20"/>
  <c r="M53" i="20"/>
  <c r="L53" i="20"/>
  <c r="K53" i="20"/>
  <c r="J53" i="20"/>
  <c r="H53" i="20"/>
  <c r="N52" i="20"/>
  <c r="M52" i="20"/>
  <c r="L52" i="20"/>
  <c r="K52" i="20"/>
  <c r="J52" i="20"/>
  <c r="H52" i="20"/>
  <c r="N51" i="20"/>
  <c r="M51" i="20"/>
  <c r="L51" i="20"/>
  <c r="K51" i="20"/>
  <c r="J51" i="20"/>
  <c r="H51" i="20"/>
  <c r="N50" i="20"/>
  <c r="M50" i="20"/>
  <c r="L50" i="20"/>
  <c r="K50" i="20"/>
  <c r="J50" i="20"/>
  <c r="H50" i="20"/>
  <c r="N49" i="20"/>
  <c r="M49" i="20"/>
  <c r="L49" i="20"/>
  <c r="K49" i="20"/>
  <c r="J49" i="20"/>
  <c r="H49" i="20"/>
  <c r="N48" i="20"/>
  <c r="M48" i="20"/>
  <c r="L48" i="20"/>
  <c r="K48" i="20"/>
  <c r="J48" i="20"/>
  <c r="H48" i="20"/>
  <c r="N47" i="20"/>
  <c r="M47" i="20"/>
  <c r="L47" i="20"/>
  <c r="K47" i="20"/>
  <c r="J47" i="20"/>
  <c r="H47" i="20"/>
  <c r="N46" i="20"/>
  <c r="M46" i="20"/>
  <c r="L46" i="20"/>
  <c r="K46" i="20"/>
  <c r="J46" i="20"/>
  <c r="H46" i="20"/>
  <c r="N45" i="20"/>
  <c r="M45" i="20"/>
  <c r="L45" i="20"/>
  <c r="K45" i="20"/>
  <c r="J45" i="20"/>
  <c r="H45" i="20"/>
  <c r="N44" i="20"/>
  <c r="M44" i="20"/>
  <c r="L44" i="20"/>
  <c r="K44" i="20"/>
  <c r="J44" i="20"/>
  <c r="H44" i="20"/>
  <c r="N43" i="20"/>
  <c r="M43" i="20"/>
  <c r="L43" i="20"/>
  <c r="K43" i="20"/>
  <c r="J43" i="20"/>
  <c r="H43" i="20"/>
  <c r="N42" i="20"/>
  <c r="M42" i="20"/>
  <c r="L42" i="20"/>
  <c r="K42" i="20"/>
  <c r="J42" i="20"/>
  <c r="H42" i="20"/>
  <c r="N41" i="20"/>
  <c r="M41" i="20"/>
  <c r="L41" i="20"/>
  <c r="K41" i="20"/>
  <c r="J41" i="20"/>
  <c r="H41" i="20"/>
  <c r="N40" i="20"/>
  <c r="M40" i="20"/>
  <c r="L40" i="20"/>
  <c r="K40" i="20"/>
  <c r="J40" i="20"/>
  <c r="H40" i="20"/>
  <c r="N39" i="20"/>
  <c r="M39" i="20"/>
  <c r="L39" i="20"/>
  <c r="K39" i="20"/>
  <c r="J39" i="20"/>
  <c r="H39" i="20"/>
  <c r="N38" i="20"/>
  <c r="M38" i="20"/>
  <c r="L38" i="20"/>
  <c r="K38" i="20"/>
  <c r="J38" i="20"/>
  <c r="H38" i="20"/>
  <c r="N37" i="20"/>
  <c r="M37" i="20"/>
  <c r="L37" i="20"/>
  <c r="K37" i="20"/>
  <c r="J37" i="20"/>
  <c r="H37" i="20"/>
  <c r="N36" i="20"/>
  <c r="M36" i="20"/>
  <c r="L36" i="20"/>
  <c r="K36" i="20"/>
  <c r="J36" i="20"/>
  <c r="H36" i="20"/>
  <c r="N35" i="20"/>
  <c r="M35" i="20"/>
  <c r="L35" i="20"/>
  <c r="K35" i="20"/>
  <c r="J35" i="20"/>
  <c r="H35" i="20"/>
  <c r="N34" i="20"/>
  <c r="M34" i="20"/>
  <c r="L34" i="20"/>
  <c r="K34" i="20"/>
  <c r="J34" i="20"/>
  <c r="H34" i="20"/>
  <c r="N33" i="20"/>
  <c r="M33" i="20"/>
  <c r="L33" i="20"/>
  <c r="K33" i="20"/>
  <c r="J33" i="20"/>
  <c r="H33" i="20"/>
  <c r="N32" i="20"/>
  <c r="M32" i="20"/>
  <c r="L32" i="20"/>
  <c r="K32" i="20"/>
  <c r="J32" i="20"/>
  <c r="H32" i="20"/>
  <c r="N31" i="20"/>
  <c r="M31" i="20"/>
  <c r="L31" i="20"/>
  <c r="K31" i="20"/>
  <c r="J31" i="20"/>
  <c r="H31" i="20"/>
  <c r="N30" i="20"/>
  <c r="M30" i="20"/>
  <c r="L30" i="20"/>
  <c r="K30" i="20"/>
  <c r="J30" i="20"/>
  <c r="H30" i="20"/>
  <c r="N29" i="20"/>
  <c r="M29" i="20"/>
  <c r="L29" i="20"/>
  <c r="K29" i="20"/>
  <c r="J29" i="20"/>
  <c r="H29" i="20"/>
  <c r="N28" i="20"/>
  <c r="M28" i="20"/>
  <c r="L28" i="20"/>
  <c r="K28" i="20"/>
  <c r="J28" i="20"/>
  <c r="H28" i="20"/>
  <c r="N27" i="20"/>
  <c r="M27" i="20"/>
  <c r="L27" i="20"/>
  <c r="K27" i="20"/>
  <c r="J27" i="20"/>
  <c r="H27" i="20"/>
  <c r="N26" i="20"/>
  <c r="M26" i="20"/>
  <c r="L26" i="20"/>
  <c r="K26" i="20"/>
  <c r="J26" i="20"/>
  <c r="H26" i="20"/>
  <c r="N25" i="20"/>
  <c r="M25" i="20"/>
  <c r="L25" i="20"/>
  <c r="K25" i="20"/>
  <c r="J25" i="20"/>
  <c r="H25" i="20"/>
  <c r="N24" i="20"/>
  <c r="M24" i="20"/>
  <c r="L24" i="20"/>
  <c r="K24" i="20"/>
  <c r="J24" i="20"/>
  <c r="H24" i="20"/>
  <c r="N23" i="20"/>
  <c r="M23" i="20"/>
  <c r="L23" i="20"/>
  <c r="K23" i="20"/>
  <c r="J23" i="20"/>
  <c r="H23" i="20"/>
  <c r="N22" i="20"/>
  <c r="M22" i="20"/>
  <c r="L22" i="20"/>
  <c r="K22" i="20"/>
  <c r="J22" i="20"/>
  <c r="H22" i="20"/>
  <c r="N21" i="20"/>
  <c r="M21" i="20"/>
  <c r="L21" i="20"/>
  <c r="K21" i="20"/>
  <c r="J21" i="20"/>
  <c r="H21" i="20"/>
  <c r="N20" i="20"/>
  <c r="M20" i="20"/>
  <c r="L20" i="20"/>
  <c r="K20" i="20"/>
  <c r="J20" i="20"/>
  <c r="H20" i="20"/>
  <c r="N19" i="20"/>
  <c r="M19" i="20"/>
  <c r="L19" i="20"/>
  <c r="K19" i="20"/>
  <c r="J19" i="20"/>
  <c r="H19" i="20"/>
  <c r="N18" i="20"/>
  <c r="M18" i="20"/>
  <c r="L18" i="20"/>
  <c r="K18" i="20"/>
  <c r="J18" i="20"/>
  <c r="H18" i="20"/>
  <c r="N17" i="20"/>
  <c r="M17" i="20"/>
  <c r="L17" i="20"/>
  <c r="K17" i="20"/>
  <c r="J17" i="20"/>
  <c r="H17" i="20"/>
  <c r="N16" i="20"/>
  <c r="M16" i="20"/>
  <c r="L16" i="20"/>
  <c r="K16" i="20"/>
  <c r="J16" i="20"/>
  <c r="H16" i="20"/>
  <c r="N15" i="20"/>
  <c r="M15" i="20"/>
  <c r="L15" i="20"/>
  <c r="K15" i="20"/>
  <c r="J15" i="20"/>
  <c r="H15" i="20"/>
  <c r="N14" i="20"/>
  <c r="M14" i="20"/>
  <c r="L14" i="20"/>
  <c r="K14" i="20"/>
  <c r="J14" i="20"/>
  <c r="H14" i="20"/>
  <c r="N13" i="20"/>
  <c r="M13" i="20"/>
  <c r="L13" i="20"/>
  <c r="K13" i="20"/>
  <c r="J13" i="20"/>
  <c r="H13" i="20"/>
  <c r="N12" i="20"/>
  <c r="M12" i="20"/>
  <c r="L12" i="20"/>
  <c r="K12" i="20"/>
  <c r="J12" i="20"/>
  <c r="H12" i="20"/>
  <c r="N11" i="20"/>
  <c r="M11" i="20"/>
  <c r="L11" i="20"/>
  <c r="K11" i="20"/>
  <c r="J11" i="20"/>
  <c r="H11" i="20"/>
  <c r="N10" i="20"/>
  <c r="M10" i="20"/>
  <c r="L10" i="20"/>
  <c r="K10" i="20"/>
  <c r="J10" i="20"/>
  <c r="H10" i="20"/>
  <c r="N9" i="20"/>
  <c r="M9" i="20"/>
  <c r="L9" i="20"/>
  <c r="K9" i="20"/>
  <c r="J9" i="20"/>
  <c r="H9" i="20"/>
  <c r="N8" i="20"/>
  <c r="M8" i="20"/>
  <c r="L8" i="20"/>
  <c r="K8" i="20"/>
  <c r="J8" i="20"/>
  <c r="H8" i="20"/>
  <c r="N7" i="20"/>
  <c r="M7" i="20"/>
  <c r="L7" i="20"/>
  <c r="K7" i="20"/>
  <c r="J7" i="20"/>
  <c r="H7" i="20"/>
  <c r="N6" i="20"/>
  <c r="M6" i="20"/>
  <c r="L6" i="20"/>
  <c r="K6" i="20"/>
  <c r="J6" i="20"/>
  <c r="H6" i="20"/>
  <c r="N5" i="20"/>
  <c r="M5" i="20"/>
  <c r="L5" i="20"/>
  <c r="K5" i="20"/>
  <c r="J5" i="20"/>
  <c r="H5" i="20"/>
  <c r="N4" i="20"/>
  <c r="M4" i="20"/>
  <c r="L4" i="20"/>
  <c r="K4" i="20"/>
  <c r="J4" i="20"/>
  <c r="H4" i="20"/>
  <c r="N3" i="20"/>
  <c r="M3" i="20"/>
  <c r="L3" i="20"/>
  <c r="K3" i="20"/>
  <c r="J3" i="20"/>
  <c r="H3" i="20"/>
  <c r="H83" i="20" s="1"/>
  <c r="N82" i="19"/>
  <c r="M82" i="19"/>
  <c r="L82" i="19"/>
  <c r="K82" i="19"/>
  <c r="J82" i="19"/>
  <c r="H82" i="19"/>
  <c r="N81" i="19"/>
  <c r="M81" i="19"/>
  <c r="L81" i="19"/>
  <c r="K81" i="19"/>
  <c r="J81" i="19"/>
  <c r="H81" i="19"/>
  <c r="N80" i="19"/>
  <c r="M80" i="19"/>
  <c r="L80" i="19"/>
  <c r="K80" i="19"/>
  <c r="J80" i="19"/>
  <c r="H80" i="19"/>
  <c r="N79" i="19"/>
  <c r="M79" i="19"/>
  <c r="L79" i="19"/>
  <c r="K79" i="19"/>
  <c r="J79" i="19"/>
  <c r="H79" i="19"/>
  <c r="N78" i="19"/>
  <c r="M78" i="19"/>
  <c r="L78" i="19"/>
  <c r="K78" i="19"/>
  <c r="J78" i="19"/>
  <c r="H78" i="19"/>
  <c r="N77" i="19"/>
  <c r="M77" i="19"/>
  <c r="L77" i="19"/>
  <c r="K77" i="19"/>
  <c r="J77" i="19"/>
  <c r="H77" i="19"/>
  <c r="N76" i="19"/>
  <c r="M76" i="19"/>
  <c r="L76" i="19"/>
  <c r="K76" i="19"/>
  <c r="J76" i="19"/>
  <c r="H76" i="19"/>
  <c r="N75" i="19"/>
  <c r="M75" i="19"/>
  <c r="L75" i="19"/>
  <c r="K75" i="19"/>
  <c r="J75" i="19"/>
  <c r="H75" i="19"/>
  <c r="N74" i="19"/>
  <c r="M74" i="19"/>
  <c r="L74" i="19"/>
  <c r="K74" i="19"/>
  <c r="J74" i="19"/>
  <c r="H74" i="19"/>
  <c r="N73" i="19"/>
  <c r="M73" i="19"/>
  <c r="L73" i="19"/>
  <c r="K73" i="19"/>
  <c r="J73" i="19"/>
  <c r="H73" i="19"/>
  <c r="N72" i="19"/>
  <c r="M72" i="19"/>
  <c r="L72" i="19"/>
  <c r="K72" i="19"/>
  <c r="J72" i="19"/>
  <c r="H72" i="19"/>
  <c r="N71" i="19"/>
  <c r="M71" i="19"/>
  <c r="L71" i="19"/>
  <c r="K71" i="19"/>
  <c r="J71" i="19"/>
  <c r="H71" i="19"/>
  <c r="N70" i="19"/>
  <c r="M70" i="19"/>
  <c r="L70" i="19"/>
  <c r="K70" i="19"/>
  <c r="J70" i="19"/>
  <c r="H70" i="19"/>
  <c r="N69" i="19"/>
  <c r="M69" i="19"/>
  <c r="L69" i="19"/>
  <c r="K69" i="19"/>
  <c r="J69" i="19"/>
  <c r="H69" i="19"/>
  <c r="N68" i="19"/>
  <c r="M68" i="19"/>
  <c r="L68" i="19"/>
  <c r="K68" i="19"/>
  <c r="J68" i="19"/>
  <c r="H68" i="19"/>
  <c r="N67" i="19"/>
  <c r="M67" i="19"/>
  <c r="L67" i="19"/>
  <c r="K67" i="19"/>
  <c r="J67" i="19"/>
  <c r="H67" i="19"/>
  <c r="N66" i="19"/>
  <c r="M66" i="19"/>
  <c r="L66" i="19"/>
  <c r="K66" i="19"/>
  <c r="J66" i="19"/>
  <c r="H66" i="19"/>
  <c r="N65" i="19"/>
  <c r="M65" i="19"/>
  <c r="L65" i="19"/>
  <c r="K65" i="19"/>
  <c r="J65" i="19"/>
  <c r="H65" i="19"/>
  <c r="N64" i="19"/>
  <c r="M64" i="19"/>
  <c r="L64" i="19"/>
  <c r="K64" i="19"/>
  <c r="J64" i="19"/>
  <c r="H64" i="19"/>
  <c r="N63" i="19"/>
  <c r="M63" i="19"/>
  <c r="L63" i="19"/>
  <c r="K63" i="19"/>
  <c r="J63" i="19"/>
  <c r="H63" i="19"/>
  <c r="N62" i="19"/>
  <c r="M62" i="19"/>
  <c r="L62" i="19"/>
  <c r="K62" i="19"/>
  <c r="J62" i="19"/>
  <c r="H62" i="19"/>
  <c r="N61" i="19"/>
  <c r="M61" i="19"/>
  <c r="L61" i="19"/>
  <c r="K61" i="19"/>
  <c r="J61" i="19"/>
  <c r="H61" i="19"/>
  <c r="N60" i="19"/>
  <c r="M60" i="19"/>
  <c r="L60" i="19"/>
  <c r="K60" i="19"/>
  <c r="J60" i="19"/>
  <c r="H60" i="19"/>
  <c r="N59" i="19"/>
  <c r="M59" i="19"/>
  <c r="L59" i="19"/>
  <c r="K59" i="19"/>
  <c r="J59" i="19"/>
  <c r="H59" i="19"/>
  <c r="N58" i="19"/>
  <c r="M58" i="19"/>
  <c r="L58" i="19"/>
  <c r="K58" i="19"/>
  <c r="J58" i="19"/>
  <c r="H58" i="19"/>
  <c r="N57" i="19"/>
  <c r="M57" i="19"/>
  <c r="L57" i="19"/>
  <c r="K57" i="19"/>
  <c r="J57" i="19"/>
  <c r="H57" i="19"/>
  <c r="N56" i="19"/>
  <c r="M56" i="19"/>
  <c r="L56" i="19"/>
  <c r="K56" i="19"/>
  <c r="J56" i="19"/>
  <c r="H56" i="19"/>
  <c r="N55" i="19"/>
  <c r="M55" i="19"/>
  <c r="L55" i="19"/>
  <c r="K55" i="19"/>
  <c r="J55" i="19"/>
  <c r="H55" i="19"/>
  <c r="N54" i="19"/>
  <c r="M54" i="19"/>
  <c r="L54" i="19"/>
  <c r="K54" i="19"/>
  <c r="J54" i="19"/>
  <c r="H54" i="19"/>
  <c r="N53" i="19"/>
  <c r="M53" i="19"/>
  <c r="L53" i="19"/>
  <c r="K53" i="19"/>
  <c r="J53" i="19"/>
  <c r="H53" i="19"/>
  <c r="N52" i="19"/>
  <c r="M52" i="19"/>
  <c r="L52" i="19"/>
  <c r="K52" i="19"/>
  <c r="J52" i="19"/>
  <c r="H52" i="19"/>
  <c r="N51" i="19"/>
  <c r="M51" i="19"/>
  <c r="L51" i="19"/>
  <c r="K51" i="19"/>
  <c r="J51" i="19"/>
  <c r="H51" i="19"/>
  <c r="N50" i="19"/>
  <c r="M50" i="19"/>
  <c r="L50" i="19"/>
  <c r="K50" i="19"/>
  <c r="J50" i="19"/>
  <c r="H50" i="19"/>
  <c r="N49" i="19"/>
  <c r="M49" i="19"/>
  <c r="L49" i="19"/>
  <c r="K49" i="19"/>
  <c r="J49" i="19"/>
  <c r="H49" i="19"/>
  <c r="N48" i="19"/>
  <c r="M48" i="19"/>
  <c r="L48" i="19"/>
  <c r="K48" i="19"/>
  <c r="J48" i="19"/>
  <c r="H48" i="19"/>
  <c r="N47" i="19"/>
  <c r="M47" i="19"/>
  <c r="L47" i="19"/>
  <c r="K47" i="19"/>
  <c r="J47" i="19"/>
  <c r="H47" i="19"/>
  <c r="N46" i="19"/>
  <c r="M46" i="19"/>
  <c r="L46" i="19"/>
  <c r="K46" i="19"/>
  <c r="J46" i="19"/>
  <c r="H46" i="19"/>
  <c r="N45" i="19"/>
  <c r="M45" i="19"/>
  <c r="L45" i="19"/>
  <c r="K45" i="19"/>
  <c r="J45" i="19"/>
  <c r="H45" i="19"/>
  <c r="N44" i="19"/>
  <c r="M44" i="19"/>
  <c r="L44" i="19"/>
  <c r="K44" i="19"/>
  <c r="J44" i="19"/>
  <c r="H44" i="19"/>
  <c r="N43" i="19"/>
  <c r="M43" i="19"/>
  <c r="L43" i="19"/>
  <c r="K43" i="19"/>
  <c r="J43" i="19"/>
  <c r="H43" i="19"/>
  <c r="N42" i="19"/>
  <c r="M42" i="19"/>
  <c r="L42" i="19"/>
  <c r="K42" i="19"/>
  <c r="J42" i="19"/>
  <c r="H42" i="19"/>
  <c r="N41" i="19"/>
  <c r="M41" i="19"/>
  <c r="L41" i="19"/>
  <c r="K41" i="19"/>
  <c r="J41" i="19"/>
  <c r="H41" i="19"/>
  <c r="N40" i="19"/>
  <c r="M40" i="19"/>
  <c r="L40" i="19"/>
  <c r="K40" i="19"/>
  <c r="J40" i="19"/>
  <c r="H40" i="19"/>
  <c r="N39" i="19"/>
  <c r="M39" i="19"/>
  <c r="L39" i="19"/>
  <c r="K39" i="19"/>
  <c r="J39" i="19"/>
  <c r="H39" i="19"/>
  <c r="N38" i="19"/>
  <c r="M38" i="19"/>
  <c r="L38" i="19"/>
  <c r="K38" i="19"/>
  <c r="J38" i="19"/>
  <c r="H38" i="19"/>
  <c r="N37" i="19"/>
  <c r="M37" i="19"/>
  <c r="L37" i="19"/>
  <c r="K37" i="19"/>
  <c r="J37" i="19"/>
  <c r="H37" i="19"/>
  <c r="N36" i="19"/>
  <c r="M36" i="19"/>
  <c r="L36" i="19"/>
  <c r="K36" i="19"/>
  <c r="J36" i="19"/>
  <c r="H36" i="19"/>
  <c r="N35" i="19"/>
  <c r="M35" i="19"/>
  <c r="L35" i="19"/>
  <c r="K35" i="19"/>
  <c r="J35" i="19"/>
  <c r="H35" i="19"/>
  <c r="N34" i="19"/>
  <c r="M34" i="19"/>
  <c r="L34" i="19"/>
  <c r="K34" i="19"/>
  <c r="J34" i="19"/>
  <c r="H34" i="19"/>
  <c r="N33" i="19"/>
  <c r="M33" i="19"/>
  <c r="L33" i="19"/>
  <c r="K33" i="19"/>
  <c r="J33" i="19"/>
  <c r="H33" i="19"/>
  <c r="N32" i="19"/>
  <c r="M32" i="19"/>
  <c r="L32" i="19"/>
  <c r="K32" i="19"/>
  <c r="J32" i="19"/>
  <c r="H32" i="19"/>
  <c r="N31" i="19"/>
  <c r="M31" i="19"/>
  <c r="L31" i="19"/>
  <c r="K31" i="19"/>
  <c r="J31" i="19"/>
  <c r="H31" i="19"/>
  <c r="N30" i="19"/>
  <c r="M30" i="19"/>
  <c r="L30" i="19"/>
  <c r="K30" i="19"/>
  <c r="J30" i="19"/>
  <c r="H30" i="19"/>
  <c r="N29" i="19"/>
  <c r="M29" i="19"/>
  <c r="L29" i="19"/>
  <c r="K29" i="19"/>
  <c r="J29" i="19"/>
  <c r="H29" i="19"/>
  <c r="N28" i="19"/>
  <c r="M28" i="19"/>
  <c r="L28" i="19"/>
  <c r="K28" i="19"/>
  <c r="J28" i="19"/>
  <c r="H28" i="19"/>
  <c r="N27" i="19"/>
  <c r="M27" i="19"/>
  <c r="L27" i="19"/>
  <c r="K27" i="19"/>
  <c r="J27" i="19"/>
  <c r="H27" i="19"/>
  <c r="N26" i="19"/>
  <c r="M26" i="19"/>
  <c r="L26" i="19"/>
  <c r="K26" i="19"/>
  <c r="J26" i="19"/>
  <c r="H26" i="19"/>
  <c r="N25" i="19"/>
  <c r="M25" i="19"/>
  <c r="L25" i="19"/>
  <c r="K25" i="19"/>
  <c r="J25" i="19"/>
  <c r="H25" i="19"/>
  <c r="N24" i="19"/>
  <c r="M24" i="19"/>
  <c r="L24" i="19"/>
  <c r="K24" i="19"/>
  <c r="J24" i="19"/>
  <c r="H24" i="19"/>
  <c r="N23" i="19"/>
  <c r="M23" i="19"/>
  <c r="L23" i="19"/>
  <c r="K23" i="19"/>
  <c r="J23" i="19"/>
  <c r="H23" i="19"/>
  <c r="N22" i="19"/>
  <c r="M22" i="19"/>
  <c r="L22" i="19"/>
  <c r="K22" i="19"/>
  <c r="J22" i="19"/>
  <c r="H22" i="19"/>
  <c r="N21" i="19"/>
  <c r="M21" i="19"/>
  <c r="L21" i="19"/>
  <c r="K21" i="19"/>
  <c r="J21" i="19"/>
  <c r="H21" i="19"/>
  <c r="N20" i="19"/>
  <c r="M20" i="19"/>
  <c r="L20" i="19"/>
  <c r="K20" i="19"/>
  <c r="J20" i="19"/>
  <c r="H20" i="19"/>
  <c r="N19" i="19"/>
  <c r="M19" i="19"/>
  <c r="L19" i="19"/>
  <c r="K19" i="19"/>
  <c r="J19" i="19"/>
  <c r="H19" i="19"/>
  <c r="N18" i="19"/>
  <c r="M18" i="19"/>
  <c r="L18" i="19"/>
  <c r="K18" i="19"/>
  <c r="J18" i="19"/>
  <c r="H18" i="19"/>
  <c r="N17" i="19"/>
  <c r="M17" i="19"/>
  <c r="L17" i="19"/>
  <c r="K17" i="19"/>
  <c r="J17" i="19"/>
  <c r="H17" i="19"/>
  <c r="N16" i="19"/>
  <c r="M16" i="19"/>
  <c r="L16" i="19"/>
  <c r="K16" i="19"/>
  <c r="J16" i="19"/>
  <c r="H16" i="19"/>
  <c r="N15" i="19"/>
  <c r="M15" i="19"/>
  <c r="L15" i="19"/>
  <c r="K15" i="19"/>
  <c r="J15" i="19"/>
  <c r="H15" i="19"/>
  <c r="N14" i="19"/>
  <c r="M14" i="19"/>
  <c r="L14" i="19"/>
  <c r="K14" i="19"/>
  <c r="J14" i="19"/>
  <c r="H14" i="19"/>
  <c r="N13" i="19"/>
  <c r="M13" i="19"/>
  <c r="L13" i="19"/>
  <c r="K13" i="19"/>
  <c r="J13" i="19"/>
  <c r="H13" i="19"/>
  <c r="N12" i="19"/>
  <c r="M12" i="19"/>
  <c r="L12" i="19"/>
  <c r="K12" i="19"/>
  <c r="J12" i="19"/>
  <c r="H12" i="19"/>
  <c r="N11" i="19"/>
  <c r="M11" i="19"/>
  <c r="L11" i="19"/>
  <c r="K11" i="19"/>
  <c r="J11" i="19"/>
  <c r="H11" i="19"/>
  <c r="N10" i="19"/>
  <c r="M10" i="19"/>
  <c r="L10" i="19"/>
  <c r="K10" i="19"/>
  <c r="J10" i="19"/>
  <c r="H10" i="19"/>
  <c r="N9" i="19"/>
  <c r="M9" i="19"/>
  <c r="L9" i="19"/>
  <c r="K9" i="19"/>
  <c r="J9" i="19"/>
  <c r="H9" i="19"/>
  <c r="N8" i="19"/>
  <c r="M8" i="19"/>
  <c r="L8" i="19"/>
  <c r="K8" i="19"/>
  <c r="J8" i="19"/>
  <c r="H8" i="19"/>
  <c r="N7" i="19"/>
  <c r="M7" i="19"/>
  <c r="L7" i="19"/>
  <c r="K7" i="19"/>
  <c r="J7" i="19"/>
  <c r="H7" i="19"/>
  <c r="N6" i="19"/>
  <c r="M6" i="19"/>
  <c r="L6" i="19"/>
  <c r="K6" i="19"/>
  <c r="J6" i="19"/>
  <c r="H6" i="19"/>
  <c r="N5" i="19"/>
  <c r="M5" i="19"/>
  <c r="L5" i="19"/>
  <c r="K5" i="19"/>
  <c r="J5" i="19"/>
  <c r="H5" i="19"/>
  <c r="N4" i="19"/>
  <c r="M4" i="19"/>
  <c r="L4" i="19"/>
  <c r="K4" i="19"/>
  <c r="J4" i="19"/>
  <c r="H4" i="19"/>
  <c r="N3" i="19"/>
  <c r="M3" i="19"/>
  <c r="L3" i="19"/>
  <c r="K3" i="19"/>
  <c r="J3" i="19"/>
  <c r="H3" i="19"/>
  <c r="H83" i="19" s="1"/>
  <c r="F46" i="18"/>
  <c r="E46" i="18"/>
  <c r="D46" i="18"/>
  <c r="C46" i="18"/>
  <c r="B46" i="18"/>
  <c r="F42" i="18"/>
  <c r="E42" i="18"/>
  <c r="D42" i="18"/>
  <c r="C42" i="18"/>
  <c r="B42" i="18"/>
  <c r="F41" i="18"/>
  <c r="E41" i="18"/>
  <c r="D41" i="18"/>
  <c r="C41" i="18"/>
  <c r="B41" i="18"/>
  <c r="F40" i="18"/>
  <c r="E40" i="18"/>
  <c r="D40" i="18"/>
  <c r="C40" i="18"/>
  <c r="B40" i="18"/>
  <c r="F39" i="18"/>
  <c r="E39" i="18"/>
  <c r="D39" i="18"/>
  <c r="C39" i="18"/>
  <c r="B39" i="18"/>
  <c r="F35" i="18"/>
  <c r="E35" i="18"/>
  <c r="D35" i="18"/>
  <c r="C35" i="18"/>
  <c r="B35" i="18"/>
  <c r="F34" i="18"/>
  <c r="E34" i="18"/>
  <c r="D34" i="18"/>
  <c r="C34" i="18"/>
  <c r="B34" i="18"/>
  <c r="F33" i="18"/>
  <c r="E33" i="18"/>
  <c r="D33" i="18"/>
  <c r="C33" i="18"/>
  <c r="B33" i="18"/>
  <c r="F32" i="18"/>
  <c r="E32" i="18"/>
  <c r="D32" i="18"/>
  <c r="C32" i="18"/>
  <c r="B32" i="18"/>
  <c r="E23" i="18"/>
  <c r="D23" i="18"/>
  <c r="C23" i="18"/>
  <c r="B23" i="18"/>
  <c r="E22" i="18"/>
  <c r="D22" i="18"/>
  <c r="C22" i="18"/>
  <c r="B22" i="18"/>
  <c r="E21" i="18"/>
  <c r="E25" i="18" s="1"/>
  <c r="D21" i="18"/>
  <c r="D25" i="18" s="1"/>
  <c r="C21" i="18"/>
  <c r="C25" i="18" s="1"/>
  <c r="B21" i="18"/>
  <c r="B25" i="18" s="1"/>
  <c r="E20" i="18"/>
  <c r="E24" i="18" s="1"/>
  <c r="D20" i="18"/>
  <c r="D24" i="18" s="1"/>
  <c r="C20" i="18"/>
  <c r="C24" i="18" s="1"/>
  <c r="B20" i="18"/>
  <c r="B24" i="18" s="1"/>
  <c r="E19" i="18"/>
  <c r="D19" i="18"/>
  <c r="C19" i="18"/>
  <c r="B19" i="18"/>
  <c r="F9" i="18"/>
  <c r="E9" i="18"/>
  <c r="D9" i="18"/>
  <c r="C9" i="18"/>
  <c r="B9" i="18"/>
  <c r="F7" i="18"/>
  <c r="F8" i="18" s="1"/>
  <c r="E7" i="18"/>
  <c r="E8" i="18" s="1"/>
  <c r="D7" i="18"/>
  <c r="D8" i="18" s="1"/>
  <c r="C7" i="18"/>
  <c r="C8" i="18" s="1"/>
  <c r="B7" i="18"/>
  <c r="B8" i="18" s="1"/>
  <c r="F5" i="18"/>
  <c r="E5" i="18"/>
  <c r="D5" i="18"/>
  <c r="C5" i="18"/>
  <c r="B5" i="18"/>
  <c r="P98" i="17"/>
  <c r="L98" i="17"/>
  <c r="H98" i="17"/>
  <c r="D98" i="17"/>
  <c r="O6" i="17"/>
  <c r="E18" i="18" s="1"/>
  <c r="K6" i="17"/>
  <c r="D18" i="18" s="1"/>
  <c r="G6" i="17"/>
  <c r="C18" i="18" s="1"/>
  <c r="C6" i="17"/>
  <c r="B18" i="18" s="1"/>
  <c r="O5" i="17"/>
  <c r="E17" i="18" s="1"/>
  <c r="K5" i="17"/>
  <c r="D17" i="18" s="1"/>
  <c r="G5" i="17"/>
  <c r="C17" i="18" s="1"/>
  <c r="C5" i="17"/>
  <c r="B17" i="18" s="1"/>
  <c r="O4" i="17"/>
  <c r="K4" i="17"/>
  <c r="G4" i="17"/>
  <c r="C4" i="17"/>
  <c r="H401" i="16"/>
  <c r="G401" i="16"/>
  <c r="F401" i="16"/>
  <c r="E401" i="16"/>
  <c r="D401" i="16"/>
  <c r="C401" i="16"/>
  <c r="B401" i="16"/>
  <c r="A401" i="16"/>
  <c r="H400" i="16"/>
  <c r="G400" i="16"/>
  <c r="F400" i="16"/>
  <c r="E400" i="16"/>
  <c r="D400" i="16"/>
  <c r="C400" i="16"/>
  <c r="B400" i="16"/>
  <c r="A400" i="16"/>
  <c r="H399" i="16"/>
  <c r="G399" i="16"/>
  <c r="F399" i="16"/>
  <c r="E399" i="16"/>
  <c r="D399" i="16"/>
  <c r="C399" i="16"/>
  <c r="B399" i="16"/>
  <c r="A399" i="16"/>
  <c r="H398" i="16"/>
  <c r="G398" i="16"/>
  <c r="F398" i="16"/>
  <c r="E398" i="16"/>
  <c r="D398" i="16"/>
  <c r="C398" i="16"/>
  <c r="B398" i="16"/>
  <c r="A398" i="16"/>
  <c r="H397" i="16"/>
  <c r="G397" i="16"/>
  <c r="F397" i="16"/>
  <c r="E397" i="16"/>
  <c r="D397" i="16"/>
  <c r="C397" i="16"/>
  <c r="B397" i="16"/>
  <c r="A397" i="16"/>
  <c r="H396" i="16"/>
  <c r="G396" i="16"/>
  <c r="F396" i="16"/>
  <c r="E396" i="16"/>
  <c r="D396" i="16"/>
  <c r="C396" i="16"/>
  <c r="B396" i="16"/>
  <c r="A396" i="16"/>
  <c r="H395" i="16"/>
  <c r="G395" i="16"/>
  <c r="F395" i="16"/>
  <c r="E395" i="16"/>
  <c r="D395" i="16"/>
  <c r="C395" i="16"/>
  <c r="B395" i="16"/>
  <c r="A395" i="16"/>
  <c r="H394" i="16"/>
  <c r="G394" i="16"/>
  <c r="F394" i="16"/>
  <c r="E394" i="16"/>
  <c r="D394" i="16"/>
  <c r="C394" i="16"/>
  <c r="B394" i="16"/>
  <c r="A394" i="16"/>
  <c r="H393" i="16"/>
  <c r="G393" i="16"/>
  <c r="F393" i="16"/>
  <c r="E393" i="16"/>
  <c r="D393" i="16"/>
  <c r="C393" i="16"/>
  <c r="B393" i="16"/>
  <c r="A393" i="16"/>
  <c r="H392" i="16"/>
  <c r="G392" i="16"/>
  <c r="F392" i="16"/>
  <c r="E392" i="16"/>
  <c r="D392" i="16"/>
  <c r="C392" i="16"/>
  <c r="B392" i="16"/>
  <c r="A392" i="16"/>
  <c r="H391" i="16"/>
  <c r="G391" i="16"/>
  <c r="F391" i="16"/>
  <c r="E391" i="16"/>
  <c r="D391" i="16"/>
  <c r="C391" i="16"/>
  <c r="B391" i="16"/>
  <c r="A391" i="16"/>
  <c r="H390" i="16"/>
  <c r="G390" i="16"/>
  <c r="F390" i="16"/>
  <c r="E390" i="16"/>
  <c r="D390" i="16"/>
  <c r="C390" i="16"/>
  <c r="B390" i="16"/>
  <c r="A390" i="16"/>
  <c r="H389" i="16"/>
  <c r="G389" i="16"/>
  <c r="F389" i="16"/>
  <c r="E389" i="16"/>
  <c r="D389" i="16"/>
  <c r="C389" i="16"/>
  <c r="B389" i="16"/>
  <c r="A389" i="16"/>
  <c r="H388" i="16"/>
  <c r="G388" i="16"/>
  <c r="F388" i="16"/>
  <c r="E388" i="16"/>
  <c r="D388" i="16"/>
  <c r="C388" i="16"/>
  <c r="B388" i="16"/>
  <c r="A388" i="16"/>
  <c r="H387" i="16"/>
  <c r="G387" i="16"/>
  <c r="F387" i="16"/>
  <c r="E387" i="16"/>
  <c r="D387" i="16"/>
  <c r="C387" i="16"/>
  <c r="B387" i="16"/>
  <c r="A387" i="16"/>
  <c r="H386" i="16"/>
  <c r="G386" i="16"/>
  <c r="F386" i="16"/>
  <c r="E386" i="16"/>
  <c r="D386" i="16"/>
  <c r="C386" i="16"/>
  <c r="B386" i="16"/>
  <c r="A386" i="16"/>
  <c r="H385" i="16"/>
  <c r="G385" i="16"/>
  <c r="F385" i="16"/>
  <c r="E385" i="16"/>
  <c r="D385" i="16"/>
  <c r="C385" i="16"/>
  <c r="B385" i="16"/>
  <c r="A385" i="16"/>
  <c r="H384" i="16"/>
  <c r="G384" i="16"/>
  <c r="F384" i="16"/>
  <c r="E384" i="16"/>
  <c r="D384" i="16"/>
  <c r="C384" i="16"/>
  <c r="B384" i="16"/>
  <c r="A384" i="16"/>
  <c r="H383" i="16"/>
  <c r="G383" i="16"/>
  <c r="F383" i="16"/>
  <c r="E383" i="16"/>
  <c r="D383" i="16"/>
  <c r="C383" i="16"/>
  <c r="B383" i="16"/>
  <c r="A383" i="16"/>
  <c r="H382" i="16"/>
  <c r="G382" i="16"/>
  <c r="F382" i="16"/>
  <c r="E382" i="16"/>
  <c r="D382" i="16"/>
  <c r="C382" i="16"/>
  <c r="B382" i="16"/>
  <c r="A382" i="16"/>
  <c r="H381" i="16"/>
  <c r="G381" i="16"/>
  <c r="F381" i="16"/>
  <c r="E381" i="16"/>
  <c r="D381" i="16"/>
  <c r="C381" i="16"/>
  <c r="B381" i="16"/>
  <c r="A381" i="16"/>
  <c r="H380" i="16"/>
  <c r="G380" i="16"/>
  <c r="F380" i="16"/>
  <c r="E380" i="16"/>
  <c r="D380" i="16"/>
  <c r="C380" i="16"/>
  <c r="B380" i="16"/>
  <c r="A380" i="16"/>
  <c r="H379" i="16"/>
  <c r="G379" i="16"/>
  <c r="F379" i="16"/>
  <c r="E379" i="16"/>
  <c r="D379" i="16"/>
  <c r="C379" i="16"/>
  <c r="B379" i="16"/>
  <c r="A379" i="16"/>
  <c r="H378" i="16"/>
  <c r="G378" i="16"/>
  <c r="F378" i="16"/>
  <c r="E378" i="16"/>
  <c r="D378" i="16"/>
  <c r="C378" i="16"/>
  <c r="B378" i="16"/>
  <c r="A378" i="16"/>
  <c r="H377" i="16"/>
  <c r="G377" i="16"/>
  <c r="F377" i="16"/>
  <c r="E377" i="16"/>
  <c r="D377" i="16"/>
  <c r="C377" i="16"/>
  <c r="B377" i="16"/>
  <c r="A377" i="16"/>
  <c r="H376" i="16"/>
  <c r="G376" i="16"/>
  <c r="F376" i="16"/>
  <c r="E376" i="16"/>
  <c r="D376" i="16"/>
  <c r="C376" i="16"/>
  <c r="B376" i="16"/>
  <c r="A376" i="16"/>
  <c r="H375" i="16"/>
  <c r="G375" i="16"/>
  <c r="F375" i="16"/>
  <c r="E375" i="16"/>
  <c r="D375" i="16"/>
  <c r="C375" i="16"/>
  <c r="B375" i="16"/>
  <c r="A375" i="16"/>
  <c r="H374" i="16"/>
  <c r="G374" i="16"/>
  <c r="F374" i="16"/>
  <c r="E374" i="16"/>
  <c r="D374" i="16"/>
  <c r="C374" i="16"/>
  <c r="B374" i="16"/>
  <c r="A374" i="16"/>
  <c r="H373" i="16"/>
  <c r="G373" i="16"/>
  <c r="F373" i="16"/>
  <c r="E373" i="16"/>
  <c r="D373" i="16"/>
  <c r="C373" i="16"/>
  <c r="B373" i="16"/>
  <c r="A373" i="16"/>
  <c r="H372" i="16"/>
  <c r="G372" i="16"/>
  <c r="F372" i="16"/>
  <c r="E372" i="16"/>
  <c r="D372" i="16"/>
  <c r="C372" i="16"/>
  <c r="B372" i="16"/>
  <c r="A372" i="16"/>
  <c r="H371" i="16"/>
  <c r="G371" i="16"/>
  <c r="F371" i="16"/>
  <c r="E371" i="16"/>
  <c r="D371" i="16"/>
  <c r="C371" i="16"/>
  <c r="B371" i="16"/>
  <c r="A371" i="16"/>
  <c r="H370" i="16"/>
  <c r="G370" i="16"/>
  <c r="F370" i="16"/>
  <c r="E370" i="16"/>
  <c r="D370" i="16"/>
  <c r="C370" i="16"/>
  <c r="B370" i="16"/>
  <c r="A370" i="16"/>
  <c r="H369" i="16"/>
  <c r="G369" i="16"/>
  <c r="F369" i="16"/>
  <c r="E369" i="16"/>
  <c r="D369" i="16"/>
  <c r="C369" i="16"/>
  <c r="B369" i="16"/>
  <c r="A369" i="16"/>
  <c r="H368" i="16"/>
  <c r="G368" i="16"/>
  <c r="F368" i="16"/>
  <c r="E368" i="16"/>
  <c r="D368" i="16"/>
  <c r="C368" i="16"/>
  <c r="B368" i="16"/>
  <c r="A368" i="16"/>
  <c r="H367" i="16"/>
  <c r="G367" i="16"/>
  <c r="F367" i="16"/>
  <c r="E367" i="16"/>
  <c r="D367" i="16"/>
  <c r="C367" i="16"/>
  <c r="B367" i="16"/>
  <c r="A367" i="16"/>
  <c r="H366" i="16"/>
  <c r="G366" i="16"/>
  <c r="F366" i="16"/>
  <c r="E366" i="16"/>
  <c r="D366" i="16"/>
  <c r="C366" i="16"/>
  <c r="B366" i="16"/>
  <c r="A366" i="16"/>
  <c r="H365" i="16"/>
  <c r="G365" i="16"/>
  <c r="F365" i="16"/>
  <c r="E365" i="16"/>
  <c r="D365" i="16"/>
  <c r="C365" i="16"/>
  <c r="B365" i="16"/>
  <c r="A365" i="16"/>
  <c r="H364" i="16"/>
  <c r="G364" i="16"/>
  <c r="F364" i="16"/>
  <c r="E364" i="16"/>
  <c r="D364" i="16"/>
  <c r="C364" i="16"/>
  <c r="B364" i="16"/>
  <c r="A364" i="16"/>
  <c r="H363" i="16"/>
  <c r="G363" i="16"/>
  <c r="F363" i="16"/>
  <c r="E363" i="16"/>
  <c r="D363" i="16"/>
  <c r="C363" i="16"/>
  <c r="B363" i="16"/>
  <c r="A363" i="16"/>
  <c r="H362" i="16"/>
  <c r="G362" i="16"/>
  <c r="F362" i="16"/>
  <c r="E362" i="16"/>
  <c r="D362" i="16"/>
  <c r="C362" i="16"/>
  <c r="B362" i="16"/>
  <c r="A362" i="16"/>
  <c r="H361" i="16"/>
  <c r="G361" i="16"/>
  <c r="F361" i="16"/>
  <c r="E361" i="16"/>
  <c r="D361" i="16"/>
  <c r="C361" i="16"/>
  <c r="B361" i="16"/>
  <c r="A361" i="16"/>
  <c r="H360" i="16"/>
  <c r="G360" i="16"/>
  <c r="F360" i="16"/>
  <c r="E360" i="16"/>
  <c r="D360" i="16"/>
  <c r="C360" i="16"/>
  <c r="B360" i="16"/>
  <c r="A360" i="16"/>
  <c r="H359" i="16"/>
  <c r="G359" i="16"/>
  <c r="F359" i="16"/>
  <c r="E359" i="16"/>
  <c r="D359" i="16"/>
  <c r="C359" i="16"/>
  <c r="B359" i="16"/>
  <c r="A359" i="16"/>
  <c r="H358" i="16"/>
  <c r="G358" i="16"/>
  <c r="F358" i="16"/>
  <c r="E358" i="16"/>
  <c r="D358" i="16"/>
  <c r="C358" i="16"/>
  <c r="B358" i="16"/>
  <c r="A358" i="16"/>
  <c r="H357" i="16"/>
  <c r="G357" i="16"/>
  <c r="F357" i="16"/>
  <c r="E357" i="16"/>
  <c r="D357" i="16"/>
  <c r="C357" i="16"/>
  <c r="B357" i="16"/>
  <c r="A357" i="16"/>
  <c r="H356" i="16"/>
  <c r="G356" i="16"/>
  <c r="F356" i="16"/>
  <c r="E356" i="16"/>
  <c r="D356" i="16"/>
  <c r="C356" i="16"/>
  <c r="B356" i="16"/>
  <c r="A356" i="16"/>
  <c r="H355" i="16"/>
  <c r="G355" i="16"/>
  <c r="F355" i="16"/>
  <c r="E355" i="16"/>
  <c r="D355" i="16"/>
  <c r="C355" i="16"/>
  <c r="B355" i="16"/>
  <c r="A355" i="16"/>
  <c r="H354" i="16"/>
  <c r="G354" i="16"/>
  <c r="F354" i="16"/>
  <c r="E354" i="16"/>
  <c r="D354" i="16"/>
  <c r="C354" i="16"/>
  <c r="B354" i="16"/>
  <c r="A354" i="16"/>
  <c r="H353" i="16"/>
  <c r="G353" i="16"/>
  <c r="F353" i="16"/>
  <c r="E353" i="16"/>
  <c r="D353" i="16"/>
  <c r="C353" i="16"/>
  <c r="B353" i="16"/>
  <c r="A353" i="16"/>
  <c r="H352" i="16"/>
  <c r="G352" i="16"/>
  <c r="F352" i="16"/>
  <c r="E352" i="16"/>
  <c r="D352" i="16"/>
  <c r="C352" i="16"/>
  <c r="B352" i="16"/>
  <c r="A352" i="16"/>
  <c r="H351" i="16"/>
  <c r="G351" i="16"/>
  <c r="F351" i="16"/>
  <c r="E351" i="16"/>
  <c r="D351" i="16"/>
  <c r="C351" i="16"/>
  <c r="B351" i="16"/>
  <c r="A351" i="16"/>
  <c r="H350" i="16"/>
  <c r="G350" i="16"/>
  <c r="F350" i="16"/>
  <c r="E350" i="16"/>
  <c r="D350" i="16"/>
  <c r="C350" i="16"/>
  <c r="B350" i="16"/>
  <c r="A350" i="16"/>
  <c r="H349" i="16"/>
  <c r="G349" i="16"/>
  <c r="F349" i="16"/>
  <c r="E349" i="16"/>
  <c r="D349" i="16"/>
  <c r="C349" i="16"/>
  <c r="B349" i="16"/>
  <c r="A349" i="16"/>
  <c r="H348" i="16"/>
  <c r="G348" i="16"/>
  <c r="F348" i="16"/>
  <c r="E348" i="16"/>
  <c r="D348" i="16"/>
  <c r="C348" i="16"/>
  <c r="B348" i="16"/>
  <c r="A348" i="16"/>
  <c r="H347" i="16"/>
  <c r="G347" i="16"/>
  <c r="F347" i="16"/>
  <c r="E347" i="16"/>
  <c r="D347" i="16"/>
  <c r="C347" i="16"/>
  <c r="B347" i="16"/>
  <c r="A347" i="16"/>
  <c r="H346" i="16"/>
  <c r="G346" i="16"/>
  <c r="F346" i="16"/>
  <c r="E346" i="16"/>
  <c r="D346" i="16"/>
  <c r="C346" i="16"/>
  <c r="B346" i="16"/>
  <c r="A346" i="16"/>
  <c r="H345" i="16"/>
  <c r="G345" i="16"/>
  <c r="F345" i="16"/>
  <c r="E345" i="16"/>
  <c r="D345" i="16"/>
  <c r="C345" i="16"/>
  <c r="B345" i="16"/>
  <c r="A345" i="16"/>
  <c r="H344" i="16"/>
  <c r="G344" i="16"/>
  <c r="F344" i="16"/>
  <c r="E344" i="16"/>
  <c r="D344" i="16"/>
  <c r="C344" i="16"/>
  <c r="B344" i="16"/>
  <c r="A344" i="16"/>
  <c r="H343" i="16"/>
  <c r="G343" i="16"/>
  <c r="F343" i="16"/>
  <c r="E343" i="16"/>
  <c r="D343" i="16"/>
  <c r="C343" i="16"/>
  <c r="B343" i="16"/>
  <c r="A343" i="16"/>
  <c r="H342" i="16"/>
  <c r="G342" i="16"/>
  <c r="F342" i="16"/>
  <c r="E342" i="16"/>
  <c r="D342" i="16"/>
  <c r="C342" i="16"/>
  <c r="B342" i="16"/>
  <c r="A342" i="16"/>
  <c r="H341" i="16"/>
  <c r="G341" i="16"/>
  <c r="F341" i="16"/>
  <c r="E341" i="16"/>
  <c r="D341" i="16"/>
  <c r="C341" i="16"/>
  <c r="B341" i="16"/>
  <c r="A341" i="16"/>
  <c r="H340" i="16"/>
  <c r="G340" i="16"/>
  <c r="F340" i="16"/>
  <c r="E340" i="16"/>
  <c r="D340" i="16"/>
  <c r="C340" i="16"/>
  <c r="B340" i="16"/>
  <c r="A340" i="16"/>
  <c r="H339" i="16"/>
  <c r="G339" i="16"/>
  <c r="F339" i="16"/>
  <c r="E339" i="16"/>
  <c r="D339" i="16"/>
  <c r="C339" i="16"/>
  <c r="B339" i="16"/>
  <c r="A339" i="16"/>
  <c r="H338" i="16"/>
  <c r="G338" i="16"/>
  <c r="F338" i="16"/>
  <c r="E338" i="16"/>
  <c r="D338" i="16"/>
  <c r="C338" i="16"/>
  <c r="B338" i="16"/>
  <c r="A338" i="16"/>
  <c r="H337" i="16"/>
  <c r="G337" i="16"/>
  <c r="F337" i="16"/>
  <c r="E337" i="16"/>
  <c r="D337" i="16"/>
  <c r="C337" i="16"/>
  <c r="B337" i="16"/>
  <c r="A337" i="16"/>
  <c r="H336" i="16"/>
  <c r="G336" i="16"/>
  <c r="F336" i="16"/>
  <c r="E336" i="16"/>
  <c r="D336" i="16"/>
  <c r="C336" i="16"/>
  <c r="B336" i="16"/>
  <c r="A336" i="16"/>
  <c r="H335" i="16"/>
  <c r="G335" i="16"/>
  <c r="F335" i="16"/>
  <c r="E335" i="16"/>
  <c r="D335" i="16"/>
  <c r="C335" i="16"/>
  <c r="B335" i="16"/>
  <c r="A335" i="16"/>
  <c r="H334" i="16"/>
  <c r="G334" i="16"/>
  <c r="F334" i="16"/>
  <c r="E334" i="16"/>
  <c r="D334" i="16"/>
  <c r="C334" i="16"/>
  <c r="B334" i="16"/>
  <c r="A334" i="16"/>
  <c r="H333" i="16"/>
  <c r="G333" i="16"/>
  <c r="F333" i="16"/>
  <c r="E333" i="16"/>
  <c r="D333" i="16"/>
  <c r="C333" i="16"/>
  <c r="B333" i="16"/>
  <c r="A333" i="16"/>
  <c r="H332" i="16"/>
  <c r="G332" i="16"/>
  <c r="F332" i="16"/>
  <c r="E332" i="16"/>
  <c r="D332" i="16"/>
  <c r="C332" i="16"/>
  <c r="B332" i="16"/>
  <c r="A332" i="16"/>
  <c r="H331" i="16"/>
  <c r="G331" i="16"/>
  <c r="F331" i="16"/>
  <c r="E331" i="16"/>
  <c r="D331" i="16"/>
  <c r="C331" i="16"/>
  <c r="B331" i="16"/>
  <c r="A331" i="16"/>
  <c r="H330" i="16"/>
  <c r="G330" i="16"/>
  <c r="F330" i="16"/>
  <c r="E330" i="16"/>
  <c r="D330" i="16"/>
  <c r="C330" i="16"/>
  <c r="B330" i="16"/>
  <c r="A330" i="16"/>
  <c r="H329" i="16"/>
  <c r="G329" i="16"/>
  <c r="F329" i="16"/>
  <c r="E329" i="16"/>
  <c r="D329" i="16"/>
  <c r="C329" i="16"/>
  <c r="B329" i="16"/>
  <c r="A329" i="16"/>
  <c r="H328" i="16"/>
  <c r="G328" i="16"/>
  <c r="F328" i="16"/>
  <c r="E328" i="16"/>
  <c r="D328" i="16"/>
  <c r="C328" i="16"/>
  <c r="B328" i="16"/>
  <c r="A328" i="16"/>
  <c r="H327" i="16"/>
  <c r="G327" i="16"/>
  <c r="F327" i="16"/>
  <c r="E327" i="16"/>
  <c r="D327" i="16"/>
  <c r="C327" i="16"/>
  <c r="B327" i="16"/>
  <c r="A327" i="16"/>
  <c r="H326" i="16"/>
  <c r="G326" i="16"/>
  <c r="F326" i="16"/>
  <c r="E326" i="16"/>
  <c r="D326" i="16"/>
  <c r="C326" i="16"/>
  <c r="B326" i="16"/>
  <c r="A326" i="16"/>
  <c r="H325" i="16"/>
  <c r="G325" i="16"/>
  <c r="F325" i="16"/>
  <c r="E325" i="16"/>
  <c r="D325" i="16"/>
  <c r="C325" i="16"/>
  <c r="B325" i="16"/>
  <c r="A325" i="16"/>
  <c r="H324" i="16"/>
  <c r="G324" i="16"/>
  <c r="F324" i="16"/>
  <c r="E324" i="16"/>
  <c r="D324" i="16"/>
  <c r="C324" i="16"/>
  <c r="B324" i="16"/>
  <c r="A324" i="16"/>
  <c r="H323" i="16"/>
  <c r="G323" i="16"/>
  <c r="F323" i="16"/>
  <c r="E323" i="16"/>
  <c r="D323" i="16"/>
  <c r="C323" i="16"/>
  <c r="B323" i="16"/>
  <c r="A323" i="16"/>
  <c r="H322" i="16"/>
  <c r="G322" i="16"/>
  <c r="F322" i="16"/>
  <c r="E322" i="16"/>
  <c r="D322" i="16"/>
  <c r="C322" i="16"/>
  <c r="B322" i="16"/>
  <c r="A322" i="16"/>
  <c r="H321" i="16"/>
  <c r="G321" i="16"/>
  <c r="F321" i="16"/>
  <c r="E321" i="16"/>
  <c r="D321" i="16"/>
  <c r="C321" i="16"/>
  <c r="B321" i="16"/>
  <c r="A321" i="16"/>
  <c r="H320" i="16"/>
  <c r="G320" i="16"/>
  <c r="F320" i="16"/>
  <c r="E320" i="16"/>
  <c r="D320" i="16"/>
  <c r="C320" i="16"/>
  <c r="B320" i="16"/>
  <c r="A320" i="16"/>
  <c r="H319" i="16"/>
  <c r="G319" i="16"/>
  <c r="F319" i="16"/>
  <c r="E319" i="16"/>
  <c r="D319" i="16"/>
  <c r="C319" i="16"/>
  <c r="B319" i="16"/>
  <c r="A319" i="16"/>
  <c r="H318" i="16"/>
  <c r="G318" i="16"/>
  <c r="F318" i="16"/>
  <c r="E318" i="16"/>
  <c r="D318" i="16"/>
  <c r="C318" i="16"/>
  <c r="B318" i="16"/>
  <c r="A318" i="16"/>
  <c r="H317" i="16"/>
  <c r="G317" i="16"/>
  <c r="F317" i="16"/>
  <c r="E317" i="16"/>
  <c r="D317" i="16"/>
  <c r="C317" i="16"/>
  <c r="B317" i="16"/>
  <c r="A317" i="16"/>
  <c r="H316" i="16"/>
  <c r="G316" i="16"/>
  <c r="F316" i="16"/>
  <c r="E316" i="16"/>
  <c r="D316" i="16"/>
  <c r="C316" i="16"/>
  <c r="B316" i="16"/>
  <c r="A316" i="16"/>
  <c r="H315" i="16"/>
  <c r="G315" i="16"/>
  <c r="F315" i="16"/>
  <c r="E315" i="16"/>
  <c r="D315" i="16"/>
  <c r="C315" i="16"/>
  <c r="B315" i="16"/>
  <c r="A315" i="16"/>
  <c r="H314" i="16"/>
  <c r="G314" i="16"/>
  <c r="F314" i="16"/>
  <c r="E314" i="16"/>
  <c r="D314" i="16"/>
  <c r="C314" i="16"/>
  <c r="B314" i="16"/>
  <c r="A314" i="16"/>
  <c r="H313" i="16"/>
  <c r="G313" i="16"/>
  <c r="F313" i="16"/>
  <c r="E313" i="16"/>
  <c r="D313" i="16"/>
  <c r="C313" i="16"/>
  <c r="B313" i="16"/>
  <c r="A313" i="16"/>
  <c r="H312" i="16"/>
  <c r="G312" i="16"/>
  <c r="F312" i="16"/>
  <c r="E312" i="16"/>
  <c r="D312" i="16"/>
  <c r="C312" i="16"/>
  <c r="B312" i="16"/>
  <c r="A312" i="16"/>
  <c r="H311" i="16"/>
  <c r="G311" i="16"/>
  <c r="F311" i="16"/>
  <c r="E311" i="16"/>
  <c r="D311" i="16"/>
  <c r="C311" i="16"/>
  <c r="B311" i="16"/>
  <c r="A311" i="16"/>
  <c r="H310" i="16"/>
  <c r="G310" i="16"/>
  <c r="F310" i="16"/>
  <c r="E310" i="16"/>
  <c r="D310" i="16"/>
  <c r="C310" i="16"/>
  <c r="B310" i="16"/>
  <c r="A310" i="16"/>
  <c r="H309" i="16"/>
  <c r="G309" i="16"/>
  <c r="F309" i="16"/>
  <c r="E309" i="16"/>
  <c r="D309" i="16"/>
  <c r="C309" i="16"/>
  <c r="B309" i="16"/>
  <c r="A309" i="16"/>
  <c r="H308" i="16"/>
  <c r="G308" i="16"/>
  <c r="F308" i="16"/>
  <c r="E308" i="16"/>
  <c r="D308" i="16"/>
  <c r="C308" i="16"/>
  <c r="B308" i="16"/>
  <c r="A308" i="16"/>
  <c r="H307" i="16"/>
  <c r="G307" i="16"/>
  <c r="F307" i="16"/>
  <c r="E307" i="16"/>
  <c r="D307" i="16"/>
  <c r="C307" i="16"/>
  <c r="B307" i="16"/>
  <c r="A307" i="16"/>
  <c r="H306" i="16"/>
  <c r="G306" i="16"/>
  <c r="F306" i="16"/>
  <c r="E306" i="16"/>
  <c r="D306" i="16"/>
  <c r="C306" i="16"/>
  <c r="B306" i="16"/>
  <c r="A306" i="16"/>
  <c r="H305" i="16"/>
  <c r="G305" i="16"/>
  <c r="F305" i="16"/>
  <c r="E305" i="16"/>
  <c r="D305" i="16"/>
  <c r="C305" i="16"/>
  <c r="B305" i="16"/>
  <c r="A305" i="16"/>
  <c r="H304" i="16"/>
  <c r="G304" i="16"/>
  <c r="F304" i="16"/>
  <c r="E304" i="16"/>
  <c r="D304" i="16"/>
  <c r="C304" i="16"/>
  <c r="B304" i="16"/>
  <c r="A304" i="16"/>
  <c r="H303" i="16"/>
  <c r="G303" i="16"/>
  <c r="F303" i="16"/>
  <c r="E303" i="16"/>
  <c r="D303" i="16"/>
  <c r="C303" i="16"/>
  <c r="B303" i="16"/>
  <c r="A303" i="16"/>
  <c r="H302" i="16"/>
  <c r="G302" i="16"/>
  <c r="F302" i="16"/>
  <c r="E302" i="16"/>
  <c r="D302" i="16"/>
  <c r="C302" i="16"/>
  <c r="B302" i="16"/>
  <c r="A302" i="16"/>
  <c r="H301" i="16"/>
  <c r="G301" i="16"/>
  <c r="F301" i="16"/>
  <c r="E301" i="16"/>
  <c r="D301" i="16"/>
  <c r="C301" i="16"/>
  <c r="B301" i="16"/>
  <c r="A301" i="16"/>
  <c r="H300" i="16"/>
  <c r="G300" i="16"/>
  <c r="F300" i="16"/>
  <c r="E300" i="16"/>
  <c r="D300" i="16"/>
  <c r="C300" i="16"/>
  <c r="B300" i="16"/>
  <c r="A300" i="16"/>
  <c r="H299" i="16"/>
  <c r="G299" i="16"/>
  <c r="F299" i="16"/>
  <c r="E299" i="16"/>
  <c r="D299" i="16"/>
  <c r="C299" i="16"/>
  <c r="B299" i="16"/>
  <c r="A299" i="16"/>
  <c r="H298" i="16"/>
  <c r="G298" i="16"/>
  <c r="F298" i="16"/>
  <c r="E298" i="16"/>
  <c r="D298" i="16"/>
  <c r="C298" i="16"/>
  <c r="B298" i="16"/>
  <c r="A298" i="16"/>
  <c r="H297" i="16"/>
  <c r="G297" i="16"/>
  <c r="F297" i="16"/>
  <c r="E297" i="16"/>
  <c r="D297" i="16"/>
  <c r="C297" i="16"/>
  <c r="B297" i="16"/>
  <c r="A297" i="16"/>
  <c r="H296" i="16"/>
  <c r="G296" i="16"/>
  <c r="F296" i="16"/>
  <c r="E296" i="16"/>
  <c r="D296" i="16"/>
  <c r="C296" i="16"/>
  <c r="B296" i="16"/>
  <c r="A296" i="16"/>
  <c r="H295" i="16"/>
  <c r="G295" i="16"/>
  <c r="F295" i="16"/>
  <c r="E295" i="16"/>
  <c r="D295" i="16"/>
  <c r="C295" i="16"/>
  <c r="B295" i="16"/>
  <c r="A295" i="16"/>
  <c r="H294" i="16"/>
  <c r="G294" i="16"/>
  <c r="F294" i="16"/>
  <c r="E294" i="16"/>
  <c r="D294" i="16"/>
  <c r="C294" i="16"/>
  <c r="B294" i="16"/>
  <c r="A294" i="16"/>
  <c r="H293" i="16"/>
  <c r="G293" i="16"/>
  <c r="F293" i="16"/>
  <c r="E293" i="16"/>
  <c r="D293" i="16"/>
  <c r="C293" i="16"/>
  <c r="B293" i="16"/>
  <c r="A293" i="16"/>
  <c r="H292" i="16"/>
  <c r="G292" i="16"/>
  <c r="F292" i="16"/>
  <c r="E292" i="16"/>
  <c r="D292" i="16"/>
  <c r="C292" i="16"/>
  <c r="B292" i="16"/>
  <c r="A292" i="16"/>
  <c r="H291" i="16"/>
  <c r="G291" i="16"/>
  <c r="F291" i="16"/>
  <c r="E291" i="16"/>
  <c r="D291" i="16"/>
  <c r="C291" i="16"/>
  <c r="B291" i="16"/>
  <c r="A291" i="16"/>
  <c r="H290" i="16"/>
  <c r="G290" i="16"/>
  <c r="F290" i="16"/>
  <c r="E290" i="16"/>
  <c r="D290" i="16"/>
  <c r="C290" i="16"/>
  <c r="B290" i="16"/>
  <c r="A290" i="16"/>
  <c r="H289" i="16"/>
  <c r="G289" i="16"/>
  <c r="F289" i="16"/>
  <c r="E289" i="16"/>
  <c r="D289" i="16"/>
  <c r="C289" i="16"/>
  <c r="B289" i="16"/>
  <c r="A289" i="16"/>
  <c r="H288" i="16"/>
  <c r="G288" i="16"/>
  <c r="F288" i="16"/>
  <c r="E288" i="16"/>
  <c r="D288" i="16"/>
  <c r="C288" i="16"/>
  <c r="B288" i="16"/>
  <c r="A288" i="16"/>
  <c r="H287" i="16"/>
  <c r="G287" i="16"/>
  <c r="F287" i="16"/>
  <c r="E287" i="16"/>
  <c r="D287" i="16"/>
  <c r="C287" i="16"/>
  <c r="B287" i="16"/>
  <c r="A287" i="16"/>
  <c r="H286" i="16"/>
  <c r="G286" i="16"/>
  <c r="F286" i="16"/>
  <c r="E286" i="16"/>
  <c r="D286" i="16"/>
  <c r="C286" i="16"/>
  <c r="B286" i="16"/>
  <c r="A286" i="16"/>
  <c r="H285" i="16"/>
  <c r="G285" i="16"/>
  <c r="F285" i="16"/>
  <c r="E285" i="16"/>
  <c r="D285" i="16"/>
  <c r="C285" i="16"/>
  <c r="B285" i="16"/>
  <c r="A285" i="16"/>
  <c r="H284" i="16"/>
  <c r="G284" i="16"/>
  <c r="F284" i="16"/>
  <c r="E284" i="16"/>
  <c r="D284" i="16"/>
  <c r="C284" i="16"/>
  <c r="B284" i="16"/>
  <c r="A284" i="16"/>
  <c r="H283" i="16"/>
  <c r="G283" i="16"/>
  <c r="F283" i="16"/>
  <c r="E283" i="16"/>
  <c r="D283" i="16"/>
  <c r="C283" i="16"/>
  <c r="B283" i="16"/>
  <c r="A283" i="16"/>
  <c r="H282" i="16"/>
  <c r="G282" i="16"/>
  <c r="F282" i="16"/>
  <c r="E282" i="16"/>
  <c r="D282" i="16"/>
  <c r="C282" i="16"/>
  <c r="B282" i="16"/>
  <c r="A282" i="16"/>
  <c r="H281" i="16"/>
  <c r="G281" i="16"/>
  <c r="F281" i="16"/>
  <c r="E281" i="16"/>
  <c r="D281" i="16"/>
  <c r="C281" i="16"/>
  <c r="B281" i="16"/>
  <c r="A281" i="16"/>
  <c r="H280" i="16"/>
  <c r="G280" i="16"/>
  <c r="F280" i="16"/>
  <c r="E280" i="16"/>
  <c r="D280" i="16"/>
  <c r="C280" i="16"/>
  <c r="B280" i="16"/>
  <c r="A280" i="16"/>
  <c r="H279" i="16"/>
  <c r="G279" i="16"/>
  <c r="F279" i="16"/>
  <c r="E279" i="16"/>
  <c r="D279" i="16"/>
  <c r="C279" i="16"/>
  <c r="B279" i="16"/>
  <c r="A279" i="16"/>
  <c r="H278" i="16"/>
  <c r="G278" i="16"/>
  <c r="F278" i="16"/>
  <c r="E278" i="16"/>
  <c r="D278" i="16"/>
  <c r="C278" i="16"/>
  <c r="B278" i="16"/>
  <c r="A278" i="16"/>
  <c r="H277" i="16"/>
  <c r="G277" i="16"/>
  <c r="F277" i="16"/>
  <c r="E277" i="16"/>
  <c r="D277" i="16"/>
  <c r="C277" i="16"/>
  <c r="B277" i="16"/>
  <c r="A277" i="16"/>
  <c r="H276" i="16"/>
  <c r="G276" i="16"/>
  <c r="F276" i="16"/>
  <c r="E276" i="16"/>
  <c r="D276" i="16"/>
  <c r="C276" i="16"/>
  <c r="B276" i="16"/>
  <c r="A276" i="16"/>
  <c r="H275" i="16"/>
  <c r="G275" i="16"/>
  <c r="F275" i="16"/>
  <c r="E275" i="16"/>
  <c r="D275" i="16"/>
  <c r="C275" i="16"/>
  <c r="B275" i="16"/>
  <c r="A275" i="16"/>
  <c r="H274" i="16"/>
  <c r="G274" i="16"/>
  <c r="F274" i="16"/>
  <c r="E274" i="16"/>
  <c r="D274" i="16"/>
  <c r="C274" i="16"/>
  <c r="B274" i="16"/>
  <c r="A274" i="16"/>
  <c r="H273" i="16"/>
  <c r="G273" i="16"/>
  <c r="F273" i="16"/>
  <c r="E273" i="16"/>
  <c r="D273" i="16"/>
  <c r="C273" i="16"/>
  <c r="B273" i="16"/>
  <c r="A273" i="16"/>
  <c r="H272" i="16"/>
  <c r="G272" i="16"/>
  <c r="F272" i="16"/>
  <c r="E272" i="16"/>
  <c r="D272" i="16"/>
  <c r="C272" i="16"/>
  <c r="B272" i="16"/>
  <c r="A272" i="16"/>
  <c r="H271" i="16"/>
  <c r="G271" i="16"/>
  <c r="F271" i="16"/>
  <c r="E271" i="16"/>
  <c r="D271" i="16"/>
  <c r="C271" i="16"/>
  <c r="B271" i="16"/>
  <c r="A271" i="16"/>
  <c r="H270" i="16"/>
  <c r="G270" i="16"/>
  <c r="F270" i="16"/>
  <c r="E270" i="16"/>
  <c r="D270" i="16"/>
  <c r="C270" i="16"/>
  <c r="B270" i="16"/>
  <c r="A270" i="16"/>
  <c r="H269" i="16"/>
  <c r="G269" i="16"/>
  <c r="F269" i="16"/>
  <c r="E269" i="16"/>
  <c r="D269" i="16"/>
  <c r="C269" i="16"/>
  <c r="B269" i="16"/>
  <c r="A269" i="16"/>
  <c r="H268" i="16"/>
  <c r="G268" i="16"/>
  <c r="F268" i="16"/>
  <c r="E268" i="16"/>
  <c r="D268" i="16"/>
  <c r="C268" i="16"/>
  <c r="B268" i="16"/>
  <c r="A268" i="16"/>
  <c r="H267" i="16"/>
  <c r="G267" i="16"/>
  <c r="F267" i="16"/>
  <c r="E267" i="16"/>
  <c r="D267" i="16"/>
  <c r="C267" i="16"/>
  <c r="B267" i="16"/>
  <c r="A267" i="16"/>
  <c r="H266" i="16"/>
  <c r="G266" i="16"/>
  <c r="F266" i="16"/>
  <c r="E266" i="16"/>
  <c r="D266" i="16"/>
  <c r="C266" i="16"/>
  <c r="B266" i="16"/>
  <c r="A266" i="16"/>
  <c r="H265" i="16"/>
  <c r="G265" i="16"/>
  <c r="F265" i="16"/>
  <c r="E265" i="16"/>
  <c r="D265" i="16"/>
  <c r="C265" i="16"/>
  <c r="B265" i="16"/>
  <c r="A265" i="16"/>
  <c r="H264" i="16"/>
  <c r="G264" i="16"/>
  <c r="F264" i="16"/>
  <c r="E264" i="16"/>
  <c r="D264" i="16"/>
  <c r="C264" i="16"/>
  <c r="B264" i="16"/>
  <c r="A264" i="16"/>
  <c r="H263" i="16"/>
  <c r="G263" i="16"/>
  <c r="F263" i="16"/>
  <c r="E263" i="16"/>
  <c r="D263" i="16"/>
  <c r="C263" i="16"/>
  <c r="B263" i="16"/>
  <c r="A263" i="16"/>
  <c r="H262" i="16"/>
  <c r="G262" i="16"/>
  <c r="F262" i="16"/>
  <c r="E262" i="16"/>
  <c r="D262" i="16"/>
  <c r="C262" i="16"/>
  <c r="B262" i="16"/>
  <c r="A262" i="16"/>
  <c r="H261" i="16"/>
  <c r="G261" i="16"/>
  <c r="F261" i="16"/>
  <c r="E261" i="16"/>
  <c r="D261" i="16"/>
  <c r="C261" i="16"/>
  <c r="B261" i="16"/>
  <c r="A261" i="16"/>
  <c r="H260" i="16"/>
  <c r="G260" i="16"/>
  <c r="F260" i="16"/>
  <c r="E260" i="16"/>
  <c r="D260" i="16"/>
  <c r="C260" i="16"/>
  <c r="B260" i="16"/>
  <c r="A260" i="16"/>
  <c r="H259" i="16"/>
  <c r="G259" i="16"/>
  <c r="F259" i="16"/>
  <c r="E259" i="16"/>
  <c r="D259" i="16"/>
  <c r="C259" i="16"/>
  <c r="B259" i="16"/>
  <c r="A259" i="16"/>
  <c r="H258" i="16"/>
  <c r="G258" i="16"/>
  <c r="F258" i="16"/>
  <c r="E258" i="16"/>
  <c r="D258" i="16"/>
  <c r="C258" i="16"/>
  <c r="B258" i="16"/>
  <c r="A258" i="16"/>
  <c r="H257" i="16"/>
  <c r="G257" i="16"/>
  <c r="F257" i="16"/>
  <c r="E257" i="16"/>
  <c r="D257" i="16"/>
  <c r="C257" i="16"/>
  <c r="B257" i="16"/>
  <c r="A257" i="16"/>
  <c r="H256" i="16"/>
  <c r="G256" i="16"/>
  <c r="F256" i="16"/>
  <c r="E256" i="16"/>
  <c r="D256" i="16"/>
  <c r="C256" i="16"/>
  <c r="B256" i="16"/>
  <c r="A256" i="16"/>
  <c r="H255" i="16"/>
  <c r="G255" i="16"/>
  <c r="F255" i="16"/>
  <c r="E255" i="16"/>
  <c r="D255" i="16"/>
  <c r="C255" i="16"/>
  <c r="B255" i="16"/>
  <c r="A255" i="16"/>
  <c r="H254" i="16"/>
  <c r="G254" i="16"/>
  <c r="F254" i="16"/>
  <c r="E254" i="16"/>
  <c r="D254" i="16"/>
  <c r="C254" i="16"/>
  <c r="B254" i="16"/>
  <c r="A254" i="16"/>
  <c r="H253" i="16"/>
  <c r="G253" i="16"/>
  <c r="F253" i="16"/>
  <c r="E253" i="16"/>
  <c r="D253" i="16"/>
  <c r="C253" i="16"/>
  <c r="B253" i="16"/>
  <c r="A253" i="16"/>
  <c r="H252" i="16"/>
  <c r="G252" i="16"/>
  <c r="F252" i="16"/>
  <c r="E252" i="16"/>
  <c r="D252" i="16"/>
  <c r="C252" i="16"/>
  <c r="B252" i="16"/>
  <c r="A252" i="16"/>
  <c r="H251" i="16"/>
  <c r="G251" i="16"/>
  <c r="F251" i="16"/>
  <c r="E251" i="16"/>
  <c r="D251" i="16"/>
  <c r="C251" i="16"/>
  <c r="B251" i="16"/>
  <c r="A251" i="16"/>
  <c r="H250" i="16"/>
  <c r="G250" i="16"/>
  <c r="F250" i="16"/>
  <c r="E250" i="16"/>
  <c r="D250" i="16"/>
  <c r="C250" i="16"/>
  <c r="B250" i="16"/>
  <c r="A250" i="16"/>
  <c r="H249" i="16"/>
  <c r="G249" i="16"/>
  <c r="F249" i="16"/>
  <c r="E249" i="16"/>
  <c r="D249" i="16"/>
  <c r="C249" i="16"/>
  <c r="B249" i="16"/>
  <c r="A249" i="16"/>
  <c r="H248" i="16"/>
  <c r="G248" i="16"/>
  <c r="F248" i="16"/>
  <c r="E248" i="16"/>
  <c r="D248" i="16"/>
  <c r="C248" i="16"/>
  <c r="B248" i="16"/>
  <c r="A248" i="16"/>
  <c r="H247" i="16"/>
  <c r="G247" i="16"/>
  <c r="F247" i="16"/>
  <c r="E247" i="16"/>
  <c r="D247" i="16"/>
  <c r="C247" i="16"/>
  <c r="B247" i="16"/>
  <c r="A247" i="16"/>
  <c r="H246" i="16"/>
  <c r="G246" i="16"/>
  <c r="F246" i="16"/>
  <c r="E246" i="16"/>
  <c r="D246" i="16"/>
  <c r="C246" i="16"/>
  <c r="B246" i="16"/>
  <c r="A246" i="16"/>
  <c r="H245" i="16"/>
  <c r="G245" i="16"/>
  <c r="F245" i="16"/>
  <c r="E245" i="16"/>
  <c r="D245" i="16"/>
  <c r="C245" i="16"/>
  <c r="B245" i="16"/>
  <c r="A245" i="16"/>
  <c r="H244" i="16"/>
  <c r="G244" i="16"/>
  <c r="F244" i="16"/>
  <c r="E244" i="16"/>
  <c r="D244" i="16"/>
  <c r="C244" i="16"/>
  <c r="B244" i="16"/>
  <c r="A244" i="16"/>
  <c r="H243" i="16"/>
  <c r="G243" i="16"/>
  <c r="F243" i="16"/>
  <c r="E243" i="16"/>
  <c r="D243" i="16"/>
  <c r="C243" i="16"/>
  <c r="B243" i="16"/>
  <c r="A243" i="16"/>
  <c r="H242" i="16"/>
  <c r="G242" i="16"/>
  <c r="F242" i="16"/>
  <c r="E242" i="16"/>
  <c r="D242" i="16"/>
  <c r="C242" i="16"/>
  <c r="B242" i="16"/>
  <c r="A242" i="16"/>
  <c r="H241" i="16"/>
  <c r="G241" i="16"/>
  <c r="F241" i="16"/>
  <c r="E241" i="16"/>
  <c r="D241" i="16"/>
  <c r="C241" i="16"/>
  <c r="B241" i="16"/>
  <c r="A241" i="16"/>
  <c r="H240" i="16"/>
  <c r="G240" i="16"/>
  <c r="F240" i="16"/>
  <c r="E240" i="16"/>
  <c r="D240" i="16"/>
  <c r="C240" i="16"/>
  <c r="B240" i="16"/>
  <c r="A240" i="16"/>
  <c r="H239" i="16"/>
  <c r="G239" i="16"/>
  <c r="F239" i="16"/>
  <c r="E239" i="16"/>
  <c r="D239" i="16"/>
  <c r="C239" i="16"/>
  <c r="B239" i="16"/>
  <c r="A239" i="16"/>
  <c r="H238" i="16"/>
  <c r="G238" i="16"/>
  <c r="F238" i="16"/>
  <c r="E238" i="16"/>
  <c r="D238" i="16"/>
  <c r="C238" i="16"/>
  <c r="B238" i="16"/>
  <c r="A238" i="16"/>
  <c r="H237" i="16"/>
  <c r="G237" i="16"/>
  <c r="F237" i="16"/>
  <c r="E237" i="16"/>
  <c r="D237" i="16"/>
  <c r="C237" i="16"/>
  <c r="B237" i="16"/>
  <c r="A237" i="16"/>
  <c r="H236" i="16"/>
  <c r="G236" i="16"/>
  <c r="F236" i="16"/>
  <c r="E236" i="16"/>
  <c r="D236" i="16"/>
  <c r="C236" i="16"/>
  <c r="B236" i="16"/>
  <c r="A236" i="16"/>
  <c r="H235" i="16"/>
  <c r="G235" i="16"/>
  <c r="F235" i="16"/>
  <c r="E235" i="16"/>
  <c r="D235" i="16"/>
  <c r="C235" i="16"/>
  <c r="B235" i="16"/>
  <c r="A235" i="16"/>
  <c r="H234" i="16"/>
  <c r="G234" i="16"/>
  <c r="F234" i="16"/>
  <c r="E234" i="16"/>
  <c r="D234" i="16"/>
  <c r="C234" i="16"/>
  <c r="B234" i="16"/>
  <c r="A234" i="16"/>
  <c r="H233" i="16"/>
  <c r="G233" i="16"/>
  <c r="F233" i="16"/>
  <c r="E233" i="16"/>
  <c r="D233" i="16"/>
  <c r="C233" i="16"/>
  <c r="B233" i="16"/>
  <c r="A233" i="16"/>
  <c r="H232" i="16"/>
  <c r="G232" i="16"/>
  <c r="F232" i="16"/>
  <c r="E232" i="16"/>
  <c r="D232" i="16"/>
  <c r="C232" i="16"/>
  <c r="B232" i="16"/>
  <c r="A232" i="16"/>
  <c r="H231" i="16"/>
  <c r="G231" i="16"/>
  <c r="F231" i="16"/>
  <c r="E231" i="16"/>
  <c r="D231" i="16"/>
  <c r="C231" i="16"/>
  <c r="B231" i="16"/>
  <c r="A231" i="16"/>
  <c r="H230" i="16"/>
  <c r="G230" i="16"/>
  <c r="F230" i="16"/>
  <c r="E230" i="16"/>
  <c r="D230" i="16"/>
  <c r="C230" i="16"/>
  <c r="B230" i="16"/>
  <c r="A230" i="16"/>
  <c r="H229" i="16"/>
  <c r="G229" i="16"/>
  <c r="F229" i="16"/>
  <c r="E229" i="16"/>
  <c r="D229" i="16"/>
  <c r="C229" i="16"/>
  <c r="B229" i="16"/>
  <c r="A229" i="16"/>
  <c r="H228" i="16"/>
  <c r="G228" i="16"/>
  <c r="F228" i="16"/>
  <c r="E228" i="16"/>
  <c r="D228" i="16"/>
  <c r="C228" i="16"/>
  <c r="B228" i="16"/>
  <c r="A228" i="16"/>
  <c r="H227" i="16"/>
  <c r="G227" i="16"/>
  <c r="F227" i="16"/>
  <c r="E227" i="16"/>
  <c r="D227" i="16"/>
  <c r="C227" i="16"/>
  <c r="B227" i="16"/>
  <c r="A227" i="16"/>
  <c r="H226" i="16"/>
  <c r="G226" i="16"/>
  <c r="F226" i="16"/>
  <c r="E226" i="16"/>
  <c r="D226" i="16"/>
  <c r="C226" i="16"/>
  <c r="B226" i="16"/>
  <c r="A226" i="16"/>
  <c r="H225" i="16"/>
  <c r="G225" i="16"/>
  <c r="F225" i="16"/>
  <c r="E225" i="16"/>
  <c r="D225" i="16"/>
  <c r="C225" i="16"/>
  <c r="B225" i="16"/>
  <c r="A225" i="16"/>
  <c r="H224" i="16"/>
  <c r="G224" i="16"/>
  <c r="F224" i="16"/>
  <c r="E224" i="16"/>
  <c r="D224" i="16"/>
  <c r="C224" i="16"/>
  <c r="B224" i="16"/>
  <c r="A224" i="16"/>
  <c r="H223" i="16"/>
  <c r="G223" i="16"/>
  <c r="F223" i="16"/>
  <c r="E223" i="16"/>
  <c r="D223" i="16"/>
  <c r="C223" i="16"/>
  <c r="B223" i="16"/>
  <c r="A223" i="16"/>
  <c r="H222" i="16"/>
  <c r="G222" i="16"/>
  <c r="F222" i="16"/>
  <c r="E222" i="16"/>
  <c r="D222" i="16"/>
  <c r="C222" i="16"/>
  <c r="B222" i="16"/>
  <c r="A222" i="16"/>
  <c r="H221" i="16"/>
  <c r="G221" i="16"/>
  <c r="F221" i="16"/>
  <c r="E221" i="16"/>
  <c r="D221" i="16"/>
  <c r="C221" i="16"/>
  <c r="B221" i="16"/>
  <c r="A221" i="16"/>
  <c r="H220" i="16"/>
  <c r="G220" i="16"/>
  <c r="F220" i="16"/>
  <c r="E220" i="16"/>
  <c r="D220" i="16"/>
  <c r="C220" i="16"/>
  <c r="B220" i="16"/>
  <c r="A220" i="16"/>
  <c r="H219" i="16"/>
  <c r="G219" i="16"/>
  <c r="F219" i="16"/>
  <c r="E219" i="16"/>
  <c r="D219" i="16"/>
  <c r="C219" i="16"/>
  <c r="B219" i="16"/>
  <c r="A219" i="16"/>
  <c r="H218" i="16"/>
  <c r="G218" i="16"/>
  <c r="F218" i="16"/>
  <c r="E218" i="16"/>
  <c r="D218" i="16"/>
  <c r="C218" i="16"/>
  <c r="B218" i="16"/>
  <c r="A218" i="16"/>
  <c r="H217" i="16"/>
  <c r="G217" i="16"/>
  <c r="F217" i="16"/>
  <c r="E217" i="16"/>
  <c r="D217" i="16"/>
  <c r="C217" i="16"/>
  <c r="B217" i="16"/>
  <c r="A217" i="16"/>
  <c r="H216" i="16"/>
  <c r="G216" i="16"/>
  <c r="F216" i="16"/>
  <c r="E216" i="16"/>
  <c r="D216" i="16"/>
  <c r="C216" i="16"/>
  <c r="B216" i="16"/>
  <c r="A216" i="16"/>
  <c r="H215" i="16"/>
  <c r="G215" i="16"/>
  <c r="F215" i="16"/>
  <c r="E215" i="16"/>
  <c r="D215" i="16"/>
  <c r="C215" i="16"/>
  <c r="B215" i="16"/>
  <c r="A215" i="16"/>
  <c r="H214" i="16"/>
  <c r="G214" i="16"/>
  <c r="F214" i="16"/>
  <c r="E214" i="16"/>
  <c r="D214" i="16"/>
  <c r="C214" i="16"/>
  <c r="B214" i="16"/>
  <c r="A214" i="16"/>
  <c r="H213" i="16"/>
  <c r="G213" i="16"/>
  <c r="F213" i="16"/>
  <c r="E213" i="16"/>
  <c r="D213" i="16"/>
  <c r="C213" i="16"/>
  <c r="B213" i="16"/>
  <c r="A213" i="16"/>
  <c r="H212" i="16"/>
  <c r="G212" i="16"/>
  <c r="F212" i="16"/>
  <c r="E212" i="16"/>
  <c r="D212" i="16"/>
  <c r="C212" i="16"/>
  <c r="B212" i="16"/>
  <c r="A212" i="16"/>
  <c r="H211" i="16"/>
  <c r="G211" i="16"/>
  <c r="F211" i="16"/>
  <c r="E211" i="16"/>
  <c r="D211" i="16"/>
  <c r="C211" i="16"/>
  <c r="B211" i="16"/>
  <c r="A211" i="16"/>
  <c r="H210" i="16"/>
  <c r="G210" i="16"/>
  <c r="F210" i="16"/>
  <c r="E210" i="16"/>
  <c r="D210" i="16"/>
  <c r="C210" i="16"/>
  <c r="B210" i="16"/>
  <c r="A210" i="16"/>
  <c r="H209" i="16"/>
  <c r="G209" i="16"/>
  <c r="F209" i="16"/>
  <c r="E209" i="16"/>
  <c r="D209" i="16"/>
  <c r="C209" i="16"/>
  <c r="B209" i="16"/>
  <c r="A209" i="16"/>
  <c r="H208" i="16"/>
  <c r="G208" i="16"/>
  <c r="F208" i="16"/>
  <c r="E208" i="16"/>
  <c r="D208" i="16"/>
  <c r="C208" i="16"/>
  <c r="B208" i="16"/>
  <c r="A208" i="16"/>
  <c r="H207" i="16"/>
  <c r="G207" i="16"/>
  <c r="F207" i="16"/>
  <c r="E207" i="16"/>
  <c r="D207" i="16"/>
  <c r="C207" i="16"/>
  <c r="B207" i="16"/>
  <c r="A207" i="16"/>
  <c r="H206" i="16"/>
  <c r="G206" i="16"/>
  <c r="F206" i="16"/>
  <c r="E206" i="16"/>
  <c r="D206" i="16"/>
  <c r="C206" i="16"/>
  <c r="B206" i="16"/>
  <c r="A206" i="16"/>
  <c r="H205" i="16"/>
  <c r="G205" i="16"/>
  <c r="F205" i="16"/>
  <c r="E205" i="16"/>
  <c r="D205" i="16"/>
  <c r="C205" i="16"/>
  <c r="B205" i="16"/>
  <c r="A205" i="16"/>
  <c r="H204" i="16"/>
  <c r="G204" i="16"/>
  <c r="F204" i="16"/>
  <c r="E204" i="16"/>
  <c r="D204" i="16"/>
  <c r="C204" i="16"/>
  <c r="B204" i="16"/>
  <c r="A204" i="16"/>
  <c r="H203" i="16"/>
  <c r="G203" i="16"/>
  <c r="F203" i="16"/>
  <c r="E203" i="16"/>
  <c r="D203" i="16"/>
  <c r="C203" i="16"/>
  <c r="B203" i="16"/>
  <c r="A203" i="16"/>
  <c r="H202" i="16"/>
  <c r="G202" i="16"/>
  <c r="F202" i="16"/>
  <c r="E202" i="16"/>
  <c r="D202" i="16"/>
  <c r="C202" i="16"/>
  <c r="B202" i="16"/>
  <c r="A202" i="16"/>
  <c r="H201" i="16"/>
  <c r="G201" i="16"/>
  <c r="F201" i="16"/>
  <c r="E201" i="16"/>
  <c r="D201" i="16"/>
  <c r="C201" i="16"/>
  <c r="B201" i="16"/>
  <c r="A201" i="16"/>
  <c r="H200" i="16"/>
  <c r="G200" i="16"/>
  <c r="F200" i="16"/>
  <c r="E200" i="16"/>
  <c r="D200" i="16"/>
  <c r="C200" i="16"/>
  <c r="B200" i="16"/>
  <c r="A200" i="16"/>
  <c r="H199" i="16"/>
  <c r="G199" i="16"/>
  <c r="F199" i="16"/>
  <c r="E199" i="16"/>
  <c r="D199" i="16"/>
  <c r="C199" i="16"/>
  <c r="B199" i="16"/>
  <c r="A199" i="16"/>
  <c r="H198" i="16"/>
  <c r="G198" i="16"/>
  <c r="F198" i="16"/>
  <c r="E198" i="16"/>
  <c r="D198" i="16"/>
  <c r="C198" i="16"/>
  <c r="B198" i="16"/>
  <c r="A198" i="16"/>
  <c r="H197" i="16"/>
  <c r="G197" i="16"/>
  <c r="F197" i="16"/>
  <c r="E197" i="16"/>
  <c r="D197" i="16"/>
  <c r="C197" i="16"/>
  <c r="B197" i="16"/>
  <c r="A197" i="16"/>
  <c r="H196" i="16"/>
  <c r="G196" i="16"/>
  <c r="F196" i="16"/>
  <c r="E196" i="16"/>
  <c r="D196" i="16"/>
  <c r="C196" i="16"/>
  <c r="B196" i="16"/>
  <c r="A196" i="16"/>
  <c r="H195" i="16"/>
  <c r="G195" i="16"/>
  <c r="F195" i="16"/>
  <c r="E195" i="16"/>
  <c r="D195" i="16"/>
  <c r="C195" i="16"/>
  <c r="B195" i="16"/>
  <c r="A195" i="16"/>
  <c r="H194" i="16"/>
  <c r="G194" i="16"/>
  <c r="F194" i="16"/>
  <c r="E194" i="16"/>
  <c r="D194" i="16"/>
  <c r="C194" i="16"/>
  <c r="B194" i="16"/>
  <c r="A194" i="16"/>
  <c r="H193" i="16"/>
  <c r="G193" i="16"/>
  <c r="F193" i="16"/>
  <c r="E193" i="16"/>
  <c r="D193" i="16"/>
  <c r="C193" i="16"/>
  <c r="B193" i="16"/>
  <c r="A193" i="16"/>
  <c r="H192" i="16"/>
  <c r="G192" i="16"/>
  <c r="F192" i="16"/>
  <c r="E192" i="16"/>
  <c r="D192" i="16"/>
  <c r="C192" i="16"/>
  <c r="B192" i="16"/>
  <c r="A192" i="16"/>
  <c r="H191" i="16"/>
  <c r="G191" i="16"/>
  <c r="F191" i="16"/>
  <c r="E191" i="16"/>
  <c r="D191" i="16"/>
  <c r="C191" i="16"/>
  <c r="B191" i="16"/>
  <c r="A191" i="16"/>
  <c r="H190" i="16"/>
  <c r="G190" i="16"/>
  <c r="F190" i="16"/>
  <c r="E190" i="16"/>
  <c r="D190" i="16"/>
  <c r="C190" i="16"/>
  <c r="B190" i="16"/>
  <c r="A190" i="16"/>
  <c r="H189" i="16"/>
  <c r="G189" i="16"/>
  <c r="F189" i="16"/>
  <c r="E189" i="16"/>
  <c r="D189" i="16"/>
  <c r="C189" i="16"/>
  <c r="B189" i="16"/>
  <c r="A189" i="16"/>
  <c r="H188" i="16"/>
  <c r="G188" i="16"/>
  <c r="F188" i="16"/>
  <c r="E188" i="16"/>
  <c r="D188" i="16"/>
  <c r="C188" i="16"/>
  <c r="B188" i="16"/>
  <c r="A188" i="16"/>
  <c r="H187" i="16"/>
  <c r="G187" i="16"/>
  <c r="F187" i="16"/>
  <c r="E187" i="16"/>
  <c r="D187" i="16"/>
  <c r="C187" i="16"/>
  <c r="B187" i="16"/>
  <c r="A187" i="16"/>
  <c r="H186" i="16"/>
  <c r="G186" i="16"/>
  <c r="F186" i="16"/>
  <c r="E186" i="16"/>
  <c r="D186" i="16"/>
  <c r="C186" i="16"/>
  <c r="B186" i="16"/>
  <c r="A186" i="16"/>
  <c r="H185" i="16"/>
  <c r="G185" i="16"/>
  <c r="F185" i="16"/>
  <c r="E185" i="16"/>
  <c r="D185" i="16"/>
  <c r="C185" i="16"/>
  <c r="B185" i="16"/>
  <c r="A185" i="16"/>
  <c r="H184" i="16"/>
  <c r="G184" i="16"/>
  <c r="F184" i="16"/>
  <c r="E184" i="16"/>
  <c r="D184" i="16"/>
  <c r="C184" i="16"/>
  <c r="B184" i="16"/>
  <c r="A184" i="16"/>
  <c r="H183" i="16"/>
  <c r="G183" i="16"/>
  <c r="F183" i="16"/>
  <c r="E183" i="16"/>
  <c r="D183" i="16"/>
  <c r="C183" i="16"/>
  <c r="B183" i="16"/>
  <c r="A183" i="16"/>
  <c r="H182" i="16"/>
  <c r="G182" i="16"/>
  <c r="F182" i="16"/>
  <c r="E182" i="16"/>
  <c r="D182" i="16"/>
  <c r="C182" i="16"/>
  <c r="B182" i="16"/>
  <c r="A182" i="16"/>
  <c r="H181" i="16"/>
  <c r="G181" i="16"/>
  <c r="F181" i="16"/>
  <c r="E181" i="16"/>
  <c r="D181" i="16"/>
  <c r="C181" i="16"/>
  <c r="B181" i="16"/>
  <c r="A181" i="16"/>
  <c r="H180" i="16"/>
  <c r="G180" i="16"/>
  <c r="F180" i="16"/>
  <c r="E180" i="16"/>
  <c r="D180" i="16"/>
  <c r="C180" i="16"/>
  <c r="B180" i="16"/>
  <c r="A180" i="16"/>
  <c r="H179" i="16"/>
  <c r="G179" i="16"/>
  <c r="F179" i="16"/>
  <c r="E179" i="16"/>
  <c r="D179" i="16"/>
  <c r="C179" i="16"/>
  <c r="B179" i="16"/>
  <c r="A179" i="16"/>
  <c r="H178" i="16"/>
  <c r="G178" i="16"/>
  <c r="F178" i="16"/>
  <c r="E178" i="16"/>
  <c r="D178" i="16"/>
  <c r="C178" i="16"/>
  <c r="B178" i="16"/>
  <c r="A178" i="16"/>
  <c r="H177" i="16"/>
  <c r="G177" i="16"/>
  <c r="F177" i="16"/>
  <c r="E177" i="16"/>
  <c r="D177" i="16"/>
  <c r="C177" i="16"/>
  <c r="B177" i="16"/>
  <c r="A177" i="16"/>
  <c r="H176" i="16"/>
  <c r="G176" i="16"/>
  <c r="F176" i="16"/>
  <c r="E176" i="16"/>
  <c r="D176" i="16"/>
  <c r="C176" i="16"/>
  <c r="B176" i="16"/>
  <c r="A176" i="16"/>
  <c r="H175" i="16"/>
  <c r="G175" i="16"/>
  <c r="F175" i="16"/>
  <c r="E175" i="16"/>
  <c r="D175" i="16"/>
  <c r="C175" i="16"/>
  <c r="B175" i="16"/>
  <c r="A175" i="16"/>
  <c r="H174" i="16"/>
  <c r="G174" i="16"/>
  <c r="F174" i="16"/>
  <c r="E174" i="16"/>
  <c r="D174" i="16"/>
  <c r="C174" i="16"/>
  <c r="B174" i="16"/>
  <c r="A174" i="16"/>
  <c r="H173" i="16"/>
  <c r="G173" i="16"/>
  <c r="F173" i="16"/>
  <c r="E173" i="16"/>
  <c r="D173" i="16"/>
  <c r="C173" i="16"/>
  <c r="B173" i="16"/>
  <c r="A173" i="16"/>
  <c r="H172" i="16"/>
  <c r="G172" i="16"/>
  <c r="F172" i="16"/>
  <c r="E172" i="16"/>
  <c r="D172" i="16"/>
  <c r="C172" i="16"/>
  <c r="B172" i="16"/>
  <c r="A172" i="16"/>
  <c r="H171" i="16"/>
  <c r="G171" i="16"/>
  <c r="F171" i="16"/>
  <c r="E171" i="16"/>
  <c r="D171" i="16"/>
  <c r="C171" i="16"/>
  <c r="B171" i="16"/>
  <c r="A171" i="16"/>
  <c r="H170" i="16"/>
  <c r="G170" i="16"/>
  <c r="F170" i="16"/>
  <c r="E170" i="16"/>
  <c r="D170" i="16"/>
  <c r="C170" i="16"/>
  <c r="B170" i="16"/>
  <c r="A170" i="16"/>
  <c r="H169" i="16"/>
  <c r="G169" i="16"/>
  <c r="F169" i="16"/>
  <c r="E169" i="16"/>
  <c r="D169" i="16"/>
  <c r="C169" i="16"/>
  <c r="B169" i="16"/>
  <c r="A169" i="16"/>
  <c r="H168" i="16"/>
  <c r="G168" i="16"/>
  <c r="F168" i="16"/>
  <c r="E168" i="16"/>
  <c r="D168" i="16"/>
  <c r="C168" i="16"/>
  <c r="B168" i="16"/>
  <c r="A168" i="16"/>
  <c r="H167" i="16"/>
  <c r="G167" i="16"/>
  <c r="F167" i="16"/>
  <c r="E167" i="16"/>
  <c r="D167" i="16"/>
  <c r="C167" i="16"/>
  <c r="B167" i="16"/>
  <c r="A167" i="16"/>
  <c r="H166" i="16"/>
  <c r="G166" i="16"/>
  <c r="F166" i="16"/>
  <c r="E166" i="16"/>
  <c r="D166" i="16"/>
  <c r="C166" i="16"/>
  <c r="B166" i="16"/>
  <c r="A166" i="16"/>
  <c r="H165" i="16"/>
  <c r="G165" i="16"/>
  <c r="F165" i="16"/>
  <c r="E165" i="16"/>
  <c r="D165" i="16"/>
  <c r="C165" i="16"/>
  <c r="B165" i="16"/>
  <c r="A165" i="16"/>
  <c r="H164" i="16"/>
  <c r="G164" i="16"/>
  <c r="F164" i="16"/>
  <c r="E164" i="16"/>
  <c r="D164" i="16"/>
  <c r="C164" i="16"/>
  <c r="B164" i="16"/>
  <c r="A164" i="16"/>
  <c r="H163" i="16"/>
  <c r="G163" i="16"/>
  <c r="F163" i="16"/>
  <c r="E163" i="16"/>
  <c r="D163" i="16"/>
  <c r="C163" i="16"/>
  <c r="B163" i="16"/>
  <c r="A163" i="16"/>
  <c r="H162" i="16"/>
  <c r="G162" i="16"/>
  <c r="F162" i="16"/>
  <c r="E162" i="16"/>
  <c r="D162" i="16"/>
  <c r="C162" i="16"/>
  <c r="B162" i="16"/>
  <c r="A162" i="16"/>
  <c r="H161" i="16"/>
  <c r="G161" i="16"/>
  <c r="F161" i="16"/>
  <c r="E161" i="16"/>
  <c r="D161" i="16"/>
  <c r="C161" i="16"/>
  <c r="B161" i="16"/>
  <c r="A161" i="16"/>
  <c r="H160" i="16"/>
  <c r="G160" i="16"/>
  <c r="F160" i="16"/>
  <c r="E160" i="16"/>
  <c r="D160" i="16"/>
  <c r="C160" i="16"/>
  <c r="B160" i="16"/>
  <c r="A160" i="16"/>
  <c r="H159" i="16"/>
  <c r="G159" i="16"/>
  <c r="F159" i="16"/>
  <c r="E159" i="16"/>
  <c r="D159" i="16"/>
  <c r="C159" i="16"/>
  <c r="B159" i="16"/>
  <c r="A159" i="16"/>
  <c r="H158" i="16"/>
  <c r="G158" i="16"/>
  <c r="F158" i="16"/>
  <c r="E158" i="16"/>
  <c r="D158" i="16"/>
  <c r="C158" i="16"/>
  <c r="B158" i="16"/>
  <c r="A158" i="16"/>
  <c r="H157" i="16"/>
  <c r="G157" i="16"/>
  <c r="F157" i="16"/>
  <c r="E157" i="16"/>
  <c r="D157" i="16"/>
  <c r="C157" i="16"/>
  <c r="B157" i="16"/>
  <c r="A157" i="16"/>
  <c r="H156" i="16"/>
  <c r="G156" i="16"/>
  <c r="F156" i="16"/>
  <c r="E156" i="16"/>
  <c r="D156" i="16"/>
  <c r="C156" i="16"/>
  <c r="B156" i="16"/>
  <c r="A156" i="16"/>
  <c r="H155" i="16"/>
  <c r="G155" i="16"/>
  <c r="F155" i="16"/>
  <c r="E155" i="16"/>
  <c r="D155" i="16"/>
  <c r="C155" i="16"/>
  <c r="B155" i="16"/>
  <c r="A155" i="16"/>
  <c r="H154" i="16"/>
  <c r="G154" i="16"/>
  <c r="F154" i="16"/>
  <c r="E154" i="16"/>
  <c r="D154" i="16"/>
  <c r="C154" i="16"/>
  <c r="B154" i="16"/>
  <c r="A154" i="16"/>
  <c r="H153" i="16"/>
  <c r="G153" i="16"/>
  <c r="F153" i="16"/>
  <c r="E153" i="16"/>
  <c r="D153" i="16"/>
  <c r="C153" i="16"/>
  <c r="B153" i="16"/>
  <c r="A153" i="16"/>
  <c r="H152" i="16"/>
  <c r="G152" i="16"/>
  <c r="F152" i="16"/>
  <c r="E152" i="16"/>
  <c r="D152" i="16"/>
  <c r="C152" i="16"/>
  <c r="B152" i="16"/>
  <c r="A152" i="16"/>
  <c r="H151" i="16"/>
  <c r="G151" i="16"/>
  <c r="F151" i="16"/>
  <c r="E151" i="16"/>
  <c r="D151" i="16"/>
  <c r="C151" i="16"/>
  <c r="B151" i="16"/>
  <c r="A151" i="16"/>
  <c r="H150" i="16"/>
  <c r="G150" i="16"/>
  <c r="F150" i="16"/>
  <c r="E150" i="16"/>
  <c r="D150" i="16"/>
  <c r="C150" i="16"/>
  <c r="B150" i="16"/>
  <c r="A150" i="16"/>
  <c r="H149" i="16"/>
  <c r="G149" i="16"/>
  <c r="F149" i="16"/>
  <c r="E149" i="16"/>
  <c r="D149" i="16"/>
  <c r="C149" i="16"/>
  <c r="B149" i="16"/>
  <c r="A149" i="16"/>
  <c r="H148" i="16"/>
  <c r="G148" i="16"/>
  <c r="F148" i="16"/>
  <c r="E148" i="16"/>
  <c r="D148" i="16"/>
  <c r="C148" i="16"/>
  <c r="B148" i="16"/>
  <c r="A148" i="16"/>
  <c r="H147" i="16"/>
  <c r="G147" i="16"/>
  <c r="F147" i="16"/>
  <c r="E147" i="16"/>
  <c r="D147" i="16"/>
  <c r="C147" i="16"/>
  <c r="B147" i="16"/>
  <c r="A147" i="16"/>
  <c r="H146" i="16"/>
  <c r="G146" i="16"/>
  <c r="F146" i="16"/>
  <c r="E146" i="16"/>
  <c r="D146" i="16"/>
  <c r="C146" i="16"/>
  <c r="B146" i="16"/>
  <c r="A146" i="16"/>
  <c r="H145" i="16"/>
  <c r="G145" i="16"/>
  <c r="F145" i="16"/>
  <c r="E145" i="16"/>
  <c r="D145" i="16"/>
  <c r="C145" i="16"/>
  <c r="B145" i="16"/>
  <c r="A145" i="16"/>
  <c r="H144" i="16"/>
  <c r="G144" i="16"/>
  <c r="F144" i="16"/>
  <c r="E144" i="16"/>
  <c r="D144" i="16"/>
  <c r="C144" i="16"/>
  <c r="B144" i="16"/>
  <c r="A144" i="16"/>
  <c r="H143" i="16"/>
  <c r="G143" i="16"/>
  <c r="F143" i="16"/>
  <c r="E143" i="16"/>
  <c r="D143" i="16"/>
  <c r="C143" i="16"/>
  <c r="B143" i="16"/>
  <c r="A143" i="16"/>
  <c r="H142" i="16"/>
  <c r="G142" i="16"/>
  <c r="F142" i="16"/>
  <c r="E142" i="16"/>
  <c r="D142" i="16"/>
  <c r="C142" i="16"/>
  <c r="B142" i="16"/>
  <c r="A142" i="16"/>
  <c r="H141" i="16"/>
  <c r="G141" i="16"/>
  <c r="F141" i="16"/>
  <c r="E141" i="16"/>
  <c r="D141" i="16"/>
  <c r="C141" i="16"/>
  <c r="B141" i="16"/>
  <c r="A141" i="16"/>
  <c r="H140" i="16"/>
  <c r="G140" i="16"/>
  <c r="F140" i="16"/>
  <c r="E140" i="16"/>
  <c r="D140" i="16"/>
  <c r="C140" i="16"/>
  <c r="B140" i="16"/>
  <c r="A140" i="16"/>
  <c r="H139" i="16"/>
  <c r="G139" i="16"/>
  <c r="F139" i="16"/>
  <c r="E139" i="16"/>
  <c r="D139" i="16"/>
  <c r="C139" i="16"/>
  <c r="B139" i="16"/>
  <c r="A139" i="16"/>
  <c r="H138" i="16"/>
  <c r="G138" i="16"/>
  <c r="F138" i="16"/>
  <c r="E138" i="16"/>
  <c r="D138" i="16"/>
  <c r="C138" i="16"/>
  <c r="B138" i="16"/>
  <c r="A138" i="16"/>
  <c r="H137" i="16"/>
  <c r="G137" i="16"/>
  <c r="F137" i="16"/>
  <c r="E137" i="16"/>
  <c r="D137" i="16"/>
  <c r="C137" i="16"/>
  <c r="B137" i="16"/>
  <c r="A137" i="16"/>
  <c r="H136" i="16"/>
  <c r="G136" i="16"/>
  <c r="F136" i="16"/>
  <c r="E136" i="16"/>
  <c r="D136" i="16"/>
  <c r="C136" i="16"/>
  <c r="B136" i="16"/>
  <c r="A136" i="16"/>
  <c r="H135" i="16"/>
  <c r="G135" i="16"/>
  <c r="F135" i="16"/>
  <c r="E135" i="16"/>
  <c r="D135" i="16"/>
  <c r="C135" i="16"/>
  <c r="B135" i="16"/>
  <c r="A135" i="16"/>
  <c r="H134" i="16"/>
  <c r="G134" i="16"/>
  <c r="F134" i="16"/>
  <c r="E134" i="16"/>
  <c r="D134" i="16"/>
  <c r="C134" i="16"/>
  <c r="B134" i="16"/>
  <c r="A134" i="16"/>
  <c r="H133" i="16"/>
  <c r="G133" i="16"/>
  <c r="F133" i="16"/>
  <c r="E133" i="16"/>
  <c r="D133" i="16"/>
  <c r="C133" i="16"/>
  <c r="B133" i="16"/>
  <c r="A133" i="16"/>
  <c r="H132" i="16"/>
  <c r="G132" i="16"/>
  <c r="F132" i="16"/>
  <c r="E132" i="16"/>
  <c r="D132" i="16"/>
  <c r="C132" i="16"/>
  <c r="B132" i="16"/>
  <c r="A132" i="16"/>
  <c r="H131" i="16"/>
  <c r="G131" i="16"/>
  <c r="F131" i="16"/>
  <c r="E131" i="16"/>
  <c r="D131" i="16"/>
  <c r="C131" i="16"/>
  <c r="B131" i="16"/>
  <c r="A131" i="16"/>
  <c r="H130" i="16"/>
  <c r="G130" i="16"/>
  <c r="F130" i="16"/>
  <c r="E130" i="16"/>
  <c r="D130" i="16"/>
  <c r="C130" i="16"/>
  <c r="B130" i="16"/>
  <c r="A130" i="16"/>
  <c r="H129" i="16"/>
  <c r="G129" i="16"/>
  <c r="F129" i="16"/>
  <c r="E129" i="16"/>
  <c r="D129" i="16"/>
  <c r="C129" i="16"/>
  <c r="B129" i="16"/>
  <c r="A129" i="16"/>
  <c r="H128" i="16"/>
  <c r="G128" i="16"/>
  <c r="F128" i="16"/>
  <c r="E128" i="16"/>
  <c r="D128" i="16"/>
  <c r="C128" i="16"/>
  <c r="B128" i="16"/>
  <c r="A128" i="16"/>
  <c r="H127" i="16"/>
  <c r="G127" i="16"/>
  <c r="F127" i="16"/>
  <c r="E127" i="16"/>
  <c r="D127" i="16"/>
  <c r="C127" i="16"/>
  <c r="B127" i="16"/>
  <c r="A127" i="16"/>
  <c r="H126" i="16"/>
  <c r="G126" i="16"/>
  <c r="F126" i="16"/>
  <c r="E126" i="16"/>
  <c r="D126" i="16"/>
  <c r="C126" i="16"/>
  <c r="B126" i="16"/>
  <c r="A126" i="16"/>
  <c r="H125" i="16"/>
  <c r="G125" i="16"/>
  <c r="F125" i="16"/>
  <c r="E125" i="16"/>
  <c r="D125" i="16"/>
  <c r="C125" i="16"/>
  <c r="B125" i="16"/>
  <c r="A125" i="16"/>
  <c r="H124" i="16"/>
  <c r="G124" i="16"/>
  <c r="F124" i="16"/>
  <c r="E124" i="16"/>
  <c r="D124" i="16"/>
  <c r="C124" i="16"/>
  <c r="B124" i="16"/>
  <c r="A124" i="16"/>
  <c r="H123" i="16"/>
  <c r="G123" i="16"/>
  <c r="F123" i="16"/>
  <c r="E123" i="16"/>
  <c r="D123" i="16"/>
  <c r="C123" i="16"/>
  <c r="B123" i="16"/>
  <c r="A123" i="16"/>
  <c r="H122" i="16"/>
  <c r="G122" i="16"/>
  <c r="F122" i="16"/>
  <c r="E122" i="16"/>
  <c r="D122" i="16"/>
  <c r="C122" i="16"/>
  <c r="B122" i="16"/>
  <c r="A122" i="16"/>
  <c r="H121" i="16"/>
  <c r="G121" i="16"/>
  <c r="F121" i="16"/>
  <c r="E121" i="16"/>
  <c r="D121" i="16"/>
  <c r="C121" i="16"/>
  <c r="B121" i="16"/>
  <c r="A121" i="16"/>
  <c r="H120" i="16"/>
  <c r="G120" i="16"/>
  <c r="F120" i="16"/>
  <c r="E120" i="16"/>
  <c r="D120" i="16"/>
  <c r="C120" i="16"/>
  <c r="B120" i="16"/>
  <c r="A120" i="16"/>
  <c r="H119" i="16"/>
  <c r="G119" i="16"/>
  <c r="F119" i="16"/>
  <c r="E119" i="16"/>
  <c r="D119" i="16"/>
  <c r="C119" i="16"/>
  <c r="B119" i="16"/>
  <c r="A119" i="16"/>
  <c r="H118" i="16"/>
  <c r="G118" i="16"/>
  <c r="F118" i="16"/>
  <c r="E118" i="16"/>
  <c r="D118" i="16"/>
  <c r="C118" i="16"/>
  <c r="B118" i="16"/>
  <c r="A118" i="16"/>
  <c r="H117" i="16"/>
  <c r="G117" i="16"/>
  <c r="F117" i="16"/>
  <c r="E117" i="16"/>
  <c r="D117" i="16"/>
  <c r="C117" i="16"/>
  <c r="B117" i="16"/>
  <c r="A117" i="16"/>
  <c r="H116" i="16"/>
  <c r="G116" i="16"/>
  <c r="F116" i="16"/>
  <c r="E116" i="16"/>
  <c r="D116" i="16"/>
  <c r="C116" i="16"/>
  <c r="B116" i="16"/>
  <c r="A116" i="16"/>
  <c r="H115" i="16"/>
  <c r="G115" i="16"/>
  <c r="F115" i="16"/>
  <c r="E115" i="16"/>
  <c r="D115" i="16"/>
  <c r="C115" i="16"/>
  <c r="B115" i="16"/>
  <c r="A115" i="16"/>
  <c r="H114" i="16"/>
  <c r="G114" i="16"/>
  <c r="F114" i="16"/>
  <c r="E114" i="16"/>
  <c r="D114" i="16"/>
  <c r="C114" i="16"/>
  <c r="B114" i="16"/>
  <c r="A114" i="16"/>
  <c r="H113" i="16"/>
  <c r="G113" i="16"/>
  <c r="F113" i="16"/>
  <c r="E113" i="16"/>
  <c r="D113" i="16"/>
  <c r="C113" i="16"/>
  <c r="B113" i="16"/>
  <c r="A113" i="16"/>
  <c r="H112" i="16"/>
  <c r="G112" i="16"/>
  <c r="F112" i="16"/>
  <c r="E112" i="16"/>
  <c r="D112" i="16"/>
  <c r="C112" i="16"/>
  <c r="B112" i="16"/>
  <c r="A112" i="16"/>
  <c r="H111" i="16"/>
  <c r="G111" i="16"/>
  <c r="F111" i="16"/>
  <c r="E111" i="16"/>
  <c r="D111" i="16"/>
  <c r="C111" i="16"/>
  <c r="B111" i="16"/>
  <c r="A111" i="16"/>
  <c r="H110" i="16"/>
  <c r="G110" i="16"/>
  <c r="F110" i="16"/>
  <c r="E110" i="16"/>
  <c r="D110" i="16"/>
  <c r="C110" i="16"/>
  <c r="B110" i="16"/>
  <c r="A110" i="16"/>
  <c r="H109" i="16"/>
  <c r="G109" i="16"/>
  <c r="F109" i="16"/>
  <c r="E109" i="16"/>
  <c r="D109" i="16"/>
  <c r="C109" i="16"/>
  <c r="B109" i="16"/>
  <c r="A109" i="16"/>
  <c r="H108" i="16"/>
  <c r="G108" i="16"/>
  <c r="F108" i="16"/>
  <c r="E108" i="16"/>
  <c r="D108" i="16"/>
  <c r="C108" i="16"/>
  <c r="B108" i="16"/>
  <c r="A108" i="16"/>
  <c r="H107" i="16"/>
  <c r="G107" i="16"/>
  <c r="F107" i="16"/>
  <c r="E107" i="16"/>
  <c r="D107" i="16"/>
  <c r="C107" i="16"/>
  <c r="B107" i="16"/>
  <c r="A107" i="16"/>
  <c r="H106" i="16"/>
  <c r="G106" i="16"/>
  <c r="F106" i="16"/>
  <c r="E106" i="16"/>
  <c r="D106" i="16"/>
  <c r="C106" i="16"/>
  <c r="B106" i="16"/>
  <c r="A106" i="16"/>
  <c r="H105" i="16"/>
  <c r="G105" i="16"/>
  <c r="F105" i="16"/>
  <c r="E105" i="16"/>
  <c r="D105" i="16"/>
  <c r="C105" i="16"/>
  <c r="B105" i="16"/>
  <c r="A105" i="16"/>
  <c r="H104" i="16"/>
  <c r="G104" i="16"/>
  <c r="F104" i="16"/>
  <c r="E104" i="16"/>
  <c r="D104" i="16"/>
  <c r="C104" i="16"/>
  <c r="B104" i="16"/>
  <c r="A104" i="16"/>
  <c r="H103" i="16"/>
  <c r="G103" i="16"/>
  <c r="F103" i="16"/>
  <c r="E103" i="16"/>
  <c r="D103" i="16"/>
  <c r="C103" i="16"/>
  <c r="B103" i="16"/>
  <c r="A103" i="16"/>
  <c r="H102" i="16"/>
  <c r="G102" i="16"/>
  <c r="F102" i="16"/>
  <c r="E102" i="16"/>
  <c r="D102" i="16"/>
  <c r="C102" i="16"/>
  <c r="B102" i="16"/>
  <c r="A102" i="16"/>
  <c r="H101" i="16"/>
  <c r="G101" i="16"/>
  <c r="F101" i="16"/>
  <c r="E101" i="16"/>
  <c r="D101" i="16"/>
  <c r="C101" i="16"/>
  <c r="B101" i="16"/>
  <c r="A101" i="16"/>
  <c r="H100" i="16"/>
  <c r="G100" i="16"/>
  <c r="F100" i="16"/>
  <c r="E100" i="16"/>
  <c r="D100" i="16"/>
  <c r="C100" i="16"/>
  <c r="B100" i="16"/>
  <c r="A100" i="16"/>
  <c r="H99" i="16"/>
  <c r="G99" i="16"/>
  <c r="F99" i="16"/>
  <c r="E99" i="16"/>
  <c r="D99" i="16"/>
  <c r="C99" i="16"/>
  <c r="B99" i="16"/>
  <c r="A99" i="16"/>
  <c r="H98" i="16"/>
  <c r="G98" i="16"/>
  <c r="F98" i="16"/>
  <c r="E98" i="16"/>
  <c r="D98" i="16"/>
  <c r="C98" i="16"/>
  <c r="B98" i="16"/>
  <c r="A98" i="16"/>
  <c r="H97" i="16"/>
  <c r="G97" i="16"/>
  <c r="F97" i="16"/>
  <c r="E97" i="16"/>
  <c r="D97" i="16"/>
  <c r="C97" i="16"/>
  <c r="B97" i="16"/>
  <c r="A97" i="16"/>
  <c r="H96" i="16"/>
  <c r="G96" i="16"/>
  <c r="F96" i="16"/>
  <c r="E96" i="16"/>
  <c r="D96" i="16"/>
  <c r="C96" i="16"/>
  <c r="B96" i="16"/>
  <c r="A96" i="16"/>
  <c r="H95" i="16"/>
  <c r="G95" i="16"/>
  <c r="F95" i="16"/>
  <c r="E95" i="16"/>
  <c r="D95" i="16"/>
  <c r="C95" i="16"/>
  <c r="B95" i="16"/>
  <c r="A95" i="16"/>
  <c r="H94" i="16"/>
  <c r="G94" i="16"/>
  <c r="F94" i="16"/>
  <c r="E94" i="16"/>
  <c r="D94" i="16"/>
  <c r="C94" i="16"/>
  <c r="B94" i="16"/>
  <c r="A94" i="16"/>
  <c r="H93" i="16"/>
  <c r="G93" i="16"/>
  <c r="F93" i="16"/>
  <c r="E93" i="16"/>
  <c r="D93" i="16"/>
  <c r="C93" i="16"/>
  <c r="B93" i="16"/>
  <c r="A93" i="16"/>
  <c r="H92" i="16"/>
  <c r="G92" i="16"/>
  <c r="F92" i="16"/>
  <c r="E92" i="16"/>
  <c r="D92" i="16"/>
  <c r="C92" i="16"/>
  <c r="B92" i="16"/>
  <c r="A92" i="16"/>
  <c r="H91" i="16"/>
  <c r="G91" i="16"/>
  <c r="F91" i="16"/>
  <c r="E91" i="16"/>
  <c r="D91" i="16"/>
  <c r="C91" i="16"/>
  <c r="B91" i="16"/>
  <c r="A91" i="16"/>
  <c r="H90" i="16"/>
  <c r="G90" i="16"/>
  <c r="F90" i="16"/>
  <c r="E90" i="16"/>
  <c r="D90" i="16"/>
  <c r="C90" i="16"/>
  <c r="B90" i="16"/>
  <c r="A90" i="16"/>
  <c r="H89" i="16"/>
  <c r="G89" i="16"/>
  <c r="F89" i="16"/>
  <c r="E89" i="16"/>
  <c r="D89" i="16"/>
  <c r="C89" i="16"/>
  <c r="B89" i="16"/>
  <c r="A89" i="16"/>
  <c r="H88" i="16"/>
  <c r="G88" i="16"/>
  <c r="F88" i="16"/>
  <c r="E88" i="16"/>
  <c r="D88" i="16"/>
  <c r="C88" i="16"/>
  <c r="B88" i="16"/>
  <c r="A88" i="16"/>
  <c r="H87" i="16"/>
  <c r="G87" i="16"/>
  <c r="F87" i="16"/>
  <c r="E87" i="16"/>
  <c r="D87" i="16"/>
  <c r="C87" i="16"/>
  <c r="B87" i="16"/>
  <c r="A87" i="16"/>
  <c r="H86" i="16"/>
  <c r="G86" i="16"/>
  <c r="F86" i="16"/>
  <c r="E86" i="16"/>
  <c r="D86" i="16"/>
  <c r="C86" i="16"/>
  <c r="B86" i="16"/>
  <c r="A86" i="16"/>
  <c r="H85" i="16"/>
  <c r="G85" i="16"/>
  <c r="F85" i="16"/>
  <c r="E85" i="16"/>
  <c r="D85" i="16"/>
  <c r="C85" i="16"/>
  <c r="B85" i="16"/>
  <c r="A85" i="16"/>
  <c r="H84" i="16"/>
  <c r="G84" i="16"/>
  <c r="F84" i="16"/>
  <c r="E84" i="16"/>
  <c r="D84" i="16"/>
  <c r="C84" i="16"/>
  <c r="B84" i="16"/>
  <c r="A84" i="16"/>
  <c r="H83" i="16"/>
  <c r="G83" i="16"/>
  <c r="F83" i="16"/>
  <c r="E83" i="16"/>
  <c r="D83" i="16"/>
  <c r="C83" i="16"/>
  <c r="B83" i="16"/>
  <c r="A83" i="16"/>
  <c r="H82" i="16"/>
  <c r="G82" i="16"/>
  <c r="F82" i="16"/>
  <c r="E82" i="16"/>
  <c r="D82" i="16"/>
  <c r="C82" i="16"/>
  <c r="B82" i="16"/>
  <c r="A82" i="16"/>
  <c r="H81" i="16"/>
  <c r="G81" i="16"/>
  <c r="F81" i="16"/>
  <c r="E81" i="16"/>
  <c r="D81" i="16"/>
  <c r="C81" i="16"/>
  <c r="B81" i="16"/>
  <c r="A81" i="16"/>
  <c r="H80" i="16"/>
  <c r="G80" i="16"/>
  <c r="F80" i="16"/>
  <c r="E80" i="16"/>
  <c r="D80" i="16"/>
  <c r="C80" i="16"/>
  <c r="B80" i="16"/>
  <c r="A80" i="16"/>
  <c r="H79" i="16"/>
  <c r="G79" i="16"/>
  <c r="F79" i="16"/>
  <c r="E79" i="16"/>
  <c r="D79" i="16"/>
  <c r="C79" i="16"/>
  <c r="B79" i="16"/>
  <c r="A79" i="16"/>
  <c r="H78" i="16"/>
  <c r="G78" i="16"/>
  <c r="F78" i="16"/>
  <c r="E78" i="16"/>
  <c r="D78" i="16"/>
  <c r="C78" i="16"/>
  <c r="B78" i="16"/>
  <c r="A78" i="16"/>
  <c r="H77" i="16"/>
  <c r="G77" i="16"/>
  <c r="F77" i="16"/>
  <c r="E77" i="16"/>
  <c r="D77" i="16"/>
  <c r="C77" i="16"/>
  <c r="B77" i="16"/>
  <c r="A77" i="16"/>
  <c r="H76" i="16"/>
  <c r="G76" i="16"/>
  <c r="F76" i="16"/>
  <c r="E76" i="16"/>
  <c r="D76" i="16"/>
  <c r="C76" i="16"/>
  <c r="B76" i="16"/>
  <c r="A76" i="16"/>
  <c r="H75" i="16"/>
  <c r="G75" i="16"/>
  <c r="F75" i="16"/>
  <c r="E75" i="16"/>
  <c r="D75" i="16"/>
  <c r="C75" i="16"/>
  <c r="B75" i="16"/>
  <c r="A75" i="16"/>
  <c r="H74" i="16"/>
  <c r="G74" i="16"/>
  <c r="F74" i="16"/>
  <c r="E74" i="16"/>
  <c r="D74" i="16"/>
  <c r="C74" i="16"/>
  <c r="B74" i="16"/>
  <c r="A74" i="16"/>
  <c r="H73" i="16"/>
  <c r="G73" i="16"/>
  <c r="F73" i="16"/>
  <c r="E73" i="16"/>
  <c r="D73" i="16"/>
  <c r="C73" i="16"/>
  <c r="B73" i="16"/>
  <c r="A73" i="16"/>
  <c r="H72" i="16"/>
  <c r="G72" i="16"/>
  <c r="F72" i="16"/>
  <c r="E72" i="16"/>
  <c r="D72" i="16"/>
  <c r="C72" i="16"/>
  <c r="B72" i="16"/>
  <c r="A72" i="16"/>
  <c r="H71" i="16"/>
  <c r="G71" i="16"/>
  <c r="F71" i="16"/>
  <c r="E71" i="16"/>
  <c r="D71" i="16"/>
  <c r="C71" i="16"/>
  <c r="B71" i="16"/>
  <c r="A71" i="16"/>
  <c r="H70" i="16"/>
  <c r="G70" i="16"/>
  <c r="F70" i="16"/>
  <c r="E70" i="16"/>
  <c r="D70" i="16"/>
  <c r="C70" i="16"/>
  <c r="B70" i="16"/>
  <c r="A70" i="16"/>
  <c r="H69" i="16"/>
  <c r="G69" i="16"/>
  <c r="F69" i="16"/>
  <c r="E69" i="16"/>
  <c r="D69" i="16"/>
  <c r="C69" i="16"/>
  <c r="B69" i="16"/>
  <c r="A69" i="16"/>
  <c r="H68" i="16"/>
  <c r="G68" i="16"/>
  <c r="F68" i="16"/>
  <c r="E68" i="16"/>
  <c r="D68" i="16"/>
  <c r="C68" i="16"/>
  <c r="B68" i="16"/>
  <c r="A68" i="16"/>
  <c r="H67" i="16"/>
  <c r="G67" i="16"/>
  <c r="F67" i="16"/>
  <c r="E67" i="16"/>
  <c r="D67" i="16"/>
  <c r="C67" i="16"/>
  <c r="B67" i="16"/>
  <c r="A67" i="16"/>
  <c r="H66" i="16"/>
  <c r="G66" i="16"/>
  <c r="F66" i="16"/>
  <c r="E66" i="16"/>
  <c r="D66" i="16"/>
  <c r="C66" i="16"/>
  <c r="B66" i="16"/>
  <c r="A66" i="16"/>
  <c r="H65" i="16"/>
  <c r="G65" i="16"/>
  <c r="F65" i="16"/>
  <c r="E65" i="16"/>
  <c r="D65" i="16"/>
  <c r="C65" i="16"/>
  <c r="B65" i="16"/>
  <c r="A65" i="16"/>
  <c r="H64" i="16"/>
  <c r="G64" i="16"/>
  <c r="F64" i="16"/>
  <c r="E64" i="16"/>
  <c r="D64" i="16"/>
  <c r="C64" i="16"/>
  <c r="B64" i="16"/>
  <c r="A64" i="16"/>
  <c r="H63" i="16"/>
  <c r="G63" i="16"/>
  <c r="F63" i="16"/>
  <c r="E63" i="16"/>
  <c r="D63" i="16"/>
  <c r="C63" i="16"/>
  <c r="B63" i="16"/>
  <c r="A63" i="16"/>
  <c r="H62" i="16"/>
  <c r="G62" i="16"/>
  <c r="F62" i="16"/>
  <c r="E62" i="16"/>
  <c r="D62" i="16"/>
  <c r="C62" i="16"/>
  <c r="B62" i="16"/>
  <c r="A62" i="16"/>
  <c r="H61" i="16"/>
  <c r="G61" i="16"/>
  <c r="F61" i="16"/>
  <c r="E61" i="16"/>
  <c r="D61" i="16"/>
  <c r="C61" i="16"/>
  <c r="B61" i="16"/>
  <c r="A61" i="16"/>
  <c r="H60" i="16"/>
  <c r="G60" i="16"/>
  <c r="F60" i="16"/>
  <c r="E60" i="16"/>
  <c r="D60" i="16"/>
  <c r="C60" i="16"/>
  <c r="B60" i="16"/>
  <c r="A60" i="16"/>
  <c r="H59" i="16"/>
  <c r="G59" i="16"/>
  <c r="F59" i="16"/>
  <c r="E59" i="16"/>
  <c r="D59" i="16"/>
  <c r="C59" i="16"/>
  <c r="B59" i="16"/>
  <c r="A59" i="16"/>
  <c r="H58" i="16"/>
  <c r="G58" i="16"/>
  <c r="F58" i="16"/>
  <c r="E58" i="16"/>
  <c r="D58" i="16"/>
  <c r="C58" i="16"/>
  <c r="B58" i="16"/>
  <c r="A58" i="16"/>
  <c r="H57" i="16"/>
  <c r="G57" i="16"/>
  <c r="F57" i="16"/>
  <c r="E57" i="16"/>
  <c r="D57" i="16"/>
  <c r="C57" i="16"/>
  <c r="B57" i="16"/>
  <c r="A57" i="16"/>
  <c r="H56" i="16"/>
  <c r="G56" i="16"/>
  <c r="F56" i="16"/>
  <c r="E56" i="16"/>
  <c r="D56" i="16"/>
  <c r="C56" i="16"/>
  <c r="B56" i="16"/>
  <c r="A56" i="16"/>
  <c r="H55" i="16"/>
  <c r="G55" i="16"/>
  <c r="F55" i="16"/>
  <c r="E55" i="16"/>
  <c r="D55" i="16"/>
  <c r="C55" i="16"/>
  <c r="B55" i="16"/>
  <c r="A55" i="16"/>
  <c r="H54" i="16"/>
  <c r="G54" i="16"/>
  <c r="F54" i="16"/>
  <c r="E54" i="16"/>
  <c r="D54" i="16"/>
  <c r="C54" i="16"/>
  <c r="B54" i="16"/>
  <c r="A54" i="16"/>
  <c r="H53" i="16"/>
  <c r="G53" i="16"/>
  <c r="F53" i="16"/>
  <c r="E53" i="16"/>
  <c r="D53" i="16"/>
  <c r="C53" i="16"/>
  <c r="B53" i="16"/>
  <c r="A53" i="16"/>
  <c r="H52" i="16"/>
  <c r="G52" i="16"/>
  <c r="F52" i="16"/>
  <c r="E52" i="16"/>
  <c r="D52" i="16"/>
  <c r="C52" i="16"/>
  <c r="B52" i="16"/>
  <c r="A52" i="16"/>
  <c r="H51" i="16"/>
  <c r="G51" i="16"/>
  <c r="F51" i="16"/>
  <c r="E51" i="16"/>
  <c r="D51" i="16"/>
  <c r="C51" i="16"/>
  <c r="B51" i="16"/>
  <c r="A51" i="16"/>
  <c r="H50" i="16"/>
  <c r="G50" i="16"/>
  <c r="F50" i="16"/>
  <c r="E50" i="16"/>
  <c r="D50" i="16"/>
  <c r="C50" i="16"/>
  <c r="B50" i="16"/>
  <c r="A50" i="16"/>
  <c r="H49" i="16"/>
  <c r="G49" i="16"/>
  <c r="F49" i="16"/>
  <c r="E49" i="16"/>
  <c r="D49" i="16"/>
  <c r="C49" i="16"/>
  <c r="B49" i="16"/>
  <c r="A49" i="16"/>
  <c r="H48" i="16"/>
  <c r="G48" i="16"/>
  <c r="F48" i="16"/>
  <c r="E48" i="16"/>
  <c r="D48" i="16"/>
  <c r="C48" i="16"/>
  <c r="B48" i="16"/>
  <c r="A48" i="16"/>
  <c r="H47" i="16"/>
  <c r="G47" i="16"/>
  <c r="F47" i="16"/>
  <c r="E47" i="16"/>
  <c r="D47" i="16"/>
  <c r="C47" i="16"/>
  <c r="B47" i="16"/>
  <c r="A47" i="16"/>
  <c r="H46" i="16"/>
  <c r="G46" i="16"/>
  <c r="F46" i="16"/>
  <c r="E46" i="16"/>
  <c r="D46" i="16"/>
  <c r="C46" i="16"/>
  <c r="B46" i="16"/>
  <c r="A46" i="16"/>
  <c r="H45" i="16"/>
  <c r="G45" i="16"/>
  <c r="F45" i="16"/>
  <c r="E45" i="16"/>
  <c r="D45" i="16"/>
  <c r="C45" i="16"/>
  <c r="B45" i="16"/>
  <c r="A45" i="16"/>
  <c r="H44" i="16"/>
  <c r="G44" i="16"/>
  <c r="F44" i="16"/>
  <c r="E44" i="16"/>
  <c r="D44" i="16"/>
  <c r="C44" i="16"/>
  <c r="B44" i="16"/>
  <c r="A44" i="16"/>
  <c r="H43" i="16"/>
  <c r="G43" i="16"/>
  <c r="F43" i="16"/>
  <c r="E43" i="16"/>
  <c r="D43" i="16"/>
  <c r="C43" i="16"/>
  <c r="B43" i="16"/>
  <c r="A43" i="16"/>
  <c r="H42" i="16"/>
  <c r="G42" i="16"/>
  <c r="F42" i="16"/>
  <c r="E42" i="16"/>
  <c r="D42" i="16"/>
  <c r="C42" i="16"/>
  <c r="B42" i="16"/>
  <c r="A42" i="16"/>
  <c r="H41" i="16"/>
  <c r="G41" i="16"/>
  <c r="F41" i="16"/>
  <c r="E41" i="16"/>
  <c r="D41" i="16"/>
  <c r="C41" i="16"/>
  <c r="B41" i="16"/>
  <c r="A41" i="16"/>
  <c r="H40" i="16"/>
  <c r="G40" i="16"/>
  <c r="F40" i="16"/>
  <c r="E40" i="16"/>
  <c r="D40" i="16"/>
  <c r="C40" i="16"/>
  <c r="B40" i="16"/>
  <c r="A40" i="16"/>
  <c r="H39" i="16"/>
  <c r="G39" i="16"/>
  <c r="F39" i="16"/>
  <c r="E39" i="16"/>
  <c r="D39" i="16"/>
  <c r="C39" i="16"/>
  <c r="B39" i="16"/>
  <c r="A39" i="16"/>
  <c r="H38" i="16"/>
  <c r="G38" i="16"/>
  <c r="F38" i="16"/>
  <c r="E38" i="16"/>
  <c r="D38" i="16"/>
  <c r="C38" i="16"/>
  <c r="B38" i="16"/>
  <c r="A38" i="16"/>
  <c r="H37" i="16"/>
  <c r="G37" i="16"/>
  <c r="F37" i="16"/>
  <c r="E37" i="16"/>
  <c r="D37" i="16"/>
  <c r="C37" i="16"/>
  <c r="B37" i="16"/>
  <c r="A37" i="16"/>
  <c r="H36" i="16"/>
  <c r="G36" i="16"/>
  <c r="F36" i="16"/>
  <c r="E36" i="16"/>
  <c r="D36" i="16"/>
  <c r="C36" i="16"/>
  <c r="B36" i="16"/>
  <c r="A36" i="16"/>
  <c r="H35" i="16"/>
  <c r="G35" i="16"/>
  <c r="F35" i="16"/>
  <c r="E35" i="16"/>
  <c r="D35" i="16"/>
  <c r="C35" i="16"/>
  <c r="B35" i="16"/>
  <c r="A35" i="16"/>
  <c r="H34" i="16"/>
  <c r="G34" i="16"/>
  <c r="F34" i="16"/>
  <c r="E34" i="16"/>
  <c r="D34" i="16"/>
  <c r="C34" i="16"/>
  <c r="B34" i="16"/>
  <c r="A34" i="16"/>
  <c r="H33" i="16"/>
  <c r="G33" i="16"/>
  <c r="F33" i="16"/>
  <c r="E33" i="16"/>
  <c r="D33" i="16"/>
  <c r="C33" i="16"/>
  <c r="B33" i="16"/>
  <c r="A33" i="16"/>
  <c r="H32" i="16"/>
  <c r="G32" i="16"/>
  <c r="F32" i="16"/>
  <c r="E32" i="16"/>
  <c r="D32" i="16"/>
  <c r="C32" i="16"/>
  <c r="B32" i="16"/>
  <c r="A32" i="16"/>
  <c r="H31" i="16"/>
  <c r="G31" i="16"/>
  <c r="F31" i="16"/>
  <c r="E31" i="16"/>
  <c r="D31" i="16"/>
  <c r="C31" i="16"/>
  <c r="B31" i="16"/>
  <c r="A31" i="16"/>
  <c r="H30" i="16"/>
  <c r="G30" i="16"/>
  <c r="F30" i="16"/>
  <c r="E30" i="16"/>
  <c r="D30" i="16"/>
  <c r="C30" i="16"/>
  <c r="B30" i="16"/>
  <c r="A30" i="16"/>
  <c r="H29" i="16"/>
  <c r="G29" i="16"/>
  <c r="F29" i="16"/>
  <c r="E29" i="16"/>
  <c r="D29" i="16"/>
  <c r="C29" i="16"/>
  <c r="B29" i="16"/>
  <c r="A29" i="16"/>
  <c r="H28" i="16"/>
  <c r="G28" i="16"/>
  <c r="F28" i="16"/>
  <c r="E28" i="16"/>
  <c r="D28" i="16"/>
  <c r="C28" i="16"/>
  <c r="B28" i="16"/>
  <c r="A28" i="16"/>
  <c r="H27" i="16"/>
  <c r="G27" i="16"/>
  <c r="F27" i="16"/>
  <c r="E27" i="16"/>
  <c r="D27" i="16"/>
  <c r="C27" i="16"/>
  <c r="B27" i="16"/>
  <c r="A27" i="16"/>
  <c r="H26" i="16"/>
  <c r="G26" i="16"/>
  <c r="F26" i="16"/>
  <c r="E26" i="16"/>
  <c r="D26" i="16"/>
  <c r="C26" i="16"/>
  <c r="B26" i="16"/>
  <c r="A26" i="16"/>
  <c r="H25" i="16"/>
  <c r="G25" i="16"/>
  <c r="F25" i="16"/>
  <c r="E25" i="16"/>
  <c r="D25" i="16"/>
  <c r="C25" i="16"/>
  <c r="B25" i="16"/>
  <c r="A25" i="16"/>
  <c r="H24" i="16"/>
  <c r="G24" i="16"/>
  <c r="F24" i="16"/>
  <c r="E24" i="16"/>
  <c r="D24" i="16"/>
  <c r="C24" i="16"/>
  <c r="B24" i="16"/>
  <c r="A24" i="16"/>
  <c r="H23" i="16"/>
  <c r="G23" i="16"/>
  <c r="F23" i="16"/>
  <c r="E23" i="16"/>
  <c r="D23" i="16"/>
  <c r="C23" i="16"/>
  <c r="B23" i="16"/>
  <c r="A23" i="16"/>
  <c r="H22" i="16"/>
  <c r="G22" i="16"/>
  <c r="F22" i="16"/>
  <c r="E22" i="16"/>
  <c r="D22" i="16"/>
  <c r="C22" i="16"/>
  <c r="B22" i="16"/>
  <c r="A22" i="16"/>
  <c r="H21" i="16"/>
  <c r="G21" i="16"/>
  <c r="F21" i="16"/>
  <c r="E21" i="16"/>
  <c r="D21" i="16"/>
  <c r="C21" i="16"/>
  <c r="B21" i="16"/>
  <c r="A21" i="16"/>
  <c r="H20" i="16"/>
  <c r="G20" i="16"/>
  <c r="F20" i="16"/>
  <c r="E20" i="16"/>
  <c r="D20" i="16"/>
  <c r="C20" i="16"/>
  <c r="B20" i="16"/>
  <c r="A20" i="16"/>
  <c r="H19" i="16"/>
  <c r="G19" i="16"/>
  <c r="F19" i="16"/>
  <c r="E19" i="16"/>
  <c r="D19" i="16"/>
  <c r="C19" i="16"/>
  <c r="B19" i="16"/>
  <c r="A19" i="16"/>
  <c r="H18" i="16"/>
  <c r="G18" i="16"/>
  <c r="F18" i="16"/>
  <c r="E18" i="16"/>
  <c r="D18" i="16"/>
  <c r="C18" i="16"/>
  <c r="B18" i="16"/>
  <c r="A18" i="16"/>
  <c r="H17" i="16"/>
  <c r="G17" i="16"/>
  <c r="F17" i="16"/>
  <c r="E17" i="16"/>
  <c r="D17" i="16"/>
  <c r="C17" i="16"/>
  <c r="B17" i="16"/>
  <c r="A17" i="16"/>
  <c r="H16" i="16"/>
  <c r="G16" i="16"/>
  <c r="F16" i="16"/>
  <c r="E16" i="16"/>
  <c r="D16" i="16"/>
  <c r="C16" i="16"/>
  <c r="B16" i="16"/>
  <c r="A16" i="16"/>
  <c r="H15" i="16"/>
  <c r="G15" i="16"/>
  <c r="F15" i="16"/>
  <c r="E15" i="16"/>
  <c r="D15" i="16"/>
  <c r="C15" i="16"/>
  <c r="B15" i="16"/>
  <c r="A15" i="16"/>
  <c r="H14" i="16"/>
  <c r="G14" i="16"/>
  <c r="F14" i="16"/>
  <c r="E14" i="16"/>
  <c r="D14" i="16"/>
  <c r="C14" i="16"/>
  <c r="B14" i="16"/>
  <c r="A14" i="16"/>
  <c r="H13" i="16"/>
  <c r="G13" i="16"/>
  <c r="F13" i="16"/>
  <c r="E13" i="16"/>
  <c r="D13" i="16"/>
  <c r="C13" i="16"/>
  <c r="B13" i="16"/>
  <c r="A13" i="16"/>
  <c r="H12" i="16"/>
  <c r="G12" i="16"/>
  <c r="F12" i="16"/>
  <c r="E12" i="16"/>
  <c r="D12" i="16"/>
  <c r="C12" i="16"/>
  <c r="B12" i="16"/>
  <c r="A12" i="16"/>
  <c r="H11" i="16"/>
  <c r="G11" i="16"/>
  <c r="F11" i="16"/>
  <c r="E11" i="16"/>
  <c r="D11" i="16"/>
  <c r="C11" i="16"/>
  <c r="B11" i="16"/>
  <c r="A11" i="16"/>
  <c r="H10" i="16"/>
  <c r="G10" i="16"/>
  <c r="F10" i="16"/>
  <c r="E10" i="16"/>
  <c r="D10" i="16"/>
  <c r="C10" i="16"/>
  <c r="B10" i="16"/>
  <c r="A10" i="16"/>
  <c r="H9" i="16"/>
  <c r="G9" i="16"/>
  <c r="F9" i="16"/>
  <c r="E9" i="16"/>
  <c r="D9" i="16"/>
  <c r="C9" i="16"/>
  <c r="B9" i="16"/>
  <c r="A9" i="16"/>
  <c r="H8" i="16"/>
  <c r="G8" i="16"/>
  <c r="F8" i="16"/>
  <c r="E8" i="16"/>
  <c r="D8" i="16"/>
  <c r="C8" i="16"/>
  <c r="B8" i="16"/>
  <c r="A8" i="16"/>
  <c r="H7" i="16"/>
  <c r="G7" i="16"/>
  <c r="F7" i="16"/>
  <c r="D7" i="16"/>
  <c r="C7" i="16"/>
  <c r="B7" i="16"/>
  <c r="A7" i="16"/>
  <c r="H6" i="16"/>
  <c r="G6" i="16"/>
  <c r="F6" i="16"/>
  <c r="E6" i="16"/>
  <c r="D6" i="16"/>
  <c r="C6" i="16"/>
  <c r="B6" i="16"/>
  <c r="A6" i="16"/>
  <c r="H5" i="16"/>
  <c r="G5" i="16"/>
  <c r="F5" i="16"/>
  <c r="E5" i="16"/>
  <c r="D5" i="16"/>
  <c r="C5" i="16"/>
  <c r="B5" i="16"/>
  <c r="A5" i="16"/>
  <c r="H4" i="16"/>
  <c r="G4" i="16"/>
  <c r="F4" i="16"/>
  <c r="E4" i="16"/>
  <c r="D4" i="16"/>
  <c r="C4" i="16"/>
  <c r="B4" i="16"/>
  <c r="A4" i="16"/>
  <c r="H3" i="16"/>
  <c r="G3" i="16"/>
  <c r="F3" i="16"/>
  <c r="E3" i="16"/>
  <c r="D3" i="16"/>
  <c r="C3" i="16"/>
  <c r="B3" i="16"/>
  <c r="A3" i="16"/>
  <c r="H2" i="16"/>
  <c r="G2" i="16"/>
  <c r="F2" i="16"/>
  <c r="E2" i="16"/>
  <c r="D2" i="16"/>
  <c r="C2" i="16"/>
  <c r="B2" i="16"/>
  <c r="A2" i="16"/>
  <c r="N82" i="15"/>
  <c r="M82" i="15"/>
  <c r="L82" i="15"/>
  <c r="K82" i="15"/>
  <c r="J82" i="15"/>
  <c r="H82" i="15"/>
  <c r="N81" i="15"/>
  <c r="M81" i="15"/>
  <c r="L81" i="15"/>
  <c r="K81" i="15"/>
  <c r="J81" i="15"/>
  <c r="H81" i="15"/>
  <c r="N80" i="15"/>
  <c r="M80" i="15"/>
  <c r="L80" i="15"/>
  <c r="K80" i="15"/>
  <c r="J80" i="15"/>
  <c r="H80" i="15"/>
  <c r="N79" i="15"/>
  <c r="M79" i="15"/>
  <c r="L79" i="15"/>
  <c r="K79" i="15"/>
  <c r="J79" i="15"/>
  <c r="H79" i="15"/>
  <c r="N78" i="15"/>
  <c r="M78" i="15"/>
  <c r="L78" i="15"/>
  <c r="K78" i="15"/>
  <c r="J78" i="15"/>
  <c r="H78" i="15"/>
  <c r="N77" i="15"/>
  <c r="M77" i="15"/>
  <c r="L77" i="15"/>
  <c r="K77" i="15"/>
  <c r="J77" i="15"/>
  <c r="H77" i="15"/>
  <c r="N76" i="15"/>
  <c r="M76" i="15"/>
  <c r="L76" i="15"/>
  <c r="K76" i="15"/>
  <c r="J76" i="15"/>
  <c r="H76" i="15"/>
  <c r="N75" i="15"/>
  <c r="M75" i="15"/>
  <c r="L75" i="15"/>
  <c r="K75" i="15"/>
  <c r="J75" i="15"/>
  <c r="H75" i="15"/>
  <c r="N74" i="15"/>
  <c r="M74" i="15"/>
  <c r="L74" i="15"/>
  <c r="K74" i="15"/>
  <c r="J74" i="15"/>
  <c r="H74" i="15"/>
  <c r="N73" i="15"/>
  <c r="M73" i="15"/>
  <c r="L73" i="15"/>
  <c r="K73" i="15"/>
  <c r="J73" i="15"/>
  <c r="H73" i="15"/>
  <c r="N72" i="15"/>
  <c r="M72" i="15"/>
  <c r="L72" i="15"/>
  <c r="K72" i="15"/>
  <c r="J72" i="15"/>
  <c r="H72" i="15"/>
  <c r="N71" i="15"/>
  <c r="M71" i="15"/>
  <c r="L71" i="15"/>
  <c r="K71" i="15"/>
  <c r="J71" i="15"/>
  <c r="H71" i="15"/>
  <c r="N70" i="15"/>
  <c r="M70" i="15"/>
  <c r="L70" i="15"/>
  <c r="K70" i="15"/>
  <c r="J70" i="15"/>
  <c r="H70" i="15"/>
  <c r="N69" i="15"/>
  <c r="M69" i="15"/>
  <c r="L69" i="15"/>
  <c r="K69" i="15"/>
  <c r="J69" i="15"/>
  <c r="H69" i="15"/>
  <c r="N68" i="15"/>
  <c r="M68" i="15"/>
  <c r="L68" i="15"/>
  <c r="K68" i="15"/>
  <c r="J68" i="15"/>
  <c r="H68" i="15"/>
  <c r="N67" i="15"/>
  <c r="M67" i="15"/>
  <c r="L67" i="15"/>
  <c r="K67" i="15"/>
  <c r="J67" i="15"/>
  <c r="H67" i="15"/>
  <c r="N66" i="15"/>
  <c r="M66" i="15"/>
  <c r="L66" i="15"/>
  <c r="K66" i="15"/>
  <c r="J66" i="15"/>
  <c r="H66" i="15"/>
  <c r="N65" i="15"/>
  <c r="M65" i="15"/>
  <c r="L65" i="15"/>
  <c r="K65" i="15"/>
  <c r="J65" i="15"/>
  <c r="H65" i="15"/>
  <c r="N64" i="15"/>
  <c r="M64" i="15"/>
  <c r="L64" i="15"/>
  <c r="K64" i="15"/>
  <c r="J64" i="15"/>
  <c r="H64" i="15"/>
  <c r="N63" i="15"/>
  <c r="M63" i="15"/>
  <c r="L63" i="15"/>
  <c r="K63" i="15"/>
  <c r="J63" i="15"/>
  <c r="H63" i="15"/>
  <c r="N62" i="15"/>
  <c r="M62" i="15"/>
  <c r="L62" i="15"/>
  <c r="K62" i="15"/>
  <c r="J62" i="15"/>
  <c r="H62" i="15"/>
  <c r="N61" i="15"/>
  <c r="M61" i="15"/>
  <c r="L61" i="15"/>
  <c r="K61" i="15"/>
  <c r="J61" i="15"/>
  <c r="H61" i="15"/>
  <c r="N60" i="15"/>
  <c r="M60" i="15"/>
  <c r="L60" i="15"/>
  <c r="K60" i="15"/>
  <c r="J60" i="15"/>
  <c r="H60" i="15"/>
  <c r="N59" i="15"/>
  <c r="M59" i="15"/>
  <c r="L59" i="15"/>
  <c r="K59" i="15"/>
  <c r="J59" i="15"/>
  <c r="H59" i="15"/>
  <c r="N58" i="15"/>
  <c r="M58" i="15"/>
  <c r="L58" i="15"/>
  <c r="K58" i="15"/>
  <c r="J58" i="15"/>
  <c r="H58" i="15"/>
  <c r="N57" i="15"/>
  <c r="M57" i="15"/>
  <c r="L57" i="15"/>
  <c r="K57" i="15"/>
  <c r="J57" i="15"/>
  <c r="H57" i="15"/>
  <c r="N56" i="15"/>
  <c r="M56" i="15"/>
  <c r="L56" i="15"/>
  <c r="K56" i="15"/>
  <c r="J56" i="15"/>
  <c r="H56" i="15"/>
  <c r="N55" i="15"/>
  <c r="M55" i="15"/>
  <c r="L55" i="15"/>
  <c r="K55" i="15"/>
  <c r="J55" i="15"/>
  <c r="H55" i="15"/>
  <c r="N54" i="15"/>
  <c r="M54" i="15"/>
  <c r="L54" i="15"/>
  <c r="K54" i="15"/>
  <c r="J54" i="15"/>
  <c r="H54" i="15"/>
  <c r="N53" i="15"/>
  <c r="M53" i="15"/>
  <c r="L53" i="15"/>
  <c r="K53" i="15"/>
  <c r="J53" i="15"/>
  <c r="H53" i="15"/>
  <c r="N52" i="15"/>
  <c r="M52" i="15"/>
  <c r="L52" i="15"/>
  <c r="K52" i="15"/>
  <c r="J52" i="15"/>
  <c r="H52" i="15"/>
  <c r="N51" i="15"/>
  <c r="M51" i="15"/>
  <c r="L51" i="15"/>
  <c r="K51" i="15"/>
  <c r="J51" i="15"/>
  <c r="H51" i="15"/>
  <c r="N50" i="15"/>
  <c r="M50" i="15"/>
  <c r="L50" i="15"/>
  <c r="K50" i="15"/>
  <c r="J50" i="15"/>
  <c r="H50" i="15"/>
  <c r="N49" i="15"/>
  <c r="M49" i="15"/>
  <c r="L49" i="15"/>
  <c r="K49" i="15"/>
  <c r="J49" i="15"/>
  <c r="H49" i="15"/>
  <c r="N48" i="15"/>
  <c r="M48" i="15"/>
  <c r="L48" i="15"/>
  <c r="K48" i="15"/>
  <c r="J48" i="15"/>
  <c r="H48" i="15"/>
  <c r="N47" i="15"/>
  <c r="M47" i="15"/>
  <c r="L47" i="15"/>
  <c r="K47" i="15"/>
  <c r="J47" i="15"/>
  <c r="H47" i="15"/>
  <c r="N46" i="15"/>
  <c r="M46" i="15"/>
  <c r="L46" i="15"/>
  <c r="K46" i="15"/>
  <c r="J46" i="15"/>
  <c r="H46" i="15"/>
  <c r="N45" i="15"/>
  <c r="M45" i="15"/>
  <c r="L45" i="15"/>
  <c r="K45" i="15"/>
  <c r="J45" i="15"/>
  <c r="H45" i="15"/>
  <c r="N44" i="15"/>
  <c r="M44" i="15"/>
  <c r="L44" i="15"/>
  <c r="K44" i="15"/>
  <c r="J44" i="15"/>
  <c r="H44" i="15"/>
  <c r="N43" i="15"/>
  <c r="M43" i="15"/>
  <c r="L43" i="15"/>
  <c r="K43" i="15"/>
  <c r="J43" i="15"/>
  <c r="H43" i="15"/>
  <c r="N42" i="15"/>
  <c r="M42" i="15"/>
  <c r="L42" i="15"/>
  <c r="K42" i="15"/>
  <c r="J42" i="15"/>
  <c r="H42" i="15"/>
  <c r="N41" i="15"/>
  <c r="M41" i="15"/>
  <c r="L41" i="15"/>
  <c r="K41" i="15"/>
  <c r="J41" i="15"/>
  <c r="H41" i="15"/>
  <c r="N40" i="15"/>
  <c r="M40" i="15"/>
  <c r="L40" i="15"/>
  <c r="K40" i="15"/>
  <c r="J40" i="15"/>
  <c r="H40" i="15"/>
  <c r="N39" i="15"/>
  <c r="M39" i="15"/>
  <c r="L39" i="15"/>
  <c r="K39" i="15"/>
  <c r="J39" i="15"/>
  <c r="H39" i="15"/>
  <c r="N38" i="15"/>
  <c r="M38" i="15"/>
  <c r="L38" i="15"/>
  <c r="K38" i="15"/>
  <c r="J38" i="15"/>
  <c r="H38" i="15"/>
  <c r="N37" i="15"/>
  <c r="M37" i="15"/>
  <c r="L37" i="15"/>
  <c r="K37" i="15"/>
  <c r="J37" i="15"/>
  <c r="H37" i="15"/>
  <c r="N36" i="15"/>
  <c r="M36" i="15"/>
  <c r="L36" i="15"/>
  <c r="K36" i="15"/>
  <c r="J36" i="15"/>
  <c r="H36" i="15"/>
  <c r="N35" i="15"/>
  <c r="M35" i="15"/>
  <c r="L35" i="15"/>
  <c r="K35" i="15"/>
  <c r="J35" i="15"/>
  <c r="H35" i="15"/>
  <c r="N34" i="15"/>
  <c r="M34" i="15"/>
  <c r="L34" i="15"/>
  <c r="K34" i="15"/>
  <c r="J34" i="15"/>
  <c r="H34" i="15"/>
  <c r="N33" i="15"/>
  <c r="M33" i="15"/>
  <c r="L33" i="15"/>
  <c r="K33" i="15"/>
  <c r="J33" i="15"/>
  <c r="H33" i="15"/>
  <c r="N32" i="15"/>
  <c r="M32" i="15"/>
  <c r="L32" i="15"/>
  <c r="K32" i="15"/>
  <c r="J32" i="15"/>
  <c r="H32" i="15"/>
  <c r="N31" i="15"/>
  <c r="M31" i="15"/>
  <c r="L31" i="15"/>
  <c r="K31" i="15"/>
  <c r="J31" i="15"/>
  <c r="H31" i="15"/>
  <c r="N30" i="15"/>
  <c r="M30" i="15"/>
  <c r="L30" i="15"/>
  <c r="K30" i="15"/>
  <c r="J30" i="15"/>
  <c r="H30" i="15"/>
  <c r="N29" i="15"/>
  <c r="M29" i="15"/>
  <c r="L29" i="15"/>
  <c r="K29" i="15"/>
  <c r="J29" i="15"/>
  <c r="H29" i="15"/>
  <c r="N28" i="15"/>
  <c r="M28" i="15"/>
  <c r="L28" i="15"/>
  <c r="K28" i="15"/>
  <c r="J28" i="15"/>
  <c r="H28" i="15"/>
  <c r="N27" i="15"/>
  <c r="M27" i="15"/>
  <c r="L27" i="15"/>
  <c r="K27" i="15"/>
  <c r="J27" i="15"/>
  <c r="H27" i="15"/>
  <c r="N26" i="15"/>
  <c r="M26" i="15"/>
  <c r="L26" i="15"/>
  <c r="K26" i="15"/>
  <c r="J26" i="15"/>
  <c r="H26" i="15"/>
  <c r="N25" i="15"/>
  <c r="M25" i="15"/>
  <c r="L25" i="15"/>
  <c r="K25" i="15"/>
  <c r="J25" i="15"/>
  <c r="H25" i="15"/>
  <c r="N24" i="15"/>
  <c r="M24" i="15"/>
  <c r="L24" i="15"/>
  <c r="K24" i="15"/>
  <c r="J24" i="15"/>
  <c r="H24" i="15"/>
  <c r="N23" i="15"/>
  <c r="M23" i="15"/>
  <c r="L23" i="15"/>
  <c r="K23" i="15"/>
  <c r="J23" i="15"/>
  <c r="H23" i="15"/>
  <c r="N22" i="15"/>
  <c r="M22" i="15"/>
  <c r="L22" i="15"/>
  <c r="K22" i="15"/>
  <c r="J22" i="15"/>
  <c r="H22" i="15"/>
  <c r="N21" i="15"/>
  <c r="M21" i="15"/>
  <c r="L21" i="15"/>
  <c r="K21" i="15"/>
  <c r="J21" i="15"/>
  <c r="H21" i="15"/>
  <c r="N20" i="15"/>
  <c r="M20" i="15"/>
  <c r="L20" i="15"/>
  <c r="K20" i="15"/>
  <c r="J20" i="15"/>
  <c r="H20" i="15"/>
  <c r="N19" i="15"/>
  <c r="M19" i="15"/>
  <c r="L19" i="15"/>
  <c r="K19" i="15"/>
  <c r="J19" i="15"/>
  <c r="H19" i="15"/>
  <c r="N18" i="15"/>
  <c r="M18" i="15"/>
  <c r="L18" i="15"/>
  <c r="K18" i="15"/>
  <c r="J18" i="15"/>
  <c r="H18" i="15"/>
  <c r="N17" i="15"/>
  <c r="M17" i="15"/>
  <c r="L17" i="15"/>
  <c r="K17" i="15"/>
  <c r="J17" i="15"/>
  <c r="H17" i="15"/>
  <c r="N16" i="15"/>
  <c r="M16" i="15"/>
  <c r="L16" i="15"/>
  <c r="K16" i="15"/>
  <c r="J16" i="15"/>
  <c r="H16" i="15"/>
  <c r="N15" i="15"/>
  <c r="M15" i="15"/>
  <c r="L15" i="15"/>
  <c r="K15" i="15"/>
  <c r="J15" i="15"/>
  <c r="H15" i="15"/>
  <c r="N14" i="15"/>
  <c r="M14" i="15"/>
  <c r="L14" i="15"/>
  <c r="K14" i="15"/>
  <c r="J14" i="15"/>
  <c r="H14" i="15"/>
  <c r="N13" i="15"/>
  <c r="M13" i="15"/>
  <c r="L13" i="15"/>
  <c r="K13" i="15"/>
  <c r="J13" i="15"/>
  <c r="H13" i="15"/>
  <c r="N12" i="15"/>
  <c r="M12" i="15"/>
  <c r="L12" i="15"/>
  <c r="K12" i="15"/>
  <c r="J12" i="15"/>
  <c r="H12" i="15"/>
  <c r="N11" i="15"/>
  <c r="M11" i="15"/>
  <c r="L11" i="15"/>
  <c r="K11" i="15"/>
  <c r="J11" i="15"/>
  <c r="H11" i="15"/>
  <c r="N10" i="15"/>
  <c r="M10" i="15"/>
  <c r="L10" i="15"/>
  <c r="K10" i="15"/>
  <c r="J10" i="15"/>
  <c r="H10" i="15"/>
  <c r="N9" i="15"/>
  <c r="M9" i="15"/>
  <c r="L9" i="15"/>
  <c r="K9" i="15"/>
  <c r="J9" i="15"/>
  <c r="H9" i="15"/>
  <c r="N8" i="15"/>
  <c r="M8" i="15"/>
  <c r="L8" i="15"/>
  <c r="K8" i="15"/>
  <c r="J8" i="15"/>
  <c r="H8" i="15"/>
  <c r="N7" i="15"/>
  <c r="M7" i="15"/>
  <c r="L7" i="15"/>
  <c r="K7" i="15"/>
  <c r="J7" i="15"/>
  <c r="H7" i="15"/>
  <c r="N6" i="15"/>
  <c r="M6" i="15"/>
  <c r="L6" i="15"/>
  <c r="K6" i="15"/>
  <c r="J6" i="15"/>
  <c r="H6" i="15"/>
  <c r="N5" i="15"/>
  <c r="M5" i="15"/>
  <c r="L5" i="15"/>
  <c r="K5" i="15"/>
  <c r="J5" i="15"/>
  <c r="H5" i="15"/>
  <c r="N4" i="15"/>
  <c r="M4" i="15"/>
  <c r="L4" i="15"/>
  <c r="K4" i="15"/>
  <c r="J4" i="15"/>
  <c r="H4" i="15"/>
  <c r="N3" i="15"/>
  <c r="M3" i="15"/>
  <c r="L3" i="15"/>
  <c r="K3" i="15"/>
  <c r="J3" i="15"/>
  <c r="H3" i="15"/>
  <c r="H83" i="15" s="1"/>
  <c r="N82" i="14"/>
  <c r="M82" i="14"/>
  <c r="L82" i="14"/>
  <c r="K82" i="14"/>
  <c r="J82" i="14"/>
  <c r="H82" i="14"/>
  <c r="N81" i="14"/>
  <c r="M81" i="14"/>
  <c r="L81" i="14"/>
  <c r="K81" i="14"/>
  <c r="J81" i="14"/>
  <c r="H81" i="14"/>
  <c r="N80" i="14"/>
  <c r="M80" i="14"/>
  <c r="L80" i="14"/>
  <c r="K80" i="14"/>
  <c r="J80" i="14"/>
  <c r="H80" i="14"/>
  <c r="N79" i="14"/>
  <c r="M79" i="14"/>
  <c r="L79" i="14"/>
  <c r="K79" i="14"/>
  <c r="J79" i="14"/>
  <c r="H79" i="14"/>
  <c r="N78" i="14"/>
  <c r="M78" i="14"/>
  <c r="L78" i="14"/>
  <c r="K78" i="14"/>
  <c r="J78" i="14"/>
  <c r="H78" i="14"/>
  <c r="N77" i="14"/>
  <c r="M77" i="14"/>
  <c r="L77" i="14"/>
  <c r="K77" i="14"/>
  <c r="J77" i="14"/>
  <c r="H77" i="14"/>
  <c r="N76" i="14"/>
  <c r="M76" i="14"/>
  <c r="L76" i="14"/>
  <c r="K76" i="14"/>
  <c r="J76" i="14"/>
  <c r="H76" i="14"/>
  <c r="N75" i="14"/>
  <c r="M75" i="14"/>
  <c r="L75" i="14"/>
  <c r="K75" i="14"/>
  <c r="J75" i="14"/>
  <c r="H75" i="14"/>
  <c r="N74" i="14"/>
  <c r="M74" i="14"/>
  <c r="L74" i="14"/>
  <c r="K74" i="14"/>
  <c r="J74" i="14"/>
  <c r="H74" i="14"/>
  <c r="N73" i="14"/>
  <c r="M73" i="14"/>
  <c r="L73" i="14"/>
  <c r="K73" i="14"/>
  <c r="J73" i="14"/>
  <c r="H73" i="14"/>
  <c r="N72" i="14"/>
  <c r="M72" i="14"/>
  <c r="L72" i="14"/>
  <c r="K72" i="14"/>
  <c r="J72" i="14"/>
  <c r="H72" i="14"/>
  <c r="N71" i="14"/>
  <c r="M71" i="14"/>
  <c r="L71" i="14"/>
  <c r="K71" i="14"/>
  <c r="J71" i="14"/>
  <c r="H71" i="14"/>
  <c r="N70" i="14"/>
  <c r="M70" i="14"/>
  <c r="L70" i="14"/>
  <c r="K70" i="14"/>
  <c r="J70" i="14"/>
  <c r="H70" i="14"/>
  <c r="N69" i="14"/>
  <c r="M69" i="14"/>
  <c r="L69" i="14"/>
  <c r="K69" i="14"/>
  <c r="J69" i="14"/>
  <c r="H69" i="14"/>
  <c r="N68" i="14"/>
  <c r="M68" i="14"/>
  <c r="L68" i="14"/>
  <c r="K68" i="14"/>
  <c r="J68" i="14"/>
  <c r="H68" i="14"/>
  <c r="N67" i="14"/>
  <c r="M67" i="14"/>
  <c r="L67" i="14"/>
  <c r="K67" i="14"/>
  <c r="J67" i="14"/>
  <c r="H67" i="14"/>
  <c r="N66" i="14"/>
  <c r="M66" i="14"/>
  <c r="L66" i="14"/>
  <c r="K66" i="14"/>
  <c r="J66" i="14"/>
  <c r="H66" i="14"/>
  <c r="N65" i="14"/>
  <c r="M65" i="14"/>
  <c r="L65" i="14"/>
  <c r="K65" i="14"/>
  <c r="J65" i="14"/>
  <c r="H65" i="14"/>
  <c r="N64" i="14"/>
  <c r="M64" i="14"/>
  <c r="L64" i="14"/>
  <c r="K64" i="14"/>
  <c r="J64" i="14"/>
  <c r="H64" i="14"/>
  <c r="N63" i="14"/>
  <c r="M63" i="14"/>
  <c r="L63" i="14"/>
  <c r="K63" i="14"/>
  <c r="J63" i="14"/>
  <c r="H63" i="14"/>
  <c r="N62" i="14"/>
  <c r="M62" i="14"/>
  <c r="L62" i="14"/>
  <c r="K62" i="14"/>
  <c r="J62" i="14"/>
  <c r="H62" i="14"/>
  <c r="N61" i="14"/>
  <c r="M61" i="14"/>
  <c r="L61" i="14"/>
  <c r="K61" i="14"/>
  <c r="J61" i="14"/>
  <c r="H61" i="14"/>
  <c r="N60" i="14"/>
  <c r="M60" i="14"/>
  <c r="L60" i="14"/>
  <c r="K60" i="14"/>
  <c r="J60" i="14"/>
  <c r="H60" i="14"/>
  <c r="N59" i="14"/>
  <c r="M59" i="14"/>
  <c r="L59" i="14"/>
  <c r="K59" i="14"/>
  <c r="J59" i="14"/>
  <c r="H59" i="14"/>
  <c r="N58" i="14"/>
  <c r="M58" i="14"/>
  <c r="L58" i="14"/>
  <c r="K58" i="14"/>
  <c r="J58" i="14"/>
  <c r="H58" i="14"/>
  <c r="N57" i="14"/>
  <c r="M57" i="14"/>
  <c r="L57" i="14"/>
  <c r="K57" i="14"/>
  <c r="J57" i="14"/>
  <c r="H57" i="14"/>
  <c r="N56" i="14"/>
  <c r="M56" i="14"/>
  <c r="L56" i="14"/>
  <c r="K56" i="14"/>
  <c r="J56" i="14"/>
  <c r="H56" i="14"/>
  <c r="N55" i="14"/>
  <c r="M55" i="14"/>
  <c r="L55" i="14"/>
  <c r="K55" i="14"/>
  <c r="J55" i="14"/>
  <c r="H55" i="14"/>
  <c r="N54" i="14"/>
  <c r="M54" i="14"/>
  <c r="L54" i="14"/>
  <c r="K54" i="14"/>
  <c r="J54" i="14"/>
  <c r="H54" i="14"/>
  <c r="N53" i="14"/>
  <c r="M53" i="14"/>
  <c r="L53" i="14"/>
  <c r="K53" i="14"/>
  <c r="J53" i="14"/>
  <c r="H53" i="14"/>
  <c r="N52" i="14"/>
  <c r="M52" i="14"/>
  <c r="L52" i="14"/>
  <c r="K52" i="14"/>
  <c r="J52" i="14"/>
  <c r="H52" i="14"/>
  <c r="N51" i="14"/>
  <c r="M51" i="14"/>
  <c r="L51" i="14"/>
  <c r="K51" i="14"/>
  <c r="J51" i="14"/>
  <c r="H51" i="14"/>
  <c r="N50" i="14"/>
  <c r="M50" i="14"/>
  <c r="L50" i="14"/>
  <c r="K50" i="14"/>
  <c r="J50" i="14"/>
  <c r="H50" i="14"/>
  <c r="N49" i="14"/>
  <c r="M49" i="14"/>
  <c r="L49" i="14"/>
  <c r="K49" i="14"/>
  <c r="J49" i="14"/>
  <c r="H49" i="14"/>
  <c r="N48" i="14"/>
  <c r="M48" i="14"/>
  <c r="L48" i="14"/>
  <c r="K48" i="14"/>
  <c r="J48" i="14"/>
  <c r="H48" i="14"/>
  <c r="N47" i="14"/>
  <c r="M47" i="14"/>
  <c r="L47" i="14"/>
  <c r="K47" i="14"/>
  <c r="J47" i="14"/>
  <c r="H47" i="14"/>
  <c r="N46" i="14"/>
  <c r="M46" i="14"/>
  <c r="L46" i="14"/>
  <c r="K46" i="14"/>
  <c r="J46" i="14"/>
  <c r="H46" i="14"/>
  <c r="N45" i="14"/>
  <c r="M45" i="14"/>
  <c r="L45" i="14"/>
  <c r="K45" i="14"/>
  <c r="J45" i="14"/>
  <c r="H45" i="14"/>
  <c r="N44" i="14"/>
  <c r="M44" i="14"/>
  <c r="L44" i="14"/>
  <c r="K44" i="14"/>
  <c r="J44" i="14"/>
  <c r="H44" i="14"/>
  <c r="N43" i="14"/>
  <c r="M43" i="14"/>
  <c r="L43" i="14"/>
  <c r="K43" i="14"/>
  <c r="J43" i="14"/>
  <c r="H43" i="14"/>
  <c r="N42" i="14"/>
  <c r="M42" i="14"/>
  <c r="L42" i="14"/>
  <c r="K42" i="14"/>
  <c r="J42" i="14"/>
  <c r="H42" i="14"/>
  <c r="N41" i="14"/>
  <c r="M41" i="14"/>
  <c r="L41" i="14"/>
  <c r="K41" i="14"/>
  <c r="J41" i="14"/>
  <c r="H41" i="14"/>
  <c r="N40" i="14"/>
  <c r="M40" i="14"/>
  <c r="L40" i="14"/>
  <c r="K40" i="14"/>
  <c r="J40" i="14"/>
  <c r="H40" i="14"/>
  <c r="N39" i="14"/>
  <c r="M39" i="14"/>
  <c r="L39" i="14"/>
  <c r="K39" i="14"/>
  <c r="J39" i="14"/>
  <c r="H39" i="14"/>
  <c r="N38" i="14"/>
  <c r="M38" i="14"/>
  <c r="L38" i="14"/>
  <c r="K38" i="14"/>
  <c r="J38" i="14"/>
  <c r="H38" i="14"/>
  <c r="N37" i="14"/>
  <c r="M37" i="14"/>
  <c r="L37" i="14"/>
  <c r="K37" i="14"/>
  <c r="J37" i="14"/>
  <c r="H37" i="14"/>
  <c r="N36" i="14"/>
  <c r="M36" i="14"/>
  <c r="L36" i="14"/>
  <c r="K36" i="14"/>
  <c r="J36" i="14"/>
  <c r="H36" i="14"/>
  <c r="N35" i="14"/>
  <c r="M35" i="14"/>
  <c r="L35" i="14"/>
  <c r="K35" i="14"/>
  <c r="J35" i="14"/>
  <c r="H35" i="14"/>
  <c r="N34" i="14"/>
  <c r="M34" i="14"/>
  <c r="L34" i="14"/>
  <c r="K34" i="14"/>
  <c r="J34" i="14"/>
  <c r="H34" i="14"/>
  <c r="N33" i="14"/>
  <c r="M33" i="14"/>
  <c r="L33" i="14"/>
  <c r="K33" i="14"/>
  <c r="J33" i="14"/>
  <c r="H33" i="14"/>
  <c r="N32" i="14"/>
  <c r="M32" i="14"/>
  <c r="L32" i="14"/>
  <c r="K32" i="14"/>
  <c r="J32" i="14"/>
  <c r="H32" i="14"/>
  <c r="N31" i="14"/>
  <c r="M31" i="14"/>
  <c r="L31" i="14"/>
  <c r="K31" i="14"/>
  <c r="J31" i="14"/>
  <c r="H31" i="14"/>
  <c r="N30" i="14"/>
  <c r="M30" i="14"/>
  <c r="L30" i="14"/>
  <c r="K30" i="14"/>
  <c r="J30" i="14"/>
  <c r="H30" i="14"/>
  <c r="N29" i="14"/>
  <c r="M29" i="14"/>
  <c r="L29" i="14"/>
  <c r="K29" i="14"/>
  <c r="J29" i="14"/>
  <c r="H29" i="14"/>
  <c r="N28" i="14"/>
  <c r="M28" i="14"/>
  <c r="L28" i="14"/>
  <c r="K28" i="14"/>
  <c r="J28" i="14"/>
  <c r="H28" i="14"/>
  <c r="N27" i="14"/>
  <c r="M27" i="14"/>
  <c r="L27" i="14"/>
  <c r="K27" i="14"/>
  <c r="J27" i="14"/>
  <c r="H27" i="14"/>
  <c r="N26" i="14"/>
  <c r="M26" i="14"/>
  <c r="L26" i="14"/>
  <c r="K26" i="14"/>
  <c r="J26" i="14"/>
  <c r="H26" i="14"/>
  <c r="N25" i="14"/>
  <c r="M25" i="14"/>
  <c r="L25" i="14"/>
  <c r="K25" i="14"/>
  <c r="J25" i="14"/>
  <c r="H25" i="14"/>
  <c r="N24" i="14"/>
  <c r="M24" i="14"/>
  <c r="L24" i="14"/>
  <c r="K24" i="14"/>
  <c r="J24" i="14"/>
  <c r="H24" i="14"/>
  <c r="N23" i="14"/>
  <c r="M23" i="14"/>
  <c r="L23" i="14"/>
  <c r="K23" i="14"/>
  <c r="J23" i="14"/>
  <c r="H23" i="14"/>
  <c r="N22" i="14"/>
  <c r="M22" i="14"/>
  <c r="L22" i="14"/>
  <c r="K22" i="14"/>
  <c r="J22" i="14"/>
  <c r="H22" i="14"/>
  <c r="N21" i="14"/>
  <c r="M21" i="14"/>
  <c r="L21" i="14"/>
  <c r="K21" i="14"/>
  <c r="J21" i="14"/>
  <c r="H21" i="14"/>
  <c r="N20" i="14"/>
  <c r="M20" i="14"/>
  <c r="L20" i="14"/>
  <c r="K20" i="14"/>
  <c r="J20" i="14"/>
  <c r="H20" i="14"/>
  <c r="N19" i="14"/>
  <c r="M19" i="14"/>
  <c r="L19" i="14"/>
  <c r="K19" i="14"/>
  <c r="J19" i="14"/>
  <c r="H19" i="14"/>
  <c r="N18" i="14"/>
  <c r="M18" i="14"/>
  <c r="L18" i="14"/>
  <c r="K18" i="14"/>
  <c r="J18" i="14"/>
  <c r="H18" i="14"/>
  <c r="N17" i="14"/>
  <c r="M17" i="14"/>
  <c r="L17" i="14"/>
  <c r="K17" i="14"/>
  <c r="J17" i="14"/>
  <c r="H17" i="14"/>
  <c r="N16" i="14"/>
  <c r="M16" i="14"/>
  <c r="L16" i="14"/>
  <c r="K16" i="14"/>
  <c r="J16" i="14"/>
  <c r="H16" i="14"/>
  <c r="N15" i="14"/>
  <c r="M15" i="14"/>
  <c r="L15" i="14"/>
  <c r="K15" i="14"/>
  <c r="J15" i="14"/>
  <c r="H15" i="14"/>
  <c r="N14" i="14"/>
  <c r="M14" i="14"/>
  <c r="L14" i="14"/>
  <c r="K14" i="14"/>
  <c r="J14" i="14"/>
  <c r="H14" i="14"/>
  <c r="N13" i="14"/>
  <c r="M13" i="14"/>
  <c r="L13" i="14"/>
  <c r="K13" i="14"/>
  <c r="J13" i="14"/>
  <c r="H13" i="14"/>
  <c r="N12" i="14"/>
  <c r="M12" i="14"/>
  <c r="L12" i="14"/>
  <c r="K12" i="14"/>
  <c r="J12" i="14"/>
  <c r="H12" i="14"/>
  <c r="N11" i="14"/>
  <c r="M11" i="14"/>
  <c r="L11" i="14"/>
  <c r="K11" i="14"/>
  <c r="J11" i="14"/>
  <c r="H11" i="14"/>
  <c r="N10" i="14"/>
  <c r="M10" i="14"/>
  <c r="L10" i="14"/>
  <c r="K10" i="14"/>
  <c r="J10" i="14"/>
  <c r="H10" i="14"/>
  <c r="N9" i="14"/>
  <c r="M9" i="14"/>
  <c r="L9" i="14"/>
  <c r="K9" i="14"/>
  <c r="J9" i="14"/>
  <c r="H9" i="14"/>
  <c r="N8" i="14"/>
  <c r="M8" i="14"/>
  <c r="L8" i="14"/>
  <c r="K8" i="14"/>
  <c r="J8" i="14"/>
  <c r="H8" i="14"/>
  <c r="N7" i="14"/>
  <c r="M7" i="14"/>
  <c r="L7" i="14"/>
  <c r="K7" i="14"/>
  <c r="J7" i="14"/>
  <c r="H7" i="14"/>
  <c r="N6" i="14"/>
  <c r="M6" i="14"/>
  <c r="L6" i="14"/>
  <c r="K6" i="14"/>
  <c r="J6" i="14"/>
  <c r="H6" i="14"/>
  <c r="N5" i="14"/>
  <c r="M5" i="14"/>
  <c r="L5" i="14"/>
  <c r="K5" i="14"/>
  <c r="J5" i="14"/>
  <c r="H5" i="14"/>
  <c r="N4" i="14"/>
  <c r="M4" i="14"/>
  <c r="L4" i="14"/>
  <c r="K4" i="14"/>
  <c r="J4" i="14"/>
  <c r="H4" i="14"/>
  <c r="N3" i="14"/>
  <c r="M3" i="14"/>
  <c r="L3" i="14"/>
  <c r="K3" i="14"/>
  <c r="J3" i="14"/>
  <c r="H3" i="14"/>
  <c r="H83" i="14" s="1"/>
  <c r="N82" i="13"/>
  <c r="M82" i="13"/>
  <c r="L82" i="13"/>
  <c r="K82" i="13"/>
  <c r="J82" i="13"/>
  <c r="H82" i="13"/>
  <c r="N81" i="13"/>
  <c r="M81" i="13"/>
  <c r="L81" i="13"/>
  <c r="K81" i="13"/>
  <c r="J81" i="13"/>
  <c r="H81" i="13"/>
  <c r="N80" i="13"/>
  <c r="M80" i="13"/>
  <c r="L80" i="13"/>
  <c r="K80" i="13"/>
  <c r="J80" i="13"/>
  <c r="H80" i="13"/>
  <c r="N79" i="13"/>
  <c r="M79" i="13"/>
  <c r="L79" i="13"/>
  <c r="K79" i="13"/>
  <c r="J79" i="13"/>
  <c r="H79" i="13"/>
  <c r="N78" i="13"/>
  <c r="M78" i="13"/>
  <c r="L78" i="13"/>
  <c r="K78" i="13"/>
  <c r="J78" i="13"/>
  <c r="H78" i="13"/>
  <c r="N77" i="13"/>
  <c r="M77" i="13"/>
  <c r="L77" i="13"/>
  <c r="K77" i="13"/>
  <c r="J77" i="13"/>
  <c r="H77" i="13"/>
  <c r="N76" i="13"/>
  <c r="M76" i="13"/>
  <c r="L76" i="13"/>
  <c r="K76" i="13"/>
  <c r="J76" i="13"/>
  <c r="H76" i="13"/>
  <c r="N75" i="13"/>
  <c r="M75" i="13"/>
  <c r="L75" i="13"/>
  <c r="K75" i="13"/>
  <c r="J75" i="13"/>
  <c r="H75" i="13"/>
  <c r="N74" i="13"/>
  <c r="M74" i="13"/>
  <c r="L74" i="13"/>
  <c r="K74" i="13"/>
  <c r="J74" i="13"/>
  <c r="H74" i="13"/>
  <c r="N73" i="13"/>
  <c r="M73" i="13"/>
  <c r="L73" i="13"/>
  <c r="K73" i="13"/>
  <c r="J73" i="13"/>
  <c r="H73" i="13"/>
  <c r="N72" i="13"/>
  <c r="M72" i="13"/>
  <c r="L72" i="13"/>
  <c r="K72" i="13"/>
  <c r="J72" i="13"/>
  <c r="H72" i="13"/>
  <c r="N71" i="13"/>
  <c r="M71" i="13"/>
  <c r="L71" i="13"/>
  <c r="K71" i="13"/>
  <c r="J71" i="13"/>
  <c r="H71" i="13"/>
  <c r="N70" i="13"/>
  <c r="M70" i="13"/>
  <c r="L70" i="13"/>
  <c r="K70" i="13"/>
  <c r="J70" i="13"/>
  <c r="H70" i="13"/>
  <c r="N69" i="13"/>
  <c r="M69" i="13"/>
  <c r="L69" i="13"/>
  <c r="K69" i="13"/>
  <c r="J69" i="13"/>
  <c r="H69" i="13"/>
  <c r="N68" i="13"/>
  <c r="M68" i="13"/>
  <c r="L68" i="13"/>
  <c r="K68" i="13"/>
  <c r="J68" i="13"/>
  <c r="H68" i="13"/>
  <c r="N67" i="13"/>
  <c r="M67" i="13"/>
  <c r="L67" i="13"/>
  <c r="K67" i="13"/>
  <c r="J67" i="13"/>
  <c r="H67" i="13"/>
  <c r="N66" i="13"/>
  <c r="M66" i="13"/>
  <c r="L66" i="13"/>
  <c r="K66" i="13"/>
  <c r="J66" i="13"/>
  <c r="H66" i="13"/>
  <c r="N65" i="13"/>
  <c r="M65" i="13"/>
  <c r="L65" i="13"/>
  <c r="K65" i="13"/>
  <c r="J65" i="13"/>
  <c r="H65" i="13"/>
  <c r="N64" i="13"/>
  <c r="M64" i="13"/>
  <c r="L64" i="13"/>
  <c r="K64" i="13"/>
  <c r="J64" i="13"/>
  <c r="H64" i="13"/>
  <c r="N63" i="13"/>
  <c r="M63" i="13"/>
  <c r="L63" i="13"/>
  <c r="K63" i="13"/>
  <c r="J63" i="13"/>
  <c r="H63" i="13"/>
  <c r="N62" i="13"/>
  <c r="M62" i="13"/>
  <c r="L62" i="13"/>
  <c r="K62" i="13"/>
  <c r="J62" i="13"/>
  <c r="H62" i="13"/>
  <c r="N61" i="13"/>
  <c r="M61" i="13"/>
  <c r="L61" i="13"/>
  <c r="K61" i="13"/>
  <c r="J61" i="13"/>
  <c r="H61" i="13"/>
  <c r="N60" i="13"/>
  <c r="M60" i="13"/>
  <c r="L60" i="13"/>
  <c r="K60" i="13"/>
  <c r="J60" i="13"/>
  <c r="H60" i="13"/>
  <c r="N59" i="13"/>
  <c r="M59" i="13"/>
  <c r="L59" i="13"/>
  <c r="K59" i="13"/>
  <c r="J59" i="13"/>
  <c r="H59" i="13"/>
  <c r="N58" i="13"/>
  <c r="M58" i="13"/>
  <c r="L58" i="13"/>
  <c r="K58" i="13"/>
  <c r="J58" i="13"/>
  <c r="H58" i="13"/>
  <c r="N57" i="13"/>
  <c r="M57" i="13"/>
  <c r="L57" i="13"/>
  <c r="K57" i="13"/>
  <c r="J57" i="13"/>
  <c r="H57" i="13"/>
  <c r="N56" i="13"/>
  <c r="M56" i="13"/>
  <c r="L56" i="13"/>
  <c r="K56" i="13"/>
  <c r="J56" i="13"/>
  <c r="H56" i="13"/>
  <c r="N55" i="13"/>
  <c r="M55" i="13"/>
  <c r="L55" i="13"/>
  <c r="K55" i="13"/>
  <c r="J55" i="13"/>
  <c r="H55" i="13"/>
  <c r="N54" i="13"/>
  <c r="M54" i="13"/>
  <c r="L54" i="13"/>
  <c r="K54" i="13"/>
  <c r="J54" i="13"/>
  <c r="H54" i="13"/>
  <c r="N53" i="13"/>
  <c r="M53" i="13"/>
  <c r="L53" i="13"/>
  <c r="K53" i="13"/>
  <c r="J53" i="13"/>
  <c r="H53" i="13"/>
  <c r="N52" i="13"/>
  <c r="M52" i="13"/>
  <c r="L52" i="13"/>
  <c r="K52" i="13"/>
  <c r="J52" i="13"/>
  <c r="H52" i="13"/>
  <c r="N51" i="13"/>
  <c r="M51" i="13"/>
  <c r="L51" i="13"/>
  <c r="K51" i="13"/>
  <c r="J51" i="13"/>
  <c r="H51" i="13"/>
  <c r="N50" i="13"/>
  <c r="M50" i="13"/>
  <c r="L50" i="13"/>
  <c r="K50" i="13"/>
  <c r="J50" i="13"/>
  <c r="H50" i="13"/>
  <c r="N49" i="13"/>
  <c r="M49" i="13"/>
  <c r="L49" i="13"/>
  <c r="K49" i="13"/>
  <c r="J49" i="13"/>
  <c r="H49" i="13"/>
  <c r="N48" i="13"/>
  <c r="M48" i="13"/>
  <c r="L48" i="13"/>
  <c r="K48" i="13"/>
  <c r="J48" i="13"/>
  <c r="H48" i="13"/>
  <c r="N47" i="13"/>
  <c r="M47" i="13"/>
  <c r="L47" i="13"/>
  <c r="K47" i="13"/>
  <c r="J47" i="13"/>
  <c r="H47" i="13"/>
  <c r="N46" i="13"/>
  <c r="M46" i="13"/>
  <c r="L46" i="13"/>
  <c r="K46" i="13"/>
  <c r="J46" i="13"/>
  <c r="H46" i="13"/>
  <c r="N45" i="13"/>
  <c r="M45" i="13"/>
  <c r="L45" i="13"/>
  <c r="K45" i="13"/>
  <c r="J45" i="13"/>
  <c r="H45" i="13"/>
  <c r="N44" i="13"/>
  <c r="M44" i="13"/>
  <c r="L44" i="13"/>
  <c r="K44" i="13"/>
  <c r="J44" i="13"/>
  <c r="H44" i="13"/>
  <c r="N43" i="13"/>
  <c r="M43" i="13"/>
  <c r="L43" i="13"/>
  <c r="K43" i="13"/>
  <c r="J43" i="13"/>
  <c r="H43" i="13"/>
  <c r="N42" i="13"/>
  <c r="M42" i="13"/>
  <c r="L42" i="13"/>
  <c r="K42" i="13"/>
  <c r="J42" i="13"/>
  <c r="H42" i="13"/>
  <c r="N41" i="13"/>
  <c r="M41" i="13"/>
  <c r="L41" i="13"/>
  <c r="K41" i="13"/>
  <c r="J41" i="13"/>
  <c r="H41" i="13"/>
  <c r="N40" i="13"/>
  <c r="M40" i="13"/>
  <c r="L40" i="13"/>
  <c r="K40" i="13"/>
  <c r="J40" i="13"/>
  <c r="H40" i="13"/>
  <c r="N39" i="13"/>
  <c r="M39" i="13"/>
  <c r="L39" i="13"/>
  <c r="K39" i="13"/>
  <c r="J39" i="13"/>
  <c r="H39" i="13"/>
  <c r="N38" i="13"/>
  <c r="M38" i="13"/>
  <c r="L38" i="13"/>
  <c r="K38" i="13"/>
  <c r="J38" i="13"/>
  <c r="H38" i="13"/>
  <c r="N37" i="13"/>
  <c r="M37" i="13"/>
  <c r="L37" i="13"/>
  <c r="K37" i="13"/>
  <c r="J37" i="13"/>
  <c r="H37" i="13"/>
  <c r="N36" i="13"/>
  <c r="M36" i="13"/>
  <c r="L36" i="13"/>
  <c r="K36" i="13"/>
  <c r="J36" i="13"/>
  <c r="H36" i="13"/>
  <c r="N35" i="13"/>
  <c r="M35" i="13"/>
  <c r="L35" i="13"/>
  <c r="K35" i="13"/>
  <c r="J35" i="13"/>
  <c r="H35" i="13"/>
  <c r="N34" i="13"/>
  <c r="M34" i="13"/>
  <c r="L34" i="13"/>
  <c r="K34" i="13"/>
  <c r="J34" i="13"/>
  <c r="H34" i="13"/>
  <c r="N33" i="13"/>
  <c r="M33" i="13"/>
  <c r="L33" i="13"/>
  <c r="K33" i="13"/>
  <c r="J33" i="13"/>
  <c r="H33" i="13"/>
  <c r="N32" i="13"/>
  <c r="M32" i="13"/>
  <c r="L32" i="13"/>
  <c r="K32" i="13"/>
  <c r="J32" i="13"/>
  <c r="H32" i="13"/>
  <c r="N31" i="13"/>
  <c r="M31" i="13"/>
  <c r="L31" i="13"/>
  <c r="K31" i="13"/>
  <c r="J31" i="13"/>
  <c r="H31" i="13"/>
  <c r="N30" i="13"/>
  <c r="M30" i="13"/>
  <c r="L30" i="13"/>
  <c r="K30" i="13"/>
  <c r="J30" i="13"/>
  <c r="H30" i="13"/>
  <c r="N29" i="13"/>
  <c r="M29" i="13"/>
  <c r="L29" i="13"/>
  <c r="K29" i="13"/>
  <c r="J29" i="13"/>
  <c r="H29" i="13"/>
  <c r="N28" i="13"/>
  <c r="M28" i="13"/>
  <c r="L28" i="13"/>
  <c r="K28" i="13"/>
  <c r="J28" i="13"/>
  <c r="H28" i="13"/>
  <c r="N27" i="13"/>
  <c r="M27" i="13"/>
  <c r="L27" i="13"/>
  <c r="K27" i="13"/>
  <c r="J27" i="13"/>
  <c r="H27" i="13"/>
  <c r="N26" i="13"/>
  <c r="M26" i="13"/>
  <c r="L26" i="13"/>
  <c r="K26" i="13"/>
  <c r="J26" i="13"/>
  <c r="H26" i="13"/>
  <c r="N25" i="13"/>
  <c r="M25" i="13"/>
  <c r="L25" i="13"/>
  <c r="K25" i="13"/>
  <c r="J25" i="13"/>
  <c r="H25" i="13"/>
  <c r="N24" i="13"/>
  <c r="M24" i="13"/>
  <c r="L24" i="13"/>
  <c r="K24" i="13"/>
  <c r="J24" i="13"/>
  <c r="H24" i="13"/>
  <c r="N23" i="13"/>
  <c r="M23" i="13"/>
  <c r="L23" i="13"/>
  <c r="K23" i="13"/>
  <c r="J23" i="13"/>
  <c r="H23" i="13"/>
  <c r="N22" i="13"/>
  <c r="M22" i="13"/>
  <c r="L22" i="13"/>
  <c r="K22" i="13"/>
  <c r="J22" i="13"/>
  <c r="H22" i="13"/>
  <c r="N21" i="13"/>
  <c r="M21" i="13"/>
  <c r="L21" i="13"/>
  <c r="K21" i="13"/>
  <c r="J21" i="13"/>
  <c r="H21" i="13"/>
  <c r="N20" i="13"/>
  <c r="M20" i="13"/>
  <c r="L20" i="13"/>
  <c r="K20" i="13"/>
  <c r="J20" i="13"/>
  <c r="H20" i="13"/>
  <c r="N19" i="13"/>
  <c r="M19" i="13"/>
  <c r="L19" i="13"/>
  <c r="K19" i="13"/>
  <c r="J19" i="13"/>
  <c r="H19" i="13"/>
  <c r="N18" i="13"/>
  <c r="M18" i="13"/>
  <c r="L18" i="13"/>
  <c r="K18" i="13"/>
  <c r="J18" i="13"/>
  <c r="H18" i="13"/>
  <c r="N17" i="13"/>
  <c r="M17" i="13"/>
  <c r="L17" i="13"/>
  <c r="K17" i="13"/>
  <c r="J17" i="13"/>
  <c r="H17" i="13"/>
  <c r="N16" i="13"/>
  <c r="M16" i="13"/>
  <c r="L16" i="13"/>
  <c r="K16" i="13"/>
  <c r="J16" i="13"/>
  <c r="H16" i="13"/>
  <c r="N15" i="13"/>
  <c r="M15" i="13"/>
  <c r="L15" i="13"/>
  <c r="K15" i="13"/>
  <c r="J15" i="13"/>
  <c r="H15" i="13"/>
  <c r="N14" i="13"/>
  <c r="M14" i="13"/>
  <c r="L14" i="13"/>
  <c r="K14" i="13"/>
  <c r="J14" i="13"/>
  <c r="H14" i="13"/>
  <c r="N13" i="13"/>
  <c r="M13" i="13"/>
  <c r="L13" i="13"/>
  <c r="K13" i="13"/>
  <c r="J13" i="13"/>
  <c r="H13" i="13"/>
  <c r="N12" i="13"/>
  <c r="M12" i="13"/>
  <c r="L12" i="13"/>
  <c r="K12" i="13"/>
  <c r="J12" i="13"/>
  <c r="H12" i="13"/>
  <c r="N11" i="13"/>
  <c r="M11" i="13"/>
  <c r="L11" i="13"/>
  <c r="K11" i="13"/>
  <c r="J11" i="13"/>
  <c r="H11" i="13"/>
  <c r="N10" i="13"/>
  <c r="M10" i="13"/>
  <c r="L10" i="13"/>
  <c r="K10" i="13"/>
  <c r="J10" i="13"/>
  <c r="H10" i="13"/>
  <c r="N9" i="13"/>
  <c r="M9" i="13"/>
  <c r="L9" i="13"/>
  <c r="K9" i="13"/>
  <c r="J9" i="13"/>
  <c r="H9" i="13"/>
  <c r="N8" i="13"/>
  <c r="M8" i="13"/>
  <c r="L8" i="13"/>
  <c r="K8" i="13"/>
  <c r="J8" i="13"/>
  <c r="H8" i="13"/>
  <c r="N7" i="13"/>
  <c r="M7" i="13"/>
  <c r="L7" i="13"/>
  <c r="K7" i="13"/>
  <c r="J7" i="13"/>
  <c r="H7" i="13"/>
  <c r="N6" i="13"/>
  <c r="M6" i="13"/>
  <c r="L6" i="13"/>
  <c r="K6" i="13"/>
  <c r="J6" i="13"/>
  <c r="H6" i="13"/>
  <c r="N5" i="13"/>
  <c r="M5" i="13"/>
  <c r="L5" i="13"/>
  <c r="K5" i="13"/>
  <c r="J5" i="13"/>
  <c r="H5" i="13"/>
  <c r="N4" i="13"/>
  <c r="M4" i="13"/>
  <c r="L4" i="13"/>
  <c r="K4" i="13"/>
  <c r="J4" i="13"/>
  <c r="H4" i="13"/>
  <c r="N3" i="13"/>
  <c r="M3" i="13"/>
  <c r="L3" i="13"/>
  <c r="K3" i="13"/>
  <c r="J3" i="13"/>
  <c r="H3" i="13"/>
  <c r="H83" i="13" s="1"/>
  <c r="N82" i="12"/>
  <c r="M82" i="12"/>
  <c r="L82" i="12"/>
  <c r="K82" i="12"/>
  <c r="J82" i="12"/>
  <c r="H82" i="12"/>
  <c r="N81" i="12"/>
  <c r="M81" i="12"/>
  <c r="L81" i="12"/>
  <c r="K81" i="12"/>
  <c r="J81" i="12"/>
  <c r="H81" i="12"/>
  <c r="N80" i="12"/>
  <c r="M80" i="12"/>
  <c r="L80" i="12"/>
  <c r="K80" i="12"/>
  <c r="J80" i="12"/>
  <c r="H80" i="12"/>
  <c r="N79" i="12"/>
  <c r="M79" i="12"/>
  <c r="L79" i="12"/>
  <c r="K79" i="12"/>
  <c r="J79" i="12"/>
  <c r="H79" i="12"/>
  <c r="N78" i="12"/>
  <c r="M78" i="12"/>
  <c r="L78" i="12"/>
  <c r="K78" i="12"/>
  <c r="J78" i="12"/>
  <c r="H78" i="12"/>
  <c r="N77" i="12"/>
  <c r="M77" i="12"/>
  <c r="L77" i="12"/>
  <c r="K77" i="12"/>
  <c r="J77" i="12"/>
  <c r="H77" i="12"/>
  <c r="N76" i="12"/>
  <c r="M76" i="12"/>
  <c r="L76" i="12"/>
  <c r="K76" i="12"/>
  <c r="J76" i="12"/>
  <c r="H76" i="12"/>
  <c r="N75" i="12"/>
  <c r="M75" i="12"/>
  <c r="L75" i="12"/>
  <c r="K75" i="12"/>
  <c r="J75" i="12"/>
  <c r="H75" i="12"/>
  <c r="N74" i="12"/>
  <c r="M74" i="12"/>
  <c r="L74" i="12"/>
  <c r="K74" i="12"/>
  <c r="J74" i="12"/>
  <c r="H74" i="12"/>
  <c r="N73" i="12"/>
  <c r="M73" i="12"/>
  <c r="L73" i="12"/>
  <c r="K73" i="12"/>
  <c r="J73" i="12"/>
  <c r="H73" i="12"/>
  <c r="N72" i="12"/>
  <c r="M72" i="12"/>
  <c r="L72" i="12"/>
  <c r="K72" i="12"/>
  <c r="J72" i="12"/>
  <c r="H72" i="12"/>
  <c r="N71" i="12"/>
  <c r="M71" i="12"/>
  <c r="L71" i="12"/>
  <c r="K71" i="12"/>
  <c r="J71" i="12"/>
  <c r="H71" i="12"/>
  <c r="N70" i="12"/>
  <c r="M70" i="12"/>
  <c r="L70" i="12"/>
  <c r="K70" i="12"/>
  <c r="J70" i="12"/>
  <c r="H70" i="12"/>
  <c r="N69" i="12"/>
  <c r="M69" i="12"/>
  <c r="L69" i="12"/>
  <c r="K69" i="12"/>
  <c r="J69" i="12"/>
  <c r="H69" i="12"/>
  <c r="N68" i="12"/>
  <c r="M68" i="12"/>
  <c r="L68" i="12"/>
  <c r="K68" i="12"/>
  <c r="J68" i="12"/>
  <c r="H68" i="12"/>
  <c r="N67" i="12"/>
  <c r="M67" i="12"/>
  <c r="L67" i="12"/>
  <c r="K67" i="12"/>
  <c r="J67" i="12"/>
  <c r="H67" i="12"/>
  <c r="N66" i="12"/>
  <c r="M66" i="12"/>
  <c r="L66" i="12"/>
  <c r="K66" i="12"/>
  <c r="J66" i="12"/>
  <c r="H66" i="12"/>
  <c r="N65" i="12"/>
  <c r="M65" i="12"/>
  <c r="L65" i="12"/>
  <c r="K65" i="12"/>
  <c r="J65" i="12"/>
  <c r="H65" i="12"/>
  <c r="N64" i="12"/>
  <c r="M64" i="12"/>
  <c r="L64" i="12"/>
  <c r="K64" i="12"/>
  <c r="J64" i="12"/>
  <c r="H64" i="12"/>
  <c r="N63" i="12"/>
  <c r="M63" i="12"/>
  <c r="L63" i="12"/>
  <c r="K63" i="12"/>
  <c r="J63" i="12"/>
  <c r="H63" i="12"/>
  <c r="N62" i="12"/>
  <c r="M62" i="12"/>
  <c r="L62" i="12"/>
  <c r="K62" i="12"/>
  <c r="J62" i="12"/>
  <c r="H62" i="12"/>
  <c r="N61" i="12"/>
  <c r="M61" i="12"/>
  <c r="L61" i="12"/>
  <c r="K61" i="12"/>
  <c r="J61" i="12"/>
  <c r="H61" i="12"/>
  <c r="N60" i="12"/>
  <c r="M60" i="12"/>
  <c r="L60" i="12"/>
  <c r="K60" i="12"/>
  <c r="J60" i="12"/>
  <c r="H60" i="12"/>
  <c r="N59" i="12"/>
  <c r="M59" i="12"/>
  <c r="L59" i="12"/>
  <c r="K59" i="12"/>
  <c r="J59" i="12"/>
  <c r="H59" i="12"/>
  <c r="N58" i="12"/>
  <c r="M58" i="12"/>
  <c r="L58" i="12"/>
  <c r="K58" i="12"/>
  <c r="J58" i="12"/>
  <c r="H58" i="12"/>
  <c r="N57" i="12"/>
  <c r="M57" i="12"/>
  <c r="L57" i="12"/>
  <c r="K57" i="12"/>
  <c r="J57" i="12"/>
  <c r="H57" i="12"/>
  <c r="N56" i="12"/>
  <c r="M56" i="12"/>
  <c r="L56" i="12"/>
  <c r="K56" i="12"/>
  <c r="J56" i="12"/>
  <c r="H56" i="12"/>
  <c r="N55" i="12"/>
  <c r="M55" i="12"/>
  <c r="L55" i="12"/>
  <c r="K55" i="12"/>
  <c r="J55" i="12"/>
  <c r="H55" i="12"/>
  <c r="N54" i="12"/>
  <c r="M54" i="12"/>
  <c r="L54" i="12"/>
  <c r="K54" i="12"/>
  <c r="J54" i="12"/>
  <c r="H54" i="12"/>
  <c r="N53" i="12"/>
  <c r="M53" i="12"/>
  <c r="L53" i="12"/>
  <c r="K53" i="12"/>
  <c r="J53" i="12"/>
  <c r="H53" i="12"/>
  <c r="N52" i="12"/>
  <c r="M52" i="12"/>
  <c r="L52" i="12"/>
  <c r="K52" i="12"/>
  <c r="J52" i="12"/>
  <c r="H52" i="12"/>
  <c r="N51" i="12"/>
  <c r="M51" i="12"/>
  <c r="L51" i="12"/>
  <c r="K51" i="12"/>
  <c r="J51" i="12"/>
  <c r="H51" i="12"/>
  <c r="N50" i="12"/>
  <c r="M50" i="12"/>
  <c r="L50" i="12"/>
  <c r="K50" i="12"/>
  <c r="J50" i="12"/>
  <c r="H50" i="12"/>
  <c r="N49" i="12"/>
  <c r="M49" i="12"/>
  <c r="L49" i="12"/>
  <c r="K49" i="12"/>
  <c r="J49" i="12"/>
  <c r="H49" i="12"/>
  <c r="N48" i="12"/>
  <c r="M48" i="12"/>
  <c r="L48" i="12"/>
  <c r="K48" i="12"/>
  <c r="J48" i="12"/>
  <c r="H48" i="12"/>
  <c r="N47" i="12"/>
  <c r="M47" i="12"/>
  <c r="L47" i="12"/>
  <c r="K47" i="12"/>
  <c r="J47" i="12"/>
  <c r="H47" i="12"/>
  <c r="N46" i="12"/>
  <c r="M46" i="12"/>
  <c r="L46" i="12"/>
  <c r="K46" i="12"/>
  <c r="J46" i="12"/>
  <c r="H46" i="12"/>
  <c r="N45" i="12"/>
  <c r="M45" i="12"/>
  <c r="L45" i="12"/>
  <c r="K45" i="12"/>
  <c r="J45" i="12"/>
  <c r="H45" i="12"/>
  <c r="N44" i="12"/>
  <c r="M44" i="12"/>
  <c r="L44" i="12"/>
  <c r="K44" i="12"/>
  <c r="J44" i="12"/>
  <c r="H44" i="12"/>
  <c r="N43" i="12"/>
  <c r="M43" i="12"/>
  <c r="L43" i="12"/>
  <c r="K43" i="12"/>
  <c r="J43" i="12"/>
  <c r="H43" i="12"/>
  <c r="N42" i="12"/>
  <c r="M42" i="12"/>
  <c r="L42" i="12"/>
  <c r="K42" i="12"/>
  <c r="J42" i="12"/>
  <c r="H42" i="12"/>
  <c r="N41" i="12"/>
  <c r="M41" i="12"/>
  <c r="L41" i="12"/>
  <c r="K41" i="12"/>
  <c r="J41" i="12"/>
  <c r="H41" i="12"/>
  <c r="N40" i="12"/>
  <c r="M40" i="12"/>
  <c r="L40" i="12"/>
  <c r="K40" i="12"/>
  <c r="J40" i="12"/>
  <c r="H40" i="12"/>
  <c r="N39" i="12"/>
  <c r="M39" i="12"/>
  <c r="L39" i="12"/>
  <c r="K39" i="12"/>
  <c r="J39" i="12"/>
  <c r="H39" i="12"/>
  <c r="N38" i="12"/>
  <c r="M38" i="12"/>
  <c r="L38" i="12"/>
  <c r="K38" i="12"/>
  <c r="J38" i="12"/>
  <c r="H38" i="12"/>
  <c r="N37" i="12"/>
  <c r="M37" i="12"/>
  <c r="L37" i="12"/>
  <c r="K37" i="12"/>
  <c r="J37" i="12"/>
  <c r="H37" i="12"/>
  <c r="N36" i="12"/>
  <c r="M36" i="12"/>
  <c r="L36" i="12"/>
  <c r="K36" i="12"/>
  <c r="J36" i="12"/>
  <c r="H36" i="12"/>
  <c r="N35" i="12"/>
  <c r="M35" i="12"/>
  <c r="L35" i="12"/>
  <c r="K35" i="12"/>
  <c r="J35" i="12"/>
  <c r="H35" i="12"/>
  <c r="N34" i="12"/>
  <c r="M34" i="12"/>
  <c r="L34" i="12"/>
  <c r="K34" i="12"/>
  <c r="J34" i="12"/>
  <c r="H34" i="12"/>
  <c r="N33" i="12"/>
  <c r="M33" i="12"/>
  <c r="L33" i="12"/>
  <c r="K33" i="12"/>
  <c r="J33" i="12"/>
  <c r="H33" i="12"/>
  <c r="N32" i="12"/>
  <c r="M32" i="12"/>
  <c r="L32" i="12"/>
  <c r="K32" i="12"/>
  <c r="J32" i="12"/>
  <c r="H32" i="12"/>
  <c r="N31" i="12"/>
  <c r="M31" i="12"/>
  <c r="L31" i="12"/>
  <c r="K31" i="12"/>
  <c r="J31" i="12"/>
  <c r="H31" i="12"/>
  <c r="N30" i="12"/>
  <c r="M30" i="12"/>
  <c r="L30" i="12"/>
  <c r="K30" i="12"/>
  <c r="J30" i="12"/>
  <c r="H30" i="12"/>
  <c r="N29" i="12"/>
  <c r="M29" i="12"/>
  <c r="L29" i="12"/>
  <c r="K29" i="12"/>
  <c r="J29" i="12"/>
  <c r="H29" i="12"/>
  <c r="N28" i="12"/>
  <c r="M28" i="12"/>
  <c r="L28" i="12"/>
  <c r="K28" i="12"/>
  <c r="J28" i="12"/>
  <c r="H28" i="12"/>
  <c r="N27" i="12"/>
  <c r="M27" i="12"/>
  <c r="L27" i="12"/>
  <c r="K27" i="12"/>
  <c r="J27" i="12"/>
  <c r="H27" i="12"/>
  <c r="N26" i="12"/>
  <c r="M26" i="12"/>
  <c r="L26" i="12"/>
  <c r="K26" i="12"/>
  <c r="J26" i="12"/>
  <c r="H26" i="12"/>
  <c r="N25" i="12"/>
  <c r="M25" i="12"/>
  <c r="L25" i="12"/>
  <c r="K25" i="12"/>
  <c r="J25" i="12"/>
  <c r="H25" i="12"/>
  <c r="N24" i="12"/>
  <c r="M24" i="12"/>
  <c r="L24" i="12"/>
  <c r="K24" i="12"/>
  <c r="J24" i="12"/>
  <c r="H24" i="12"/>
  <c r="N23" i="12"/>
  <c r="M23" i="12"/>
  <c r="L23" i="12"/>
  <c r="K23" i="12"/>
  <c r="J23" i="12"/>
  <c r="H23" i="12"/>
  <c r="N22" i="12"/>
  <c r="M22" i="12"/>
  <c r="L22" i="12"/>
  <c r="K22" i="12"/>
  <c r="J22" i="12"/>
  <c r="H22" i="12"/>
  <c r="N21" i="12"/>
  <c r="M21" i="12"/>
  <c r="L21" i="12"/>
  <c r="K21" i="12"/>
  <c r="J21" i="12"/>
  <c r="H21" i="12"/>
  <c r="N20" i="12"/>
  <c r="M20" i="12"/>
  <c r="L20" i="12"/>
  <c r="K20" i="12"/>
  <c r="J20" i="12"/>
  <c r="H20" i="12"/>
  <c r="N19" i="12"/>
  <c r="M19" i="12"/>
  <c r="L19" i="12"/>
  <c r="K19" i="12"/>
  <c r="J19" i="12"/>
  <c r="H19" i="12"/>
  <c r="N18" i="12"/>
  <c r="M18" i="12"/>
  <c r="L18" i="12"/>
  <c r="K18" i="12"/>
  <c r="J18" i="12"/>
  <c r="H18" i="12"/>
  <c r="N17" i="12"/>
  <c r="M17" i="12"/>
  <c r="L17" i="12"/>
  <c r="K17" i="12"/>
  <c r="J17" i="12"/>
  <c r="H17" i="12"/>
  <c r="N16" i="12"/>
  <c r="M16" i="12"/>
  <c r="L16" i="12"/>
  <c r="K16" i="12"/>
  <c r="J16" i="12"/>
  <c r="H16" i="12"/>
  <c r="N15" i="12"/>
  <c r="M15" i="12"/>
  <c r="L15" i="12"/>
  <c r="K15" i="12"/>
  <c r="J15" i="12"/>
  <c r="H15" i="12"/>
  <c r="N14" i="12"/>
  <c r="M14" i="12"/>
  <c r="L14" i="12"/>
  <c r="K14" i="12"/>
  <c r="J14" i="12"/>
  <c r="H14" i="12"/>
  <c r="N13" i="12"/>
  <c r="M13" i="12"/>
  <c r="L13" i="12"/>
  <c r="K13" i="12"/>
  <c r="J13" i="12"/>
  <c r="H13" i="12"/>
  <c r="N12" i="12"/>
  <c r="M12" i="12"/>
  <c r="L12" i="12"/>
  <c r="K12" i="12"/>
  <c r="J12" i="12"/>
  <c r="H12" i="12"/>
  <c r="N11" i="12"/>
  <c r="M11" i="12"/>
  <c r="L11" i="12"/>
  <c r="K11" i="12"/>
  <c r="J11" i="12"/>
  <c r="H11" i="12"/>
  <c r="N10" i="12"/>
  <c r="M10" i="12"/>
  <c r="L10" i="12"/>
  <c r="K10" i="12"/>
  <c r="J10" i="12"/>
  <c r="H10" i="12"/>
  <c r="N9" i="12"/>
  <c r="M9" i="12"/>
  <c r="L9" i="12"/>
  <c r="K9" i="12"/>
  <c r="J9" i="12"/>
  <c r="H9" i="12"/>
  <c r="N8" i="12"/>
  <c r="M8" i="12"/>
  <c r="L8" i="12"/>
  <c r="K8" i="12"/>
  <c r="J8" i="12"/>
  <c r="H8" i="12"/>
  <c r="N7" i="12"/>
  <c r="M7" i="12"/>
  <c r="L7" i="12"/>
  <c r="K7" i="12"/>
  <c r="J7" i="12"/>
  <c r="H7" i="12"/>
  <c r="N6" i="12"/>
  <c r="M6" i="12"/>
  <c r="L6" i="12"/>
  <c r="K6" i="12"/>
  <c r="J6" i="12"/>
  <c r="H6" i="12"/>
  <c r="N5" i="12"/>
  <c r="M5" i="12"/>
  <c r="L5" i="12"/>
  <c r="K5" i="12"/>
  <c r="J5" i="12"/>
  <c r="H5" i="12"/>
  <c r="N4" i="12"/>
  <c r="M4" i="12"/>
  <c r="L4" i="12"/>
  <c r="K4" i="12"/>
  <c r="J4" i="12"/>
  <c r="H4" i="12"/>
  <c r="N3" i="12"/>
  <c r="M3" i="12"/>
  <c r="L3" i="12"/>
  <c r="K3" i="12"/>
  <c r="J3" i="12"/>
  <c r="H3" i="12"/>
  <c r="H83" i="12" s="1"/>
  <c r="N82" i="11"/>
  <c r="M82" i="11"/>
  <c r="L82" i="11"/>
  <c r="K82" i="11"/>
  <c r="J82" i="11"/>
  <c r="H82" i="11"/>
  <c r="N81" i="11"/>
  <c r="M81" i="11"/>
  <c r="L81" i="11"/>
  <c r="K81" i="11"/>
  <c r="J81" i="11"/>
  <c r="H81" i="11"/>
  <c r="N80" i="11"/>
  <c r="M80" i="11"/>
  <c r="L80" i="11"/>
  <c r="K80" i="11"/>
  <c r="J80" i="11"/>
  <c r="H80" i="11"/>
  <c r="N79" i="11"/>
  <c r="M79" i="11"/>
  <c r="L79" i="11"/>
  <c r="K79" i="11"/>
  <c r="J79" i="11"/>
  <c r="H79" i="11"/>
  <c r="N78" i="11"/>
  <c r="M78" i="11"/>
  <c r="L78" i="11"/>
  <c r="K78" i="11"/>
  <c r="J78" i="11"/>
  <c r="H78" i="11"/>
  <c r="N77" i="11"/>
  <c r="M77" i="11"/>
  <c r="L77" i="11"/>
  <c r="K77" i="11"/>
  <c r="J77" i="11"/>
  <c r="H77" i="11"/>
  <c r="N76" i="11"/>
  <c r="M76" i="11"/>
  <c r="L76" i="11"/>
  <c r="K76" i="11"/>
  <c r="J76" i="11"/>
  <c r="H76" i="11"/>
  <c r="N75" i="11"/>
  <c r="M75" i="11"/>
  <c r="L75" i="11"/>
  <c r="K75" i="11"/>
  <c r="J75" i="11"/>
  <c r="H75" i="11"/>
  <c r="N74" i="11"/>
  <c r="M74" i="11"/>
  <c r="L74" i="11"/>
  <c r="K74" i="11"/>
  <c r="J74" i="11"/>
  <c r="H74" i="11"/>
  <c r="N73" i="11"/>
  <c r="M73" i="11"/>
  <c r="L73" i="11"/>
  <c r="K73" i="11"/>
  <c r="J73" i="11"/>
  <c r="H73" i="11"/>
  <c r="N72" i="11"/>
  <c r="M72" i="11"/>
  <c r="L72" i="11"/>
  <c r="K72" i="11"/>
  <c r="J72" i="11"/>
  <c r="H72" i="11"/>
  <c r="N71" i="11"/>
  <c r="M71" i="11"/>
  <c r="L71" i="11"/>
  <c r="K71" i="11"/>
  <c r="J71" i="11"/>
  <c r="H71" i="11"/>
  <c r="N70" i="11"/>
  <c r="M70" i="11"/>
  <c r="L70" i="11"/>
  <c r="K70" i="11"/>
  <c r="J70" i="11"/>
  <c r="H70" i="11"/>
  <c r="N69" i="11"/>
  <c r="M69" i="11"/>
  <c r="L69" i="11"/>
  <c r="K69" i="11"/>
  <c r="J69" i="11"/>
  <c r="H69" i="11"/>
  <c r="N68" i="11"/>
  <c r="M68" i="11"/>
  <c r="L68" i="11"/>
  <c r="K68" i="11"/>
  <c r="J68" i="11"/>
  <c r="H68" i="11"/>
  <c r="N67" i="11"/>
  <c r="M67" i="11"/>
  <c r="L67" i="11"/>
  <c r="K67" i="11"/>
  <c r="J67" i="11"/>
  <c r="H67" i="11"/>
  <c r="N66" i="11"/>
  <c r="M66" i="11"/>
  <c r="L66" i="11"/>
  <c r="K66" i="11"/>
  <c r="J66" i="11"/>
  <c r="H66" i="11"/>
  <c r="N65" i="11"/>
  <c r="M65" i="11"/>
  <c r="L65" i="11"/>
  <c r="K65" i="11"/>
  <c r="J65" i="11"/>
  <c r="H65" i="11"/>
  <c r="N64" i="11"/>
  <c r="M64" i="11"/>
  <c r="L64" i="11"/>
  <c r="K64" i="11"/>
  <c r="J64" i="11"/>
  <c r="H64" i="11"/>
  <c r="N63" i="11"/>
  <c r="M63" i="11"/>
  <c r="L63" i="11"/>
  <c r="K63" i="11"/>
  <c r="J63" i="11"/>
  <c r="H63" i="11"/>
  <c r="N62" i="11"/>
  <c r="M62" i="11"/>
  <c r="L62" i="11"/>
  <c r="K62" i="11"/>
  <c r="J62" i="11"/>
  <c r="H62" i="11"/>
  <c r="N61" i="11"/>
  <c r="M61" i="11"/>
  <c r="L61" i="11"/>
  <c r="K61" i="11"/>
  <c r="J61" i="11"/>
  <c r="H61" i="11"/>
  <c r="N60" i="11"/>
  <c r="M60" i="11"/>
  <c r="L60" i="11"/>
  <c r="K60" i="11"/>
  <c r="J60" i="11"/>
  <c r="H60" i="11"/>
  <c r="N59" i="11"/>
  <c r="M59" i="11"/>
  <c r="L59" i="11"/>
  <c r="K59" i="11"/>
  <c r="J59" i="11"/>
  <c r="H59" i="11"/>
  <c r="N58" i="11"/>
  <c r="M58" i="11"/>
  <c r="L58" i="11"/>
  <c r="K58" i="11"/>
  <c r="J58" i="11"/>
  <c r="H58" i="11"/>
  <c r="N57" i="11"/>
  <c r="M57" i="11"/>
  <c r="L57" i="11"/>
  <c r="K57" i="11"/>
  <c r="J57" i="11"/>
  <c r="H57" i="11"/>
  <c r="N56" i="11"/>
  <c r="M56" i="11"/>
  <c r="L56" i="11"/>
  <c r="K56" i="11"/>
  <c r="J56" i="11"/>
  <c r="H56" i="11"/>
  <c r="N55" i="11"/>
  <c r="M55" i="11"/>
  <c r="L55" i="11"/>
  <c r="K55" i="11"/>
  <c r="J55" i="11"/>
  <c r="H55" i="11"/>
  <c r="N54" i="11"/>
  <c r="M54" i="11"/>
  <c r="L54" i="11"/>
  <c r="K54" i="11"/>
  <c r="J54" i="11"/>
  <c r="H54" i="11"/>
  <c r="N53" i="11"/>
  <c r="M53" i="11"/>
  <c r="L53" i="11"/>
  <c r="K53" i="11"/>
  <c r="J53" i="11"/>
  <c r="H53" i="11"/>
  <c r="N52" i="11"/>
  <c r="M52" i="11"/>
  <c r="L52" i="11"/>
  <c r="K52" i="11"/>
  <c r="J52" i="11"/>
  <c r="H52" i="11"/>
  <c r="N51" i="11"/>
  <c r="M51" i="11"/>
  <c r="L51" i="11"/>
  <c r="K51" i="11"/>
  <c r="J51" i="11"/>
  <c r="H51" i="11"/>
  <c r="N50" i="11"/>
  <c r="M50" i="11"/>
  <c r="L50" i="11"/>
  <c r="K50" i="11"/>
  <c r="J50" i="11"/>
  <c r="H50" i="11"/>
  <c r="N49" i="11"/>
  <c r="M49" i="11"/>
  <c r="L49" i="11"/>
  <c r="K49" i="11"/>
  <c r="J49" i="11"/>
  <c r="H49" i="11"/>
  <c r="N48" i="11"/>
  <c r="M48" i="11"/>
  <c r="L48" i="11"/>
  <c r="K48" i="11"/>
  <c r="J48" i="11"/>
  <c r="H48" i="11"/>
  <c r="N47" i="11"/>
  <c r="M47" i="11"/>
  <c r="L47" i="11"/>
  <c r="K47" i="11"/>
  <c r="J47" i="11"/>
  <c r="H47" i="11"/>
  <c r="N46" i="11"/>
  <c r="M46" i="11"/>
  <c r="L46" i="11"/>
  <c r="K46" i="11"/>
  <c r="J46" i="11"/>
  <c r="H46" i="11"/>
  <c r="N45" i="11"/>
  <c r="M45" i="11"/>
  <c r="L45" i="11"/>
  <c r="K45" i="11"/>
  <c r="J45" i="11"/>
  <c r="H45" i="11"/>
  <c r="N44" i="11"/>
  <c r="M44" i="11"/>
  <c r="L44" i="11"/>
  <c r="K44" i="11"/>
  <c r="J44" i="11"/>
  <c r="H44" i="11"/>
  <c r="N43" i="11"/>
  <c r="M43" i="11"/>
  <c r="L43" i="11"/>
  <c r="K43" i="11"/>
  <c r="J43" i="11"/>
  <c r="H43" i="11"/>
  <c r="N42" i="11"/>
  <c r="M42" i="11"/>
  <c r="L42" i="11"/>
  <c r="K42" i="11"/>
  <c r="J42" i="11"/>
  <c r="H42" i="11"/>
  <c r="N41" i="11"/>
  <c r="M41" i="11"/>
  <c r="L41" i="11"/>
  <c r="K41" i="11"/>
  <c r="J41" i="11"/>
  <c r="H41" i="11"/>
  <c r="N40" i="11"/>
  <c r="M40" i="11"/>
  <c r="L40" i="11"/>
  <c r="K40" i="11"/>
  <c r="J40" i="11"/>
  <c r="H40" i="11"/>
  <c r="N39" i="11"/>
  <c r="M39" i="11"/>
  <c r="L39" i="11"/>
  <c r="K39" i="11"/>
  <c r="J39" i="11"/>
  <c r="H39" i="11"/>
  <c r="N38" i="11"/>
  <c r="M38" i="11"/>
  <c r="L38" i="11"/>
  <c r="K38" i="11"/>
  <c r="J38" i="11"/>
  <c r="H38" i="11"/>
  <c r="N37" i="11"/>
  <c r="M37" i="11"/>
  <c r="L37" i="11"/>
  <c r="K37" i="11"/>
  <c r="J37" i="11"/>
  <c r="H37" i="11"/>
  <c r="N36" i="11"/>
  <c r="M36" i="11"/>
  <c r="L36" i="11"/>
  <c r="K36" i="11"/>
  <c r="J36" i="11"/>
  <c r="H36" i="11"/>
  <c r="N35" i="11"/>
  <c r="M35" i="11"/>
  <c r="L35" i="11"/>
  <c r="K35" i="11"/>
  <c r="J35" i="11"/>
  <c r="H35" i="11"/>
  <c r="N34" i="11"/>
  <c r="M34" i="11"/>
  <c r="L34" i="11"/>
  <c r="K34" i="11"/>
  <c r="J34" i="11"/>
  <c r="H34" i="11"/>
  <c r="N33" i="11"/>
  <c r="M33" i="11"/>
  <c r="L33" i="11"/>
  <c r="K33" i="11"/>
  <c r="J33" i="11"/>
  <c r="H33" i="11"/>
  <c r="N32" i="11"/>
  <c r="M32" i="11"/>
  <c r="L32" i="11"/>
  <c r="K32" i="11"/>
  <c r="J32" i="11"/>
  <c r="H32" i="11"/>
  <c r="N31" i="11"/>
  <c r="M31" i="11"/>
  <c r="L31" i="11"/>
  <c r="K31" i="11"/>
  <c r="J31" i="11"/>
  <c r="H31" i="11"/>
  <c r="N30" i="11"/>
  <c r="M30" i="11"/>
  <c r="L30" i="11"/>
  <c r="K30" i="11"/>
  <c r="J30" i="11"/>
  <c r="H30" i="11"/>
  <c r="N29" i="11"/>
  <c r="M29" i="11"/>
  <c r="L29" i="11"/>
  <c r="K29" i="11"/>
  <c r="J29" i="11"/>
  <c r="H29" i="11"/>
  <c r="N28" i="11"/>
  <c r="M28" i="11"/>
  <c r="L28" i="11"/>
  <c r="K28" i="11"/>
  <c r="J28" i="11"/>
  <c r="H28" i="11"/>
  <c r="N27" i="11"/>
  <c r="M27" i="11"/>
  <c r="L27" i="11"/>
  <c r="K27" i="11"/>
  <c r="J27" i="11"/>
  <c r="H27" i="11"/>
  <c r="N26" i="11"/>
  <c r="M26" i="11"/>
  <c r="L26" i="11"/>
  <c r="K26" i="11"/>
  <c r="J26" i="11"/>
  <c r="H26" i="11"/>
  <c r="N25" i="11"/>
  <c r="M25" i="11"/>
  <c r="L25" i="11"/>
  <c r="K25" i="11"/>
  <c r="J25" i="11"/>
  <c r="H25" i="11"/>
  <c r="N24" i="11"/>
  <c r="M24" i="11"/>
  <c r="L24" i="11"/>
  <c r="K24" i="11"/>
  <c r="J24" i="11"/>
  <c r="H24" i="11"/>
  <c r="N23" i="11"/>
  <c r="M23" i="11"/>
  <c r="L23" i="11"/>
  <c r="K23" i="11"/>
  <c r="J23" i="11"/>
  <c r="H23" i="11"/>
  <c r="N22" i="11"/>
  <c r="M22" i="11"/>
  <c r="L22" i="11"/>
  <c r="K22" i="11"/>
  <c r="J22" i="11"/>
  <c r="H22" i="11"/>
  <c r="N21" i="11"/>
  <c r="M21" i="11"/>
  <c r="L21" i="11"/>
  <c r="K21" i="11"/>
  <c r="J21" i="11"/>
  <c r="H21" i="11"/>
  <c r="N20" i="11"/>
  <c r="M20" i="11"/>
  <c r="L20" i="11"/>
  <c r="K20" i="11"/>
  <c r="J20" i="11"/>
  <c r="H20" i="11"/>
  <c r="N19" i="11"/>
  <c r="M19" i="11"/>
  <c r="L19" i="11"/>
  <c r="K19" i="11"/>
  <c r="J19" i="11"/>
  <c r="H19" i="11"/>
  <c r="N18" i="11"/>
  <c r="M18" i="11"/>
  <c r="L18" i="11"/>
  <c r="K18" i="11"/>
  <c r="J18" i="11"/>
  <c r="H18" i="11"/>
  <c r="N17" i="11"/>
  <c r="M17" i="11"/>
  <c r="L17" i="11"/>
  <c r="K17" i="11"/>
  <c r="J17" i="11"/>
  <c r="H17" i="11"/>
  <c r="N16" i="11"/>
  <c r="M16" i="11"/>
  <c r="L16" i="11"/>
  <c r="K16" i="11"/>
  <c r="J16" i="11"/>
  <c r="H16" i="11"/>
  <c r="N15" i="11"/>
  <c r="M15" i="11"/>
  <c r="L15" i="11"/>
  <c r="K15" i="11"/>
  <c r="J15" i="11"/>
  <c r="H15" i="11"/>
  <c r="N14" i="11"/>
  <c r="M14" i="11"/>
  <c r="L14" i="11"/>
  <c r="K14" i="11"/>
  <c r="J14" i="11"/>
  <c r="H14" i="11"/>
  <c r="N13" i="11"/>
  <c r="M13" i="11"/>
  <c r="L13" i="11"/>
  <c r="K13" i="11"/>
  <c r="J13" i="11"/>
  <c r="H13" i="11"/>
  <c r="N12" i="11"/>
  <c r="M12" i="11"/>
  <c r="L12" i="11"/>
  <c r="K12" i="11"/>
  <c r="J12" i="11"/>
  <c r="H12" i="11"/>
  <c r="N11" i="11"/>
  <c r="M11" i="11"/>
  <c r="L11" i="11"/>
  <c r="K11" i="11"/>
  <c r="J11" i="11"/>
  <c r="H11" i="11"/>
  <c r="N10" i="11"/>
  <c r="M10" i="11"/>
  <c r="L10" i="11"/>
  <c r="K10" i="11"/>
  <c r="J10" i="11"/>
  <c r="H10" i="11"/>
  <c r="N9" i="11"/>
  <c r="M9" i="11"/>
  <c r="L9" i="11"/>
  <c r="K9" i="11"/>
  <c r="J9" i="11"/>
  <c r="H9" i="11"/>
  <c r="N8" i="11"/>
  <c r="M8" i="11"/>
  <c r="L8" i="11"/>
  <c r="K8" i="11"/>
  <c r="J8" i="11"/>
  <c r="H8" i="11"/>
  <c r="E7" i="16" s="1"/>
  <c r="N7" i="11"/>
  <c r="M7" i="11"/>
  <c r="L7" i="11"/>
  <c r="K7" i="11"/>
  <c r="J7" i="11"/>
  <c r="H7" i="11"/>
  <c r="N6" i="11"/>
  <c r="M6" i="11"/>
  <c r="L6" i="11"/>
  <c r="K6" i="11"/>
  <c r="J6" i="11"/>
  <c r="H6" i="11"/>
  <c r="N5" i="11"/>
  <c r="M5" i="11"/>
  <c r="L5" i="11"/>
  <c r="K5" i="11"/>
  <c r="J5" i="11"/>
  <c r="H5" i="11"/>
  <c r="N4" i="11"/>
  <c r="M4" i="11"/>
  <c r="L4" i="11"/>
  <c r="K4" i="11"/>
  <c r="J4" i="11"/>
  <c r="H4" i="11"/>
  <c r="N3" i="11"/>
  <c r="M3" i="11"/>
  <c r="L3" i="11"/>
  <c r="K3" i="11"/>
  <c r="J3" i="11"/>
  <c r="H3" i="11"/>
  <c r="H83" i="11" s="1"/>
  <c r="F46" i="10"/>
  <c r="E46" i="10"/>
  <c r="D46" i="10"/>
  <c r="C46" i="10"/>
  <c r="B46" i="10"/>
  <c r="F42" i="10"/>
  <c r="E42" i="10"/>
  <c r="D42" i="10"/>
  <c r="C42" i="10"/>
  <c r="B42" i="10"/>
  <c r="F41" i="10"/>
  <c r="E41" i="10"/>
  <c r="D41" i="10"/>
  <c r="C41" i="10"/>
  <c r="B41" i="10"/>
  <c r="F40" i="10"/>
  <c r="E40" i="10"/>
  <c r="D40" i="10"/>
  <c r="C40" i="10"/>
  <c r="B40" i="10"/>
  <c r="F39" i="10"/>
  <c r="E39" i="10"/>
  <c r="D39" i="10"/>
  <c r="C39" i="10"/>
  <c r="B39" i="10"/>
  <c r="F35" i="10"/>
  <c r="E35" i="10"/>
  <c r="D35" i="10"/>
  <c r="C35" i="10"/>
  <c r="B35" i="10"/>
  <c r="F34" i="10"/>
  <c r="E34" i="10"/>
  <c r="D34" i="10"/>
  <c r="C34" i="10"/>
  <c r="B34" i="10"/>
  <c r="F33" i="10"/>
  <c r="E33" i="10"/>
  <c r="D33" i="10"/>
  <c r="C33" i="10"/>
  <c r="B33" i="10"/>
  <c r="F32" i="10"/>
  <c r="E32" i="10"/>
  <c r="D32" i="10"/>
  <c r="C32" i="10"/>
  <c r="B32" i="10"/>
  <c r="E23" i="10"/>
  <c r="D23" i="10"/>
  <c r="C23" i="10"/>
  <c r="B23" i="10"/>
  <c r="E22" i="10"/>
  <c r="D22" i="10"/>
  <c r="C22" i="10"/>
  <c r="B22" i="10"/>
  <c r="E21" i="10"/>
  <c r="E25" i="10" s="1"/>
  <c r="D21" i="10"/>
  <c r="D25" i="10" s="1"/>
  <c r="C21" i="10"/>
  <c r="C25" i="10" s="1"/>
  <c r="B21" i="10"/>
  <c r="B25" i="10" s="1"/>
  <c r="E20" i="10"/>
  <c r="E24" i="10" s="1"/>
  <c r="D20" i="10"/>
  <c r="D24" i="10" s="1"/>
  <c r="C20" i="10"/>
  <c r="C24" i="10" s="1"/>
  <c r="B20" i="10"/>
  <c r="B24" i="10" s="1"/>
  <c r="E19" i="10"/>
  <c r="D19" i="10"/>
  <c r="C19" i="10"/>
  <c r="B19" i="10"/>
  <c r="F9" i="10"/>
  <c r="E9" i="10"/>
  <c r="D9" i="10"/>
  <c r="C9" i="10"/>
  <c r="B9" i="10"/>
  <c r="F7" i="10"/>
  <c r="F8" i="10" s="1"/>
  <c r="E7" i="10"/>
  <c r="E8" i="10" s="1"/>
  <c r="D7" i="10"/>
  <c r="D8" i="10" s="1"/>
  <c r="C7" i="10"/>
  <c r="C8" i="10" s="1"/>
  <c r="B7" i="10"/>
  <c r="B8" i="10" s="1"/>
  <c r="F5" i="10"/>
  <c r="E5" i="10"/>
  <c r="D5" i="10"/>
  <c r="C5" i="10"/>
  <c r="B5" i="10"/>
  <c r="P98" i="9"/>
  <c r="L98" i="9"/>
  <c r="H98" i="9"/>
  <c r="D98" i="9"/>
  <c r="O6" i="9"/>
  <c r="E18" i="10" s="1"/>
  <c r="K6" i="9"/>
  <c r="D18" i="10" s="1"/>
  <c r="G6" i="9"/>
  <c r="C18" i="10" s="1"/>
  <c r="C6" i="9"/>
  <c r="B18" i="10" s="1"/>
  <c r="O5" i="9"/>
  <c r="E17" i="10" s="1"/>
  <c r="K5" i="9"/>
  <c r="D17" i="10" s="1"/>
  <c r="G5" i="9"/>
  <c r="C17" i="10" s="1"/>
  <c r="C5" i="9"/>
  <c r="B17" i="10" s="1"/>
  <c r="O4" i="9"/>
  <c r="K4" i="9"/>
  <c r="G4" i="9"/>
  <c r="C4" i="9"/>
  <c r="H401" i="8"/>
  <c r="G401" i="8"/>
  <c r="F401" i="8"/>
  <c r="E401" i="8"/>
  <c r="D401" i="8"/>
  <c r="C401" i="8"/>
  <c r="B401" i="8"/>
  <c r="A401" i="8"/>
  <c r="H400" i="8"/>
  <c r="G400" i="8"/>
  <c r="F400" i="8"/>
  <c r="E400" i="8"/>
  <c r="D400" i="8"/>
  <c r="C400" i="8"/>
  <c r="B400" i="8"/>
  <c r="A400" i="8"/>
  <c r="H399" i="8"/>
  <c r="G399" i="8"/>
  <c r="F399" i="8"/>
  <c r="E399" i="8"/>
  <c r="D399" i="8"/>
  <c r="C399" i="8"/>
  <c r="B399" i="8"/>
  <c r="A399" i="8"/>
  <c r="H398" i="8"/>
  <c r="G398" i="8"/>
  <c r="F398" i="8"/>
  <c r="E398" i="8"/>
  <c r="D398" i="8"/>
  <c r="C398" i="8"/>
  <c r="B398" i="8"/>
  <c r="A398" i="8"/>
  <c r="H397" i="8"/>
  <c r="G397" i="8"/>
  <c r="F397" i="8"/>
  <c r="E397" i="8"/>
  <c r="D397" i="8"/>
  <c r="C397" i="8"/>
  <c r="B397" i="8"/>
  <c r="A397" i="8"/>
  <c r="H396" i="8"/>
  <c r="G396" i="8"/>
  <c r="F396" i="8"/>
  <c r="E396" i="8"/>
  <c r="D396" i="8"/>
  <c r="C396" i="8"/>
  <c r="B396" i="8"/>
  <c r="A396" i="8"/>
  <c r="H395" i="8"/>
  <c r="G395" i="8"/>
  <c r="F395" i="8"/>
  <c r="E395" i="8"/>
  <c r="D395" i="8"/>
  <c r="C395" i="8"/>
  <c r="B395" i="8"/>
  <c r="A395" i="8"/>
  <c r="H394" i="8"/>
  <c r="G394" i="8"/>
  <c r="F394" i="8"/>
  <c r="E394" i="8"/>
  <c r="D394" i="8"/>
  <c r="C394" i="8"/>
  <c r="B394" i="8"/>
  <c r="A394" i="8"/>
  <c r="H393" i="8"/>
  <c r="G393" i="8"/>
  <c r="F393" i="8"/>
  <c r="E393" i="8"/>
  <c r="D393" i="8"/>
  <c r="C393" i="8"/>
  <c r="B393" i="8"/>
  <c r="A393" i="8"/>
  <c r="H392" i="8"/>
  <c r="G392" i="8"/>
  <c r="F392" i="8"/>
  <c r="E392" i="8"/>
  <c r="D392" i="8"/>
  <c r="C392" i="8"/>
  <c r="B392" i="8"/>
  <c r="A392" i="8"/>
  <c r="H391" i="8"/>
  <c r="G391" i="8"/>
  <c r="F391" i="8"/>
  <c r="E391" i="8"/>
  <c r="D391" i="8"/>
  <c r="C391" i="8"/>
  <c r="B391" i="8"/>
  <c r="A391" i="8"/>
  <c r="H390" i="8"/>
  <c r="G390" i="8"/>
  <c r="F390" i="8"/>
  <c r="E390" i="8"/>
  <c r="D390" i="8"/>
  <c r="C390" i="8"/>
  <c r="B390" i="8"/>
  <c r="A390" i="8"/>
  <c r="H389" i="8"/>
  <c r="G389" i="8"/>
  <c r="F389" i="8"/>
  <c r="E389" i="8"/>
  <c r="D389" i="8"/>
  <c r="C389" i="8"/>
  <c r="B389" i="8"/>
  <c r="A389" i="8"/>
  <c r="H388" i="8"/>
  <c r="G388" i="8"/>
  <c r="F388" i="8"/>
  <c r="E388" i="8"/>
  <c r="D388" i="8"/>
  <c r="C388" i="8"/>
  <c r="B388" i="8"/>
  <c r="A388" i="8"/>
  <c r="H387" i="8"/>
  <c r="G387" i="8"/>
  <c r="F387" i="8"/>
  <c r="E387" i="8"/>
  <c r="D387" i="8"/>
  <c r="C387" i="8"/>
  <c r="B387" i="8"/>
  <c r="A387" i="8"/>
  <c r="H386" i="8"/>
  <c r="G386" i="8"/>
  <c r="F386" i="8"/>
  <c r="E386" i="8"/>
  <c r="D386" i="8"/>
  <c r="C386" i="8"/>
  <c r="B386" i="8"/>
  <c r="A386" i="8"/>
  <c r="H385" i="8"/>
  <c r="G385" i="8"/>
  <c r="F385" i="8"/>
  <c r="E385" i="8"/>
  <c r="D385" i="8"/>
  <c r="C385" i="8"/>
  <c r="B385" i="8"/>
  <c r="A385" i="8"/>
  <c r="H384" i="8"/>
  <c r="G384" i="8"/>
  <c r="F384" i="8"/>
  <c r="E384" i="8"/>
  <c r="D384" i="8"/>
  <c r="C384" i="8"/>
  <c r="B384" i="8"/>
  <c r="A384" i="8"/>
  <c r="H383" i="8"/>
  <c r="G383" i="8"/>
  <c r="F383" i="8"/>
  <c r="E383" i="8"/>
  <c r="D383" i="8"/>
  <c r="C383" i="8"/>
  <c r="B383" i="8"/>
  <c r="A383" i="8"/>
  <c r="H382" i="8"/>
  <c r="G382" i="8"/>
  <c r="F382" i="8"/>
  <c r="E382" i="8"/>
  <c r="D382" i="8"/>
  <c r="C382" i="8"/>
  <c r="B382" i="8"/>
  <c r="A382" i="8"/>
  <c r="H381" i="8"/>
  <c r="G381" i="8"/>
  <c r="F381" i="8"/>
  <c r="E381" i="8"/>
  <c r="D381" i="8"/>
  <c r="C381" i="8"/>
  <c r="B381" i="8"/>
  <c r="A381" i="8"/>
  <c r="H380" i="8"/>
  <c r="G380" i="8"/>
  <c r="F380" i="8"/>
  <c r="E380" i="8"/>
  <c r="D380" i="8"/>
  <c r="C380" i="8"/>
  <c r="B380" i="8"/>
  <c r="A380" i="8"/>
  <c r="H379" i="8"/>
  <c r="G379" i="8"/>
  <c r="F379" i="8"/>
  <c r="E379" i="8"/>
  <c r="D379" i="8"/>
  <c r="C379" i="8"/>
  <c r="B379" i="8"/>
  <c r="A379" i="8"/>
  <c r="H378" i="8"/>
  <c r="G378" i="8"/>
  <c r="F378" i="8"/>
  <c r="E378" i="8"/>
  <c r="D378" i="8"/>
  <c r="C378" i="8"/>
  <c r="B378" i="8"/>
  <c r="A378" i="8"/>
  <c r="H377" i="8"/>
  <c r="G377" i="8"/>
  <c r="F377" i="8"/>
  <c r="E377" i="8"/>
  <c r="D377" i="8"/>
  <c r="C377" i="8"/>
  <c r="B377" i="8"/>
  <c r="A377" i="8"/>
  <c r="H376" i="8"/>
  <c r="G376" i="8"/>
  <c r="F376" i="8"/>
  <c r="E376" i="8"/>
  <c r="D376" i="8"/>
  <c r="C376" i="8"/>
  <c r="B376" i="8"/>
  <c r="A376" i="8"/>
  <c r="H375" i="8"/>
  <c r="G375" i="8"/>
  <c r="F375" i="8"/>
  <c r="E375" i="8"/>
  <c r="D375" i="8"/>
  <c r="C375" i="8"/>
  <c r="B375" i="8"/>
  <c r="A375" i="8"/>
  <c r="H374" i="8"/>
  <c r="G374" i="8"/>
  <c r="F374" i="8"/>
  <c r="E374" i="8"/>
  <c r="D374" i="8"/>
  <c r="C374" i="8"/>
  <c r="B374" i="8"/>
  <c r="A374" i="8"/>
  <c r="H373" i="8"/>
  <c r="G373" i="8"/>
  <c r="F373" i="8"/>
  <c r="E373" i="8"/>
  <c r="D373" i="8"/>
  <c r="C373" i="8"/>
  <c r="B373" i="8"/>
  <c r="A373" i="8"/>
  <c r="H372" i="8"/>
  <c r="G372" i="8"/>
  <c r="F372" i="8"/>
  <c r="E372" i="8"/>
  <c r="D372" i="8"/>
  <c r="C372" i="8"/>
  <c r="B372" i="8"/>
  <c r="A372" i="8"/>
  <c r="H371" i="8"/>
  <c r="G371" i="8"/>
  <c r="F371" i="8"/>
  <c r="E371" i="8"/>
  <c r="D371" i="8"/>
  <c r="C371" i="8"/>
  <c r="B371" i="8"/>
  <c r="A371" i="8"/>
  <c r="H370" i="8"/>
  <c r="G370" i="8"/>
  <c r="F370" i="8"/>
  <c r="E370" i="8"/>
  <c r="D370" i="8"/>
  <c r="C370" i="8"/>
  <c r="B370" i="8"/>
  <c r="A370" i="8"/>
  <c r="H369" i="8"/>
  <c r="G369" i="8"/>
  <c r="F369" i="8"/>
  <c r="E369" i="8"/>
  <c r="D369" i="8"/>
  <c r="C369" i="8"/>
  <c r="B369" i="8"/>
  <c r="A369" i="8"/>
  <c r="H368" i="8"/>
  <c r="G368" i="8"/>
  <c r="F368" i="8"/>
  <c r="E368" i="8"/>
  <c r="D368" i="8"/>
  <c r="C368" i="8"/>
  <c r="B368" i="8"/>
  <c r="A368" i="8"/>
  <c r="H367" i="8"/>
  <c r="G367" i="8"/>
  <c r="F367" i="8"/>
  <c r="E367" i="8"/>
  <c r="D367" i="8"/>
  <c r="C367" i="8"/>
  <c r="B367" i="8"/>
  <c r="A367" i="8"/>
  <c r="H366" i="8"/>
  <c r="G366" i="8"/>
  <c r="F366" i="8"/>
  <c r="E366" i="8"/>
  <c r="D366" i="8"/>
  <c r="C366" i="8"/>
  <c r="B366" i="8"/>
  <c r="A366" i="8"/>
  <c r="H365" i="8"/>
  <c r="G365" i="8"/>
  <c r="F365" i="8"/>
  <c r="E365" i="8"/>
  <c r="D365" i="8"/>
  <c r="C365" i="8"/>
  <c r="B365" i="8"/>
  <c r="A365" i="8"/>
  <c r="H364" i="8"/>
  <c r="G364" i="8"/>
  <c r="F364" i="8"/>
  <c r="E364" i="8"/>
  <c r="D364" i="8"/>
  <c r="C364" i="8"/>
  <c r="B364" i="8"/>
  <c r="A364" i="8"/>
  <c r="H363" i="8"/>
  <c r="G363" i="8"/>
  <c r="F363" i="8"/>
  <c r="E363" i="8"/>
  <c r="D363" i="8"/>
  <c r="C363" i="8"/>
  <c r="B363" i="8"/>
  <c r="A363" i="8"/>
  <c r="H362" i="8"/>
  <c r="G362" i="8"/>
  <c r="F362" i="8"/>
  <c r="E362" i="8"/>
  <c r="D362" i="8"/>
  <c r="C362" i="8"/>
  <c r="B362" i="8"/>
  <c r="A362" i="8"/>
  <c r="H361" i="8"/>
  <c r="G361" i="8"/>
  <c r="F361" i="8"/>
  <c r="E361" i="8"/>
  <c r="D361" i="8"/>
  <c r="C361" i="8"/>
  <c r="B361" i="8"/>
  <c r="A361" i="8"/>
  <c r="H360" i="8"/>
  <c r="G360" i="8"/>
  <c r="F360" i="8"/>
  <c r="E360" i="8"/>
  <c r="D360" i="8"/>
  <c r="C360" i="8"/>
  <c r="B360" i="8"/>
  <c r="A360" i="8"/>
  <c r="H359" i="8"/>
  <c r="G359" i="8"/>
  <c r="F359" i="8"/>
  <c r="E359" i="8"/>
  <c r="D359" i="8"/>
  <c r="C359" i="8"/>
  <c r="B359" i="8"/>
  <c r="A359" i="8"/>
  <c r="H358" i="8"/>
  <c r="G358" i="8"/>
  <c r="F358" i="8"/>
  <c r="E358" i="8"/>
  <c r="D358" i="8"/>
  <c r="C358" i="8"/>
  <c r="B358" i="8"/>
  <c r="A358" i="8"/>
  <c r="H357" i="8"/>
  <c r="G357" i="8"/>
  <c r="F357" i="8"/>
  <c r="E357" i="8"/>
  <c r="D357" i="8"/>
  <c r="C357" i="8"/>
  <c r="B357" i="8"/>
  <c r="A357" i="8"/>
  <c r="H356" i="8"/>
  <c r="G356" i="8"/>
  <c r="F356" i="8"/>
  <c r="E356" i="8"/>
  <c r="D356" i="8"/>
  <c r="C356" i="8"/>
  <c r="B356" i="8"/>
  <c r="A356" i="8"/>
  <c r="H355" i="8"/>
  <c r="G355" i="8"/>
  <c r="F355" i="8"/>
  <c r="E355" i="8"/>
  <c r="D355" i="8"/>
  <c r="C355" i="8"/>
  <c r="B355" i="8"/>
  <c r="A355" i="8"/>
  <c r="H354" i="8"/>
  <c r="G354" i="8"/>
  <c r="F354" i="8"/>
  <c r="E354" i="8"/>
  <c r="D354" i="8"/>
  <c r="C354" i="8"/>
  <c r="B354" i="8"/>
  <c r="A354" i="8"/>
  <c r="H353" i="8"/>
  <c r="G353" i="8"/>
  <c r="F353" i="8"/>
  <c r="E353" i="8"/>
  <c r="D353" i="8"/>
  <c r="C353" i="8"/>
  <c r="B353" i="8"/>
  <c r="A353" i="8"/>
  <c r="H352" i="8"/>
  <c r="G352" i="8"/>
  <c r="F352" i="8"/>
  <c r="E352" i="8"/>
  <c r="D352" i="8"/>
  <c r="C352" i="8"/>
  <c r="B352" i="8"/>
  <c r="A352" i="8"/>
  <c r="H351" i="8"/>
  <c r="G351" i="8"/>
  <c r="F351" i="8"/>
  <c r="E351" i="8"/>
  <c r="D351" i="8"/>
  <c r="C351" i="8"/>
  <c r="B351" i="8"/>
  <c r="A351" i="8"/>
  <c r="H350" i="8"/>
  <c r="G350" i="8"/>
  <c r="F350" i="8"/>
  <c r="E350" i="8"/>
  <c r="D350" i="8"/>
  <c r="C350" i="8"/>
  <c r="B350" i="8"/>
  <c r="A350" i="8"/>
  <c r="H349" i="8"/>
  <c r="G349" i="8"/>
  <c r="F349" i="8"/>
  <c r="E349" i="8"/>
  <c r="D349" i="8"/>
  <c r="C349" i="8"/>
  <c r="B349" i="8"/>
  <c r="A349" i="8"/>
  <c r="H348" i="8"/>
  <c r="G348" i="8"/>
  <c r="F348" i="8"/>
  <c r="E348" i="8"/>
  <c r="D348" i="8"/>
  <c r="C348" i="8"/>
  <c r="B348" i="8"/>
  <c r="A348" i="8"/>
  <c r="H347" i="8"/>
  <c r="G347" i="8"/>
  <c r="F347" i="8"/>
  <c r="E347" i="8"/>
  <c r="D347" i="8"/>
  <c r="C347" i="8"/>
  <c r="B347" i="8"/>
  <c r="A347" i="8"/>
  <c r="H346" i="8"/>
  <c r="G346" i="8"/>
  <c r="F346" i="8"/>
  <c r="E346" i="8"/>
  <c r="D346" i="8"/>
  <c r="C346" i="8"/>
  <c r="B346" i="8"/>
  <c r="A346" i="8"/>
  <c r="H345" i="8"/>
  <c r="G345" i="8"/>
  <c r="F345" i="8"/>
  <c r="E345" i="8"/>
  <c r="D345" i="8"/>
  <c r="C345" i="8"/>
  <c r="B345" i="8"/>
  <c r="A345" i="8"/>
  <c r="H344" i="8"/>
  <c r="G344" i="8"/>
  <c r="F344" i="8"/>
  <c r="E344" i="8"/>
  <c r="D344" i="8"/>
  <c r="C344" i="8"/>
  <c r="B344" i="8"/>
  <c r="A344" i="8"/>
  <c r="H343" i="8"/>
  <c r="G343" i="8"/>
  <c r="F343" i="8"/>
  <c r="E343" i="8"/>
  <c r="D343" i="8"/>
  <c r="C343" i="8"/>
  <c r="B343" i="8"/>
  <c r="A343" i="8"/>
  <c r="H342" i="8"/>
  <c r="G342" i="8"/>
  <c r="F342" i="8"/>
  <c r="E342" i="8"/>
  <c r="D342" i="8"/>
  <c r="C342" i="8"/>
  <c r="B342" i="8"/>
  <c r="A342" i="8"/>
  <c r="H341" i="8"/>
  <c r="G341" i="8"/>
  <c r="F341" i="8"/>
  <c r="E341" i="8"/>
  <c r="D341" i="8"/>
  <c r="C341" i="8"/>
  <c r="B341" i="8"/>
  <c r="A341" i="8"/>
  <c r="H340" i="8"/>
  <c r="G340" i="8"/>
  <c r="F340" i="8"/>
  <c r="E340" i="8"/>
  <c r="D340" i="8"/>
  <c r="C340" i="8"/>
  <c r="B340" i="8"/>
  <c r="A340" i="8"/>
  <c r="H339" i="8"/>
  <c r="G339" i="8"/>
  <c r="F339" i="8"/>
  <c r="E339" i="8"/>
  <c r="D339" i="8"/>
  <c r="C339" i="8"/>
  <c r="B339" i="8"/>
  <c r="A339" i="8"/>
  <c r="H338" i="8"/>
  <c r="G338" i="8"/>
  <c r="F338" i="8"/>
  <c r="E338" i="8"/>
  <c r="D338" i="8"/>
  <c r="C338" i="8"/>
  <c r="B338" i="8"/>
  <c r="A338" i="8"/>
  <c r="H337" i="8"/>
  <c r="G337" i="8"/>
  <c r="F337" i="8"/>
  <c r="E337" i="8"/>
  <c r="D337" i="8"/>
  <c r="C337" i="8"/>
  <c r="B337" i="8"/>
  <c r="A337" i="8"/>
  <c r="H336" i="8"/>
  <c r="G336" i="8"/>
  <c r="F336" i="8"/>
  <c r="E336" i="8"/>
  <c r="D336" i="8"/>
  <c r="C336" i="8"/>
  <c r="B336" i="8"/>
  <c r="A336" i="8"/>
  <c r="H335" i="8"/>
  <c r="G335" i="8"/>
  <c r="F335" i="8"/>
  <c r="E335" i="8"/>
  <c r="D335" i="8"/>
  <c r="C335" i="8"/>
  <c r="B335" i="8"/>
  <c r="A335" i="8"/>
  <c r="H334" i="8"/>
  <c r="G334" i="8"/>
  <c r="F334" i="8"/>
  <c r="E334" i="8"/>
  <c r="D334" i="8"/>
  <c r="C334" i="8"/>
  <c r="B334" i="8"/>
  <c r="A334" i="8"/>
  <c r="H333" i="8"/>
  <c r="G333" i="8"/>
  <c r="F333" i="8"/>
  <c r="E333" i="8"/>
  <c r="D333" i="8"/>
  <c r="C333" i="8"/>
  <c r="B333" i="8"/>
  <c r="A333" i="8"/>
  <c r="H332" i="8"/>
  <c r="G332" i="8"/>
  <c r="F332" i="8"/>
  <c r="E332" i="8"/>
  <c r="D332" i="8"/>
  <c r="C332" i="8"/>
  <c r="B332" i="8"/>
  <c r="A332" i="8"/>
  <c r="H331" i="8"/>
  <c r="G331" i="8"/>
  <c r="F331" i="8"/>
  <c r="E331" i="8"/>
  <c r="D331" i="8"/>
  <c r="C331" i="8"/>
  <c r="B331" i="8"/>
  <c r="A331" i="8"/>
  <c r="H330" i="8"/>
  <c r="G330" i="8"/>
  <c r="F330" i="8"/>
  <c r="E330" i="8"/>
  <c r="D330" i="8"/>
  <c r="C330" i="8"/>
  <c r="B330" i="8"/>
  <c r="A330" i="8"/>
  <c r="H329" i="8"/>
  <c r="G329" i="8"/>
  <c r="F329" i="8"/>
  <c r="E329" i="8"/>
  <c r="D329" i="8"/>
  <c r="C329" i="8"/>
  <c r="B329" i="8"/>
  <c r="A329" i="8"/>
  <c r="H328" i="8"/>
  <c r="G328" i="8"/>
  <c r="F328" i="8"/>
  <c r="E328" i="8"/>
  <c r="D328" i="8"/>
  <c r="C328" i="8"/>
  <c r="B328" i="8"/>
  <c r="A328" i="8"/>
  <c r="H327" i="8"/>
  <c r="G327" i="8"/>
  <c r="F327" i="8"/>
  <c r="E327" i="8"/>
  <c r="D327" i="8"/>
  <c r="C327" i="8"/>
  <c r="B327" i="8"/>
  <c r="A327" i="8"/>
  <c r="H326" i="8"/>
  <c r="G326" i="8"/>
  <c r="F326" i="8"/>
  <c r="E326" i="8"/>
  <c r="D326" i="8"/>
  <c r="C326" i="8"/>
  <c r="B326" i="8"/>
  <c r="A326" i="8"/>
  <c r="H325" i="8"/>
  <c r="G325" i="8"/>
  <c r="F325" i="8"/>
  <c r="E325" i="8"/>
  <c r="D325" i="8"/>
  <c r="C325" i="8"/>
  <c r="B325" i="8"/>
  <c r="A325" i="8"/>
  <c r="H324" i="8"/>
  <c r="G324" i="8"/>
  <c r="F324" i="8"/>
  <c r="E324" i="8"/>
  <c r="D324" i="8"/>
  <c r="C324" i="8"/>
  <c r="B324" i="8"/>
  <c r="A324" i="8"/>
  <c r="H323" i="8"/>
  <c r="G323" i="8"/>
  <c r="F323" i="8"/>
  <c r="E323" i="8"/>
  <c r="D323" i="8"/>
  <c r="C323" i="8"/>
  <c r="B323" i="8"/>
  <c r="A323" i="8"/>
  <c r="H322" i="8"/>
  <c r="G322" i="8"/>
  <c r="F322" i="8"/>
  <c r="D322" i="8"/>
  <c r="C322" i="8"/>
  <c r="B322" i="8"/>
  <c r="A322" i="8"/>
  <c r="H321" i="8"/>
  <c r="G321" i="8"/>
  <c r="F321" i="8"/>
  <c r="E321" i="8"/>
  <c r="D321" i="8"/>
  <c r="C321" i="8"/>
  <c r="B321" i="8"/>
  <c r="A321" i="8"/>
  <c r="H320" i="8"/>
  <c r="G320" i="8"/>
  <c r="F320" i="8"/>
  <c r="E320" i="8"/>
  <c r="D320" i="8"/>
  <c r="C320" i="8"/>
  <c r="B320" i="8"/>
  <c r="A320" i="8"/>
  <c r="H319" i="8"/>
  <c r="G319" i="8"/>
  <c r="F319" i="8"/>
  <c r="E319" i="8"/>
  <c r="D319" i="8"/>
  <c r="C319" i="8"/>
  <c r="B319" i="8"/>
  <c r="A319" i="8"/>
  <c r="H318" i="8"/>
  <c r="G318" i="8"/>
  <c r="F318" i="8"/>
  <c r="E318" i="8"/>
  <c r="D318" i="8"/>
  <c r="C318" i="8"/>
  <c r="B318" i="8"/>
  <c r="A318" i="8"/>
  <c r="H317" i="8"/>
  <c r="G317" i="8"/>
  <c r="F317" i="8"/>
  <c r="E317" i="8"/>
  <c r="D317" i="8"/>
  <c r="C317" i="8"/>
  <c r="B317" i="8"/>
  <c r="A317" i="8"/>
  <c r="H316" i="8"/>
  <c r="G316" i="8"/>
  <c r="F316" i="8"/>
  <c r="E316" i="8"/>
  <c r="D316" i="8"/>
  <c r="C316" i="8"/>
  <c r="B316" i="8"/>
  <c r="A316" i="8"/>
  <c r="H315" i="8"/>
  <c r="G315" i="8"/>
  <c r="F315" i="8"/>
  <c r="E315" i="8"/>
  <c r="D315" i="8"/>
  <c r="C315" i="8"/>
  <c r="B315" i="8"/>
  <c r="A315" i="8"/>
  <c r="H314" i="8"/>
  <c r="G314" i="8"/>
  <c r="F314" i="8"/>
  <c r="E314" i="8"/>
  <c r="D314" i="8"/>
  <c r="C314" i="8"/>
  <c r="B314" i="8"/>
  <c r="A314" i="8"/>
  <c r="H313" i="8"/>
  <c r="G313" i="8"/>
  <c r="F313" i="8"/>
  <c r="E313" i="8"/>
  <c r="D313" i="8"/>
  <c r="C313" i="8"/>
  <c r="B313" i="8"/>
  <c r="A313" i="8"/>
  <c r="H312" i="8"/>
  <c r="G312" i="8"/>
  <c r="F312" i="8"/>
  <c r="E312" i="8"/>
  <c r="D312" i="8"/>
  <c r="C312" i="8"/>
  <c r="B312" i="8"/>
  <c r="A312" i="8"/>
  <c r="H311" i="8"/>
  <c r="G311" i="8"/>
  <c r="F311" i="8"/>
  <c r="E311" i="8"/>
  <c r="D311" i="8"/>
  <c r="C311" i="8"/>
  <c r="B311" i="8"/>
  <c r="A311" i="8"/>
  <c r="H310" i="8"/>
  <c r="G310" i="8"/>
  <c r="F310" i="8"/>
  <c r="E310" i="8"/>
  <c r="D310" i="8"/>
  <c r="C310" i="8"/>
  <c r="B310" i="8"/>
  <c r="A310" i="8"/>
  <c r="H309" i="8"/>
  <c r="G309" i="8"/>
  <c r="F309" i="8"/>
  <c r="E309" i="8"/>
  <c r="D309" i="8"/>
  <c r="C309" i="8"/>
  <c r="B309" i="8"/>
  <c r="A309" i="8"/>
  <c r="H308" i="8"/>
  <c r="G308" i="8"/>
  <c r="F308" i="8"/>
  <c r="E308" i="8"/>
  <c r="D308" i="8"/>
  <c r="C308" i="8"/>
  <c r="B308" i="8"/>
  <c r="A308" i="8"/>
  <c r="H307" i="8"/>
  <c r="G307" i="8"/>
  <c r="F307" i="8"/>
  <c r="E307" i="8"/>
  <c r="D307" i="8"/>
  <c r="C307" i="8"/>
  <c r="B307" i="8"/>
  <c r="A307" i="8"/>
  <c r="H306" i="8"/>
  <c r="G306" i="8"/>
  <c r="F306" i="8"/>
  <c r="E306" i="8"/>
  <c r="D306" i="8"/>
  <c r="C306" i="8"/>
  <c r="B306" i="8"/>
  <c r="A306" i="8"/>
  <c r="H305" i="8"/>
  <c r="G305" i="8"/>
  <c r="F305" i="8"/>
  <c r="E305" i="8"/>
  <c r="D305" i="8"/>
  <c r="C305" i="8"/>
  <c r="B305" i="8"/>
  <c r="A305" i="8"/>
  <c r="H304" i="8"/>
  <c r="G304" i="8"/>
  <c r="F304" i="8"/>
  <c r="E304" i="8"/>
  <c r="D304" i="8"/>
  <c r="C304" i="8"/>
  <c r="B304" i="8"/>
  <c r="A304" i="8"/>
  <c r="H303" i="8"/>
  <c r="G303" i="8"/>
  <c r="F303" i="8"/>
  <c r="E303" i="8"/>
  <c r="D303" i="8"/>
  <c r="C303" i="8"/>
  <c r="B303" i="8"/>
  <c r="A303" i="8"/>
  <c r="H302" i="8"/>
  <c r="G302" i="8"/>
  <c r="F302" i="8"/>
  <c r="E302" i="8"/>
  <c r="D302" i="8"/>
  <c r="C302" i="8"/>
  <c r="B302" i="8"/>
  <c r="A302" i="8"/>
  <c r="H301" i="8"/>
  <c r="G301" i="8"/>
  <c r="F301" i="8"/>
  <c r="E301" i="8"/>
  <c r="D301" i="8"/>
  <c r="C301" i="8"/>
  <c r="B301" i="8"/>
  <c r="A301" i="8"/>
  <c r="H300" i="8"/>
  <c r="G300" i="8"/>
  <c r="F300" i="8"/>
  <c r="E300" i="8"/>
  <c r="D300" i="8"/>
  <c r="C300" i="8"/>
  <c r="B300" i="8"/>
  <c r="A300" i="8"/>
  <c r="H299" i="8"/>
  <c r="G299" i="8"/>
  <c r="F299" i="8"/>
  <c r="E299" i="8"/>
  <c r="D299" i="8"/>
  <c r="C299" i="8"/>
  <c r="B299" i="8"/>
  <c r="A299" i="8"/>
  <c r="H298" i="8"/>
  <c r="G298" i="8"/>
  <c r="F298" i="8"/>
  <c r="E298" i="8"/>
  <c r="D298" i="8"/>
  <c r="C298" i="8"/>
  <c r="B298" i="8"/>
  <c r="A298" i="8"/>
  <c r="H297" i="8"/>
  <c r="G297" i="8"/>
  <c r="F297" i="8"/>
  <c r="E297" i="8"/>
  <c r="D297" i="8"/>
  <c r="C297" i="8"/>
  <c r="B297" i="8"/>
  <c r="A297" i="8"/>
  <c r="H296" i="8"/>
  <c r="G296" i="8"/>
  <c r="F296" i="8"/>
  <c r="E296" i="8"/>
  <c r="D296" i="8"/>
  <c r="C296" i="8"/>
  <c r="B296" i="8"/>
  <c r="A296" i="8"/>
  <c r="H295" i="8"/>
  <c r="G295" i="8"/>
  <c r="F295" i="8"/>
  <c r="E295" i="8"/>
  <c r="D295" i="8"/>
  <c r="C295" i="8"/>
  <c r="B295" i="8"/>
  <c r="A295" i="8"/>
  <c r="H294" i="8"/>
  <c r="G294" i="8"/>
  <c r="F294" i="8"/>
  <c r="E294" i="8"/>
  <c r="D294" i="8"/>
  <c r="C294" i="8"/>
  <c r="B294" i="8"/>
  <c r="A294" i="8"/>
  <c r="H293" i="8"/>
  <c r="G293" i="8"/>
  <c r="F293" i="8"/>
  <c r="E293" i="8"/>
  <c r="D293" i="8"/>
  <c r="C293" i="8"/>
  <c r="B293" i="8"/>
  <c r="A293" i="8"/>
  <c r="H292" i="8"/>
  <c r="G292" i="8"/>
  <c r="F292" i="8"/>
  <c r="E292" i="8"/>
  <c r="D292" i="8"/>
  <c r="C292" i="8"/>
  <c r="B292" i="8"/>
  <c r="A292" i="8"/>
  <c r="H291" i="8"/>
  <c r="G291" i="8"/>
  <c r="F291" i="8"/>
  <c r="E291" i="8"/>
  <c r="D291" i="8"/>
  <c r="C291" i="8"/>
  <c r="B291" i="8"/>
  <c r="A291" i="8"/>
  <c r="H290" i="8"/>
  <c r="G290" i="8"/>
  <c r="F290" i="8"/>
  <c r="E290" i="8"/>
  <c r="D290" i="8"/>
  <c r="C290" i="8"/>
  <c r="B290" i="8"/>
  <c r="A290" i="8"/>
  <c r="H289" i="8"/>
  <c r="G289" i="8"/>
  <c r="F289" i="8"/>
  <c r="E289" i="8"/>
  <c r="D289" i="8"/>
  <c r="C289" i="8"/>
  <c r="B289" i="8"/>
  <c r="A289" i="8"/>
  <c r="H288" i="8"/>
  <c r="G288" i="8"/>
  <c r="F288" i="8"/>
  <c r="E288" i="8"/>
  <c r="D288" i="8"/>
  <c r="C288" i="8"/>
  <c r="B288" i="8"/>
  <c r="A288" i="8"/>
  <c r="H287" i="8"/>
  <c r="G287" i="8"/>
  <c r="F287" i="8"/>
  <c r="E287" i="8"/>
  <c r="D287" i="8"/>
  <c r="C287" i="8"/>
  <c r="B287" i="8"/>
  <c r="A287" i="8"/>
  <c r="H286" i="8"/>
  <c r="G286" i="8"/>
  <c r="F286" i="8"/>
  <c r="E286" i="8"/>
  <c r="D286" i="8"/>
  <c r="C286" i="8"/>
  <c r="B286" i="8"/>
  <c r="A286" i="8"/>
  <c r="H285" i="8"/>
  <c r="G285" i="8"/>
  <c r="F285" i="8"/>
  <c r="E285" i="8"/>
  <c r="D285" i="8"/>
  <c r="C285" i="8"/>
  <c r="B285" i="8"/>
  <c r="A285" i="8"/>
  <c r="H284" i="8"/>
  <c r="G284" i="8"/>
  <c r="F284" i="8"/>
  <c r="E284" i="8"/>
  <c r="D284" i="8"/>
  <c r="C284" i="8"/>
  <c r="B284" i="8"/>
  <c r="A284" i="8"/>
  <c r="H283" i="8"/>
  <c r="G283" i="8"/>
  <c r="F283" i="8"/>
  <c r="E283" i="8"/>
  <c r="D283" i="8"/>
  <c r="C283" i="8"/>
  <c r="B283" i="8"/>
  <c r="A283" i="8"/>
  <c r="H282" i="8"/>
  <c r="G282" i="8"/>
  <c r="F282" i="8"/>
  <c r="E282" i="8"/>
  <c r="D282" i="8"/>
  <c r="C282" i="8"/>
  <c r="B282" i="8"/>
  <c r="A282" i="8"/>
  <c r="H281" i="8"/>
  <c r="G281" i="8"/>
  <c r="F281" i="8"/>
  <c r="E281" i="8"/>
  <c r="D281" i="8"/>
  <c r="C281" i="8"/>
  <c r="B281" i="8"/>
  <c r="A281" i="8"/>
  <c r="H280" i="8"/>
  <c r="G280" i="8"/>
  <c r="F280" i="8"/>
  <c r="E280" i="8"/>
  <c r="D280" i="8"/>
  <c r="C280" i="8"/>
  <c r="B280" i="8"/>
  <c r="A280" i="8"/>
  <c r="H279" i="8"/>
  <c r="G279" i="8"/>
  <c r="F279" i="8"/>
  <c r="E279" i="8"/>
  <c r="D279" i="8"/>
  <c r="C279" i="8"/>
  <c r="B279" i="8"/>
  <c r="A279" i="8"/>
  <c r="H278" i="8"/>
  <c r="G278" i="8"/>
  <c r="F278" i="8"/>
  <c r="E278" i="8"/>
  <c r="D278" i="8"/>
  <c r="C278" i="8"/>
  <c r="B278" i="8"/>
  <c r="A278" i="8"/>
  <c r="H277" i="8"/>
  <c r="G277" i="8"/>
  <c r="F277" i="8"/>
  <c r="E277" i="8"/>
  <c r="D277" i="8"/>
  <c r="C277" i="8"/>
  <c r="B277" i="8"/>
  <c r="A277" i="8"/>
  <c r="H276" i="8"/>
  <c r="G276" i="8"/>
  <c r="F276" i="8"/>
  <c r="E276" i="8"/>
  <c r="D276" i="8"/>
  <c r="C276" i="8"/>
  <c r="B276" i="8"/>
  <c r="A276" i="8"/>
  <c r="H275" i="8"/>
  <c r="G275" i="8"/>
  <c r="F275" i="8"/>
  <c r="E275" i="8"/>
  <c r="D275" i="8"/>
  <c r="C275" i="8"/>
  <c r="B275" i="8"/>
  <c r="A275" i="8"/>
  <c r="H274" i="8"/>
  <c r="G274" i="8"/>
  <c r="F274" i="8"/>
  <c r="E274" i="8"/>
  <c r="D274" i="8"/>
  <c r="C274" i="8"/>
  <c r="B274" i="8"/>
  <c r="A274" i="8"/>
  <c r="H273" i="8"/>
  <c r="G273" i="8"/>
  <c r="F273" i="8"/>
  <c r="E273" i="8"/>
  <c r="D273" i="8"/>
  <c r="C273" i="8"/>
  <c r="B273" i="8"/>
  <c r="A273" i="8"/>
  <c r="H272" i="8"/>
  <c r="G272" i="8"/>
  <c r="F272" i="8"/>
  <c r="E272" i="8"/>
  <c r="D272" i="8"/>
  <c r="C272" i="8"/>
  <c r="B272" i="8"/>
  <c r="A272" i="8"/>
  <c r="H271" i="8"/>
  <c r="G271" i="8"/>
  <c r="F271" i="8"/>
  <c r="E271" i="8"/>
  <c r="D271" i="8"/>
  <c r="C271" i="8"/>
  <c r="B271" i="8"/>
  <c r="A271" i="8"/>
  <c r="H270" i="8"/>
  <c r="G270" i="8"/>
  <c r="F270" i="8"/>
  <c r="E270" i="8"/>
  <c r="D270" i="8"/>
  <c r="C270" i="8"/>
  <c r="B270" i="8"/>
  <c r="A270" i="8"/>
  <c r="H269" i="8"/>
  <c r="G269" i="8"/>
  <c r="F269" i="8"/>
  <c r="E269" i="8"/>
  <c r="D269" i="8"/>
  <c r="C269" i="8"/>
  <c r="B269" i="8"/>
  <c r="A269" i="8"/>
  <c r="H268" i="8"/>
  <c r="G268" i="8"/>
  <c r="F268" i="8"/>
  <c r="E268" i="8"/>
  <c r="D268" i="8"/>
  <c r="C268" i="8"/>
  <c r="B268" i="8"/>
  <c r="A268" i="8"/>
  <c r="H267" i="8"/>
  <c r="G267" i="8"/>
  <c r="F267" i="8"/>
  <c r="E267" i="8"/>
  <c r="D267" i="8"/>
  <c r="C267" i="8"/>
  <c r="B267" i="8"/>
  <c r="A267" i="8"/>
  <c r="H266" i="8"/>
  <c r="G266" i="8"/>
  <c r="F266" i="8"/>
  <c r="E266" i="8"/>
  <c r="D266" i="8"/>
  <c r="C266" i="8"/>
  <c r="B266" i="8"/>
  <c r="A266" i="8"/>
  <c r="H265" i="8"/>
  <c r="G265" i="8"/>
  <c r="F265" i="8"/>
  <c r="E265" i="8"/>
  <c r="D265" i="8"/>
  <c r="C265" i="8"/>
  <c r="B265" i="8"/>
  <c r="A265" i="8"/>
  <c r="H264" i="8"/>
  <c r="G264" i="8"/>
  <c r="F264" i="8"/>
  <c r="E264" i="8"/>
  <c r="D264" i="8"/>
  <c r="C264" i="8"/>
  <c r="B264" i="8"/>
  <c r="A264" i="8"/>
  <c r="H263" i="8"/>
  <c r="G263" i="8"/>
  <c r="F263" i="8"/>
  <c r="E263" i="8"/>
  <c r="D263" i="8"/>
  <c r="C263" i="8"/>
  <c r="B263" i="8"/>
  <c r="A263" i="8"/>
  <c r="H262" i="8"/>
  <c r="G262" i="8"/>
  <c r="F262" i="8"/>
  <c r="E262" i="8"/>
  <c r="D262" i="8"/>
  <c r="C262" i="8"/>
  <c r="B262" i="8"/>
  <c r="A262" i="8"/>
  <c r="H261" i="8"/>
  <c r="G261" i="8"/>
  <c r="F261" i="8"/>
  <c r="E261" i="8"/>
  <c r="D261" i="8"/>
  <c r="C261" i="8"/>
  <c r="B261" i="8"/>
  <c r="A261" i="8"/>
  <c r="H260" i="8"/>
  <c r="G260" i="8"/>
  <c r="F260" i="8"/>
  <c r="E260" i="8"/>
  <c r="D260" i="8"/>
  <c r="C260" i="8"/>
  <c r="B260" i="8"/>
  <c r="A260" i="8"/>
  <c r="H259" i="8"/>
  <c r="G259" i="8"/>
  <c r="F259" i="8"/>
  <c r="E259" i="8"/>
  <c r="D259" i="8"/>
  <c r="C259" i="8"/>
  <c r="B259" i="8"/>
  <c r="A259" i="8"/>
  <c r="H258" i="8"/>
  <c r="G258" i="8"/>
  <c r="F258" i="8"/>
  <c r="E258" i="8"/>
  <c r="D258" i="8"/>
  <c r="C258" i="8"/>
  <c r="B258" i="8"/>
  <c r="A258" i="8"/>
  <c r="H257" i="8"/>
  <c r="G257" i="8"/>
  <c r="F257" i="8"/>
  <c r="E257" i="8"/>
  <c r="D257" i="8"/>
  <c r="C257" i="8"/>
  <c r="B257" i="8"/>
  <c r="A257" i="8"/>
  <c r="H256" i="8"/>
  <c r="G256" i="8"/>
  <c r="F256" i="8"/>
  <c r="E256" i="8"/>
  <c r="D256" i="8"/>
  <c r="C256" i="8"/>
  <c r="B256" i="8"/>
  <c r="A256" i="8"/>
  <c r="H255" i="8"/>
  <c r="G255" i="8"/>
  <c r="F255" i="8"/>
  <c r="E255" i="8"/>
  <c r="D255" i="8"/>
  <c r="C255" i="8"/>
  <c r="B255" i="8"/>
  <c r="A255" i="8"/>
  <c r="H254" i="8"/>
  <c r="G254" i="8"/>
  <c r="F254" i="8"/>
  <c r="E254" i="8"/>
  <c r="D254" i="8"/>
  <c r="C254" i="8"/>
  <c r="B254" i="8"/>
  <c r="A254" i="8"/>
  <c r="H253" i="8"/>
  <c r="G253" i="8"/>
  <c r="F253" i="8"/>
  <c r="E253" i="8"/>
  <c r="D253" i="8"/>
  <c r="C253" i="8"/>
  <c r="B253" i="8"/>
  <c r="A253" i="8"/>
  <c r="H252" i="8"/>
  <c r="G252" i="8"/>
  <c r="F252" i="8"/>
  <c r="E252" i="8"/>
  <c r="D252" i="8"/>
  <c r="C252" i="8"/>
  <c r="B252" i="8"/>
  <c r="A252" i="8"/>
  <c r="H251" i="8"/>
  <c r="G251" i="8"/>
  <c r="F251" i="8"/>
  <c r="E251" i="8"/>
  <c r="D251" i="8"/>
  <c r="C251" i="8"/>
  <c r="B251" i="8"/>
  <c r="A251" i="8"/>
  <c r="H250" i="8"/>
  <c r="G250" i="8"/>
  <c r="F250" i="8"/>
  <c r="E250" i="8"/>
  <c r="D250" i="8"/>
  <c r="C250" i="8"/>
  <c r="B250" i="8"/>
  <c r="A250" i="8"/>
  <c r="H249" i="8"/>
  <c r="G249" i="8"/>
  <c r="F249" i="8"/>
  <c r="E249" i="8"/>
  <c r="D249" i="8"/>
  <c r="C249" i="8"/>
  <c r="B249" i="8"/>
  <c r="A249" i="8"/>
  <c r="H248" i="8"/>
  <c r="G248" i="8"/>
  <c r="F248" i="8"/>
  <c r="E248" i="8"/>
  <c r="D248" i="8"/>
  <c r="C248" i="8"/>
  <c r="B248" i="8"/>
  <c r="A248" i="8"/>
  <c r="H247" i="8"/>
  <c r="G247" i="8"/>
  <c r="F247" i="8"/>
  <c r="E247" i="8"/>
  <c r="D247" i="8"/>
  <c r="C247" i="8"/>
  <c r="B247" i="8"/>
  <c r="A247" i="8"/>
  <c r="H246" i="8"/>
  <c r="G246" i="8"/>
  <c r="F246" i="8"/>
  <c r="E246" i="8"/>
  <c r="D246" i="8"/>
  <c r="C246" i="8"/>
  <c r="B246" i="8"/>
  <c r="A246" i="8"/>
  <c r="H245" i="8"/>
  <c r="G245" i="8"/>
  <c r="F245" i="8"/>
  <c r="E245" i="8"/>
  <c r="D245" i="8"/>
  <c r="C245" i="8"/>
  <c r="B245" i="8"/>
  <c r="A245" i="8"/>
  <c r="H244" i="8"/>
  <c r="G244" i="8"/>
  <c r="F244" i="8"/>
  <c r="E244" i="8"/>
  <c r="D244" i="8"/>
  <c r="C244" i="8"/>
  <c r="B244" i="8"/>
  <c r="A244" i="8"/>
  <c r="H243" i="8"/>
  <c r="G243" i="8"/>
  <c r="F243" i="8"/>
  <c r="E243" i="8"/>
  <c r="D243" i="8"/>
  <c r="C243" i="8"/>
  <c r="B243" i="8"/>
  <c r="A243" i="8"/>
  <c r="H242" i="8"/>
  <c r="G242" i="8"/>
  <c r="F242" i="8"/>
  <c r="E242" i="8"/>
  <c r="D242" i="8"/>
  <c r="C242" i="8"/>
  <c r="B242" i="8"/>
  <c r="A242" i="8"/>
  <c r="H241" i="8"/>
  <c r="G241" i="8"/>
  <c r="F241" i="8"/>
  <c r="E241" i="8"/>
  <c r="D241" i="8"/>
  <c r="C241" i="8"/>
  <c r="B241" i="8"/>
  <c r="A241" i="8"/>
  <c r="H240" i="8"/>
  <c r="G240" i="8"/>
  <c r="F240" i="8"/>
  <c r="E240" i="8"/>
  <c r="D240" i="8"/>
  <c r="C240" i="8"/>
  <c r="B240" i="8"/>
  <c r="A240" i="8"/>
  <c r="H239" i="8"/>
  <c r="G239" i="8"/>
  <c r="F239" i="8"/>
  <c r="E239" i="8"/>
  <c r="D239" i="8"/>
  <c r="C239" i="8"/>
  <c r="B239" i="8"/>
  <c r="A239" i="8"/>
  <c r="H238" i="8"/>
  <c r="G238" i="8"/>
  <c r="F238" i="8"/>
  <c r="E238" i="8"/>
  <c r="D238" i="8"/>
  <c r="C238" i="8"/>
  <c r="B238" i="8"/>
  <c r="A238" i="8"/>
  <c r="H237" i="8"/>
  <c r="G237" i="8"/>
  <c r="F237" i="8"/>
  <c r="E237" i="8"/>
  <c r="D237" i="8"/>
  <c r="C237" i="8"/>
  <c r="B237" i="8"/>
  <c r="A237" i="8"/>
  <c r="H236" i="8"/>
  <c r="G236" i="8"/>
  <c r="F236" i="8"/>
  <c r="E236" i="8"/>
  <c r="D236" i="8"/>
  <c r="C236" i="8"/>
  <c r="B236" i="8"/>
  <c r="A236" i="8"/>
  <c r="H235" i="8"/>
  <c r="G235" i="8"/>
  <c r="F235" i="8"/>
  <c r="E235" i="8"/>
  <c r="D235" i="8"/>
  <c r="C235" i="8"/>
  <c r="B235" i="8"/>
  <c r="A235" i="8"/>
  <c r="H234" i="8"/>
  <c r="G234" i="8"/>
  <c r="F234" i="8"/>
  <c r="E234" i="8"/>
  <c r="D234" i="8"/>
  <c r="C234" i="8"/>
  <c r="B234" i="8"/>
  <c r="A234" i="8"/>
  <c r="H233" i="8"/>
  <c r="G233" i="8"/>
  <c r="F233" i="8"/>
  <c r="E233" i="8"/>
  <c r="D233" i="8"/>
  <c r="C233" i="8"/>
  <c r="B233" i="8"/>
  <c r="A233" i="8"/>
  <c r="H232" i="8"/>
  <c r="G232" i="8"/>
  <c r="F232" i="8"/>
  <c r="E232" i="8"/>
  <c r="D232" i="8"/>
  <c r="C232" i="8"/>
  <c r="B232" i="8"/>
  <c r="A232" i="8"/>
  <c r="H231" i="8"/>
  <c r="G231" i="8"/>
  <c r="F231" i="8"/>
  <c r="E231" i="8"/>
  <c r="D231" i="8"/>
  <c r="C231" i="8"/>
  <c r="B231" i="8"/>
  <c r="A231" i="8"/>
  <c r="H230" i="8"/>
  <c r="G230" i="8"/>
  <c r="F230" i="8"/>
  <c r="E230" i="8"/>
  <c r="D230" i="8"/>
  <c r="C230" i="8"/>
  <c r="B230" i="8"/>
  <c r="A230" i="8"/>
  <c r="H229" i="8"/>
  <c r="G229" i="8"/>
  <c r="F229" i="8"/>
  <c r="E229" i="8"/>
  <c r="D229" i="8"/>
  <c r="C229" i="8"/>
  <c r="B229" i="8"/>
  <c r="A229" i="8"/>
  <c r="H228" i="8"/>
  <c r="G228" i="8"/>
  <c r="F228" i="8"/>
  <c r="E228" i="8"/>
  <c r="D228" i="8"/>
  <c r="C228" i="8"/>
  <c r="B228" i="8"/>
  <c r="A228" i="8"/>
  <c r="H227" i="8"/>
  <c r="G227" i="8"/>
  <c r="F227" i="8"/>
  <c r="E227" i="8"/>
  <c r="D227" i="8"/>
  <c r="C227" i="8"/>
  <c r="B227" i="8"/>
  <c r="A227" i="8"/>
  <c r="H226" i="8"/>
  <c r="G226" i="8"/>
  <c r="F226" i="8"/>
  <c r="E226" i="8"/>
  <c r="D226" i="8"/>
  <c r="C226" i="8"/>
  <c r="B226" i="8"/>
  <c r="A226" i="8"/>
  <c r="H225" i="8"/>
  <c r="G225" i="8"/>
  <c r="F225" i="8"/>
  <c r="E225" i="8"/>
  <c r="D225" i="8"/>
  <c r="C225" i="8"/>
  <c r="B225" i="8"/>
  <c r="A225" i="8"/>
  <c r="H224" i="8"/>
  <c r="G224" i="8"/>
  <c r="F224" i="8"/>
  <c r="E224" i="8"/>
  <c r="D224" i="8"/>
  <c r="C224" i="8"/>
  <c r="B224" i="8"/>
  <c r="A224" i="8"/>
  <c r="H223" i="8"/>
  <c r="G223" i="8"/>
  <c r="F223" i="8"/>
  <c r="E223" i="8"/>
  <c r="D223" i="8"/>
  <c r="C223" i="8"/>
  <c r="B223" i="8"/>
  <c r="A223" i="8"/>
  <c r="H222" i="8"/>
  <c r="G222" i="8"/>
  <c r="F222" i="8"/>
  <c r="E222" i="8"/>
  <c r="D222" i="8"/>
  <c r="C222" i="8"/>
  <c r="B222" i="8"/>
  <c r="A222" i="8"/>
  <c r="H221" i="8"/>
  <c r="G221" i="8"/>
  <c r="F221" i="8"/>
  <c r="E221" i="8"/>
  <c r="D221" i="8"/>
  <c r="C221" i="8"/>
  <c r="B221" i="8"/>
  <c r="A221" i="8"/>
  <c r="H220" i="8"/>
  <c r="G220" i="8"/>
  <c r="F220" i="8"/>
  <c r="E220" i="8"/>
  <c r="D220" i="8"/>
  <c r="C220" i="8"/>
  <c r="B220" i="8"/>
  <c r="A220" i="8"/>
  <c r="H219" i="8"/>
  <c r="G219" i="8"/>
  <c r="F219" i="8"/>
  <c r="E219" i="8"/>
  <c r="D219" i="8"/>
  <c r="C219" i="8"/>
  <c r="B219" i="8"/>
  <c r="A219" i="8"/>
  <c r="H218" i="8"/>
  <c r="G218" i="8"/>
  <c r="F218" i="8"/>
  <c r="E218" i="8"/>
  <c r="D218" i="8"/>
  <c r="C218" i="8"/>
  <c r="B218" i="8"/>
  <c r="A218" i="8"/>
  <c r="H217" i="8"/>
  <c r="G217" i="8"/>
  <c r="F217" i="8"/>
  <c r="E217" i="8"/>
  <c r="D217" i="8"/>
  <c r="C217" i="8"/>
  <c r="B217" i="8"/>
  <c r="A217" i="8"/>
  <c r="H216" i="8"/>
  <c r="G216" i="8"/>
  <c r="F216" i="8"/>
  <c r="E216" i="8"/>
  <c r="D216" i="8"/>
  <c r="C216" i="8"/>
  <c r="B216" i="8"/>
  <c r="A216" i="8"/>
  <c r="H215" i="8"/>
  <c r="G215" i="8"/>
  <c r="F215" i="8"/>
  <c r="E215" i="8"/>
  <c r="D215" i="8"/>
  <c r="C215" i="8"/>
  <c r="B215" i="8"/>
  <c r="A215" i="8"/>
  <c r="H214" i="8"/>
  <c r="G214" i="8"/>
  <c r="F214" i="8"/>
  <c r="E214" i="8"/>
  <c r="D214" i="8"/>
  <c r="C214" i="8"/>
  <c r="B214" i="8"/>
  <c r="A214" i="8"/>
  <c r="H213" i="8"/>
  <c r="G213" i="8"/>
  <c r="F213" i="8"/>
  <c r="E213" i="8"/>
  <c r="D213" i="8"/>
  <c r="C213" i="8"/>
  <c r="B213" i="8"/>
  <c r="A213" i="8"/>
  <c r="H212" i="8"/>
  <c r="G212" i="8"/>
  <c r="F212" i="8"/>
  <c r="E212" i="8"/>
  <c r="D212" i="8"/>
  <c r="C212" i="8"/>
  <c r="B212" i="8"/>
  <c r="A212" i="8"/>
  <c r="H211" i="8"/>
  <c r="G211" i="8"/>
  <c r="F211" i="8"/>
  <c r="E211" i="8"/>
  <c r="D211" i="8"/>
  <c r="C211" i="8"/>
  <c r="B211" i="8"/>
  <c r="A211" i="8"/>
  <c r="H210" i="8"/>
  <c r="G210" i="8"/>
  <c r="F210" i="8"/>
  <c r="E210" i="8"/>
  <c r="D210" i="8"/>
  <c r="C210" i="8"/>
  <c r="B210" i="8"/>
  <c r="A210" i="8"/>
  <c r="H209" i="8"/>
  <c r="G209" i="8"/>
  <c r="F209" i="8"/>
  <c r="E209" i="8"/>
  <c r="D209" i="8"/>
  <c r="C209" i="8"/>
  <c r="B209" i="8"/>
  <c r="A209" i="8"/>
  <c r="H208" i="8"/>
  <c r="G208" i="8"/>
  <c r="F208" i="8"/>
  <c r="E208" i="8"/>
  <c r="D208" i="8"/>
  <c r="C208" i="8"/>
  <c r="B208" i="8"/>
  <c r="A208" i="8"/>
  <c r="H207" i="8"/>
  <c r="G207" i="8"/>
  <c r="F207" i="8"/>
  <c r="E207" i="8"/>
  <c r="D207" i="8"/>
  <c r="C207" i="8"/>
  <c r="B207" i="8"/>
  <c r="A207" i="8"/>
  <c r="H206" i="8"/>
  <c r="G206" i="8"/>
  <c r="F206" i="8"/>
  <c r="E206" i="8"/>
  <c r="D206" i="8"/>
  <c r="C206" i="8"/>
  <c r="B206" i="8"/>
  <c r="A206" i="8"/>
  <c r="H205" i="8"/>
  <c r="G205" i="8"/>
  <c r="F205" i="8"/>
  <c r="E205" i="8"/>
  <c r="D205" i="8"/>
  <c r="C205" i="8"/>
  <c r="B205" i="8"/>
  <c r="A205" i="8"/>
  <c r="H204" i="8"/>
  <c r="G204" i="8"/>
  <c r="F204" i="8"/>
  <c r="E204" i="8"/>
  <c r="D204" i="8"/>
  <c r="C204" i="8"/>
  <c r="B204" i="8"/>
  <c r="A204" i="8"/>
  <c r="H203" i="8"/>
  <c r="G203" i="8"/>
  <c r="F203" i="8"/>
  <c r="E203" i="8"/>
  <c r="D203" i="8"/>
  <c r="C203" i="8"/>
  <c r="B203" i="8"/>
  <c r="A203" i="8"/>
  <c r="H202" i="8"/>
  <c r="G202" i="8"/>
  <c r="F202" i="8"/>
  <c r="E202" i="8"/>
  <c r="D202" i="8"/>
  <c r="C202" i="8"/>
  <c r="B202" i="8"/>
  <c r="A202" i="8"/>
  <c r="H201" i="8"/>
  <c r="G201" i="8"/>
  <c r="F201" i="8"/>
  <c r="E201" i="8"/>
  <c r="D201" i="8"/>
  <c r="C201" i="8"/>
  <c r="B201" i="8"/>
  <c r="A201" i="8"/>
  <c r="H200" i="8"/>
  <c r="G200" i="8"/>
  <c r="F200" i="8"/>
  <c r="E200" i="8"/>
  <c r="D200" i="8"/>
  <c r="C200" i="8"/>
  <c r="B200" i="8"/>
  <c r="A200" i="8"/>
  <c r="H199" i="8"/>
  <c r="G199" i="8"/>
  <c r="F199" i="8"/>
  <c r="E199" i="8"/>
  <c r="D199" i="8"/>
  <c r="C199" i="8"/>
  <c r="B199" i="8"/>
  <c r="A199" i="8"/>
  <c r="H198" i="8"/>
  <c r="G198" i="8"/>
  <c r="F198" i="8"/>
  <c r="E198" i="8"/>
  <c r="D198" i="8"/>
  <c r="C198" i="8"/>
  <c r="B198" i="8"/>
  <c r="A198" i="8"/>
  <c r="H197" i="8"/>
  <c r="G197" i="8"/>
  <c r="F197" i="8"/>
  <c r="E197" i="8"/>
  <c r="D197" i="8"/>
  <c r="C197" i="8"/>
  <c r="B197" i="8"/>
  <c r="A197" i="8"/>
  <c r="H196" i="8"/>
  <c r="G196" i="8"/>
  <c r="F196" i="8"/>
  <c r="E196" i="8"/>
  <c r="D196" i="8"/>
  <c r="C196" i="8"/>
  <c r="B196" i="8"/>
  <c r="A196" i="8"/>
  <c r="H195" i="8"/>
  <c r="G195" i="8"/>
  <c r="F195" i="8"/>
  <c r="E195" i="8"/>
  <c r="D195" i="8"/>
  <c r="C195" i="8"/>
  <c r="B195" i="8"/>
  <c r="A195" i="8"/>
  <c r="H194" i="8"/>
  <c r="G194" i="8"/>
  <c r="F194" i="8"/>
  <c r="E194" i="8"/>
  <c r="D194" i="8"/>
  <c r="C194" i="8"/>
  <c r="B194" i="8"/>
  <c r="A194" i="8"/>
  <c r="H193" i="8"/>
  <c r="G193" i="8"/>
  <c r="F193" i="8"/>
  <c r="E193" i="8"/>
  <c r="D193" i="8"/>
  <c r="C193" i="8"/>
  <c r="B193" i="8"/>
  <c r="A193" i="8"/>
  <c r="H192" i="8"/>
  <c r="G192" i="8"/>
  <c r="F192" i="8"/>
  <c r="E192" i="8"/>
  <c r="D192" i="8"/>
  <c r="C192" i="8"/>
  <c r="B192" i="8"/>
  <c r="A192" i="8"/>
  <c r="H191" i="8"/>
  <c r="G191" i="8"/>
  <c r="F191" i="8"/>
  <c r="E191" i="8"/>
  <c r="D191" i="8"/>
  <c r="C191" i="8"/>
  <c r="B191" i="8"/>
  <c r="A191" i="8"/>
  <c r="H190" i="8"/>
  <c r="G190" i="8"/>
  <c r="F190" i="8"/>
  <c r="E190" i="8"/>
  <c r="D190" i="8"/>
  <c r="C190" i="8"/>
  <c r="B190" i="8"/>
  <c r="A190" i="8"/>
  <c r="H189" i="8"/>
  <c r="G189" i="8"/>
  <c r="F189" i="8"/>
  <c r="E189" i="8"/>
  <c r="D189" i="8"/>
  <c r="C189" i="8"/>
  <c r="B189" i="8"/>
  <c r="A189" i="8"/>
  <c r="H188" i="8"/>
  <c r="G188" i="8"/>
  <c r="F188" i="8"/>
  <c r="E188" i="8"/>
  <c r="D188" i="8"/>
  <c r="C188" i="8"/>
  <c r="B188" i="8"/>
  <c r="A188" i="8"/>
  <c r="H187" i="8"/>
  <c r="G187" i="8"/>
  <c r="F187" i="8"/>
  <c r="E187" i="8"/>
  <c r="D187" i="8"/>
  <c r="C187" i="8"/>
  <c r="B187" i="8"/>
  <c r="A187" i="8"/>
  <c r="H186" i="8"/>
  <c r="G186" i="8"/>
  <c r="F186" i="8"/>
  <c r="E186" i="8"/>
  <c r="D186" i="8"/>
  <c r="C186" i="8"/>
  <c r="B186" i="8"/>
  <c r="A186" i="8"/>
  <c r="H185" i="8"/>
  <c r="G185" i="8"/>
  <c r="F185" i="8"/>
  <c r="E185" i="8"/>
  <c r="D185" i="8"/>
  <c r="C185" i="8"/>
  <c r="B185" i="8"/>
  <c r="A185" i="8"/>
  <c r="H184" i="8"/>
  <c r="G184" i="8"/>
  <c r="F184" i="8"/>
  <c r="E184" i="8"/>
  <c r="D184" i="8"/>
  <c r="C184" i="8"/>
  <c r="B184" i="8"/>
  <c r="A184" i="8"/>
  <c r="H183" i="8"/>
  <c r="G183" i="8"/>
  <c r="F183" i="8"/>
  <c r="E183" i="8"/>
  <c r="D183" i="8"/>
  <c r="C183" i="8"/>
  <c r="B183" i="8"/>
  <c r="A183" i="8"/>
  <c r="H182" i="8"/>
  <c r="G182" i="8"/>
  <c r="F182" i="8"/>
  <c r="E182" i="8"/>
  <c r="D182" i="8"/>
  <c r="C182" i="8"/>
  <c r="B182" i="8"/>
  <c r="A182" i="8"/>
  <c r="H181" i="8"/>
  <c r="G181" i="8"/>
  <c r="F181" i="8"/>
  <c r="E181" i="8"/>
  <c r="D181" i="8"/>
  <c r="C181" i="8"/>
  <c r="B181" i="8"/>
  <c r="A181" i="8"/>
  <c r="H180" i="8"/>
  <c r="G180" i="8"/>
  <c r="F180" i="8"/>
  <c r="D180" i="8"/>
  <c r="C180" i="8"/>
  <c r="B180" i="8"/>
  <c r="A180" i="8"/>
  <c r="H179" i="8"/>
  <c r="G179" i="8"/>
  <c r="F179" i="8"/>
  <c r="D179" i="8"/>
  <c r="C179" i="8"/>
  <c r="B179" i="8"/>
  <c r="A179" i="8"/>
  <c r="H178" i="8"/>
  <c r="G178" i="8"/>
  <c r="F178" i="8"/>
  <c r="D178" i="8"/>
  <c r="C178" i="8"/>
  <c r="B178" i="8"/>
  <c r="A178" i="8"/>
  <c r="H177" i="8"/>
  <c r="G177" i="8"/>
  <c r="F177" i="8"/>
  <c r="D177" i="8"/>
  <c r="C177" i="8"/>
  <c r="B177" i="8"/>
  <c r="A177" i="8"/>
  <c r="H176" i="8"/>
  <c r="G176" i="8"/>
  <c r="F176" i="8"/>
  <c r="D176" i="8"/>
  <c r="C176" i="8"/>
  <c r="B176" i="8"/>
  <c r="A176" i="8"/>
  <c r="H175" i="8"/>
  <c r="G175" i="8"/>
  <c r="F175" i="8"/>
  <c r="D175" i="8"/>
  <c r="C175" i="8"/>
  <c r="B175" i="8"/>
  <c r="A175" i="8"/>
  <c r="H174" i="8"/>
  <c r="G174" i="8"/>
  <c r="F174" i="8"/>
  <c r="D174" i="8"/>
  <c r="C174" i="8"/>
  <c r="B174" i="8"/>
  <c r="A174" i="8"/>
  <c r="H173" i="8"/>
  <c r="G173" i="8"/>
  <c r="F173" i="8"/>
  <c r="D173" i="8"/>
  <c r="C173" i="8"/>
  <c r="B173" i="8"/>
  <c r="A173" i="8"/>
  <c r="H172" i="8"/>
  <c r="G172" i="8"/>
  <c r="F172" i="8"/>
  <c r="D172" i="8"/>
  <c r="C172" i="8"/>
  <c r="B172" i="8"/>
  <c r="A172" i="8"/>
  <c r="H171" i="8"/>
  <c r="G171" i="8"/>
  <c r="F171" i="8"/>
  <c r="D171" i="8"/>
  <c r="C171" i="8"/>
  <c r="B171" i="8"/>
  <c r="A171" i="8"/>
  <c r="H170" i="8"/>
  <c r="G170" i="8"/>
  <c r="F170" i="8"/>
  <c r="D170" i="8"/>
  <c r="C170" i="8"/>
  <c r="B170" i="8"/>
  <c r="A170" i="8"/>
  <c r="H169" i="8"/>
  <c r="G169" i="8"/>
  <c r="F169" i="8"/>
  <c r="D169" i="8"/>
  <c r="C169" i="8"/>
  <c r="B169" i="8"/>
  <c r="A169" i="8"/>
  <c r="H168" i="8"/>
  <c r="G168" i="8"/>
  <c r="F168" i="8"/>
  <c r="D168" i="8"/>
  <c r="C168" i="8"/>
  <c r="B168" i="8"/>
  <c r="A168" i="8"/>
  <c r="H167" i="8"/>
  <c r="G167" i="8"/>
  <c r="F167" i="8"/>
  <c r="D167" i="8"/>
  <c r="C167" i="8"/>
  <c r="B167" i="8"/>
  <c r="A167" i="8"/>
  <c r="H166" i="8"/>
  <c r="G166" i="8"/>
  <c r="F166" i="8"/>
  <c r="D166" i="8"/>
  <c r="C166" i="8"/>
  <c r="B166" i="8"/>
  <c r="A166" i="8"/>
  <c r="H165" i="8"/>
  <c r="G165" i="8"/>
  <c r="F165" i="8"/>
  <c r="D165" i="8"/>
  <c r="C165" i="8"/>
  <c r="B165" i="8"/>
  <c r="A165" i="8"/>
  <c r="H164" i="8"/>
  <c r="G164" i="8"/>
  <c r="F164" i="8"/>
  <c r="D164" i="8"/>
  <c r="C164" i="8"/>
  <c r="B164" i="8"/>
  <c r="A164" i="8"/>
  <c r="H163" i="8"/>
  <c r="G163" i="8"/>
  <c r="F163" i="8"/>
  <c r="D163" i="8"/>
  <c r="C163" i="8"/>
  <c r="B163" i="8"/>
  <c r="A163" i="8"/>
  <c r="H162" i="8"/>
  <c r="G162" i="8"/>
  <c r="F162" i="8"/>
  <c r="D162" i="8"/>
  <c r="C162" i="8"/>
  <c r="B162" i="8"/>
  <c r="A162" i="8"/>
  <c r="H161" i="8"/>
  <c r="G161" i="8"/>
  <c r="F161" i="8"/>
  <c r="E161" i="8"/>
  <c r="D161" i="8"/>
  <c r="C161" i="8"/>
  <c r="B161" i="8"/>
  <c r="A161" i="8"/>
  <c r="H160" i="8"/>
  <c r="G160" i="8"/>
  <c r="F160" i="8"/>
  <c r="E160" i="8"/>
  <c r="D160" i="8"/>
  <c r="C160" i="8"/>
  <c r="B160" i="8"/>
  <c r="A160" i="8"/>
  <c r="H159" i="8"/>
  <c r="G159" i="8"/>
  <c r="F159" i="8"/>
  <c r="E159" i="8"/>
  <c r="D159" i="8"/>
  <c r="C159" i="8"/>
  <c r="B159" i="8"/>
  <c r="A159" i="8"/>
  <c r="H158" i="8"/>
  <c r="G158" i="8"/>
  <c r="F158" i="8"/>
  <c r="E158" i="8"/>
  <c r="D158" i="8"/>
  <c r="C158" i="8"/>
  <c r="B158" i="8"/>
  <c r="A158" i="8"/>
  <c r="H157" i="8"/>
  <c r="G157" i="8"/>
  <c r="F157" i="8"/>
  <c r="E157" i="8"/>
  <c r="D157" i="8"/>
  <c r="C157" i="8"/>
  <c r="B157" i="8"/>
  <c r="A157" i="8"/>
  <c r="H156" i="8"/>
  <c r="G156" i="8"/>
  <c r="F156" i="8"/>
  <c r="E156" i="8"/>
  <c r="D156" i="8"/>
  <c r="C156" i="8"/>
  <c r="B156" i="8"/>
  <c r="A156" i="8"/>
  <c r="H155" i="8"/>
  <c r="G155" i="8"/>
  <c r="F155" i="8"/>
  <c r="E155" i="8"/>
  <c r="D155" i="8"/>
  <c r="C155" i="8"/>
  <c r="B155" i="8"/>
  <c r="A155" i="8"/>
  <c r="H154" i="8"/>
  <c r="G154" i="8"/>
  <c r="F154" i="8"/>
  <c r="E154" i="8"/>
  <c r="D154" i="8"/>
  <c r="C154" i="8"/>
  <c r="B154" i="8"/>
  <c r="A154" i="8"/>
  <c r="H153" i="8"/>
  <c r="G153" i="8"/>
  <c r="F153" i="8"/>
  <c r="E153" i="8"/>
  <c r="D153" i="8"/>
  <c r="C153" i="8"/>
  <c r="B153" i="8"/>
  <c r="A153" i="8"/>
  <c r="H152" i="8"/>
  <c r="G152" i="8"/>
  <c r="F152" i="8"/>
  <c r="E152" i="8"/>
  <c r="D152" i="8"/>
  <c r="C152" i="8"/>
  <c r="B152" i="8"/>
  <c r="A152" i="8"/>
  <c r="H151" i="8"/>
  <c r="G151" i="8"/>
  <c r="F151" i="8"/>
  <c r="E151" i="8"/>
  <c r="D151" i="8"/>
  <c r="C151" i="8"/>
  <c r="B151" i="8"/>
  <c r="A151" i="8"/>
  <c r="H150" i="8"/>
  <c r="G150" i="8"/>
  <c r="F150" i="8"/>
  <c r="E150" i="8"/>
  <c r="D150" i="8"/>
  <c r="C150" i="8"/>
  <c r="B150" i="8"/>
  <c r="A150" i="8"/>
  <c r="H149" i="8"/>
  <c r="G149" i="8"/>
  <c r="F149" i="8"/>
  <c r="E149" i="8"/>
  <c r="D149" i="8"/>
  <c r="C149" i="8"/>
  <c r="B149" i="8"/>
  <c r="A149" i="8"/>
  <c r="H148" i="8"/>
  <c r="G148" i="8"/>
  <c r="F148" i="8"/>
  <c r="E148" i="8"/>
  <c r="D148" i="8"/>
  <c r="C148" i="8"/>
  <c r="B148" i="8"/>
  <c r="A148" i="8"/>
  <c r="H147" i="8"/>
  <c r="G147" i="8"/>
  <c r="F147" i="8"/>
  <c r="E147" i="8"/>
  <c r="D147" i="8"/>
  <c r="C147" i="8"/>
  <c r="B147" i="8"/>
  <c r="A147" i="8"/>
  <c r="H146" i="8"/>
  <c r="G146" i="8"/>
  <c r="F146" i="8"/>
  <c r="E146" i="8"/>
  <c r="D146" i="8"/>
  <c r="C146" i="8"/>
  <c r="B146" i="8"/>
  <c r="A146" i="8"/>
  <c r="H145" i="8"/>
  <c r="G145" i="8"/>
  <c r="F145" i="8"/>
  <c r="E145" i="8"/>
  <c r="D145" i="8"/>
  <c r="C145" i="8"/>
  <c r="B145" i="8"/>
  <c r="A145" i="8"/>
  <c r="H144" i="8"/>
  <c r="G144" i="8"/>
  <c r="F144" i="8"/>
  <c r="E144" i="8"/>
  <c r="D144" i="8"/>
  <c r="C144" i="8"/>
  <c r="B144" i="8"/>
  <c r="A144" i="8"/>
  <c r="H143" i="8"/>
  <c r="G143" i="8"/>
  <c r="F143" i="8"/>
  <c r="E143" i="8"/>
  <c r="D143" i="8"/>
  <c r="C143" i="8"/>
  <c r="B143" i="8"/>
  <c r="A143" i="8"/>
  <c r="H142" i="8"/>
  <c r="G142" i="8"/>
  <c r="F142" i="8"/>
  <c r="E142" i="8"/>
  <c r="D142" i="8"/>
  <c r="C142" i="8"/>
  <c r="B142" i="8"/>
  <c r="A142" i="8"/>
  <c r="H141" i="8"/>
  <c r="G141" i="8"/>
  <c r="F141" i="8"/>
  <c r="E141" i="8"/>
  <c r="D141" i="8"/>
  <c r="C141" i="8"/>
  <c r="B141" i="8"/>
  <c r="A141" i="8"/>
  <c r="H140" i="8"/>
  <c r="G140" i="8"/>
  <c r="F140" i="8"/>
  <c r="E140" i="8"/>
  <c r="D140" i="8"/>
  <c r="C140" i="8"/>
  <c r="B140" i="8"/>
  <c r="A140" i="8"/>
  <c r="H139" i="8"/>
  <c r="G139" i="8"/>
  <c r="F139" i="8"/>
  <c r="E139" i="8"/>
  <c r="D139" i="8"/>
  <c r="C139" i="8"/>
  <c r="B139" i="8"/>
  <c r="A139" i="8"/>
  <c r="H138" i="8"/>
  <c r="G138" i="8"/>
  <c r="F138" i="8"/>
  <c r="E138" i="8"/>
  <c r="D138" i="8"/>
  <c r="C138" i="8"/>
  <c r="B138" i="8"/>
  <c r="A138" i="8"/>
  <c r="H137" i="8"/>
  <c r="G137" i="8"/>
  <c r="F137" i="8"/>
  <c r="E137" i="8"/>
  <c r="D137" i="8"/>
  <c r="C137" i="8"/>
  <c r="B137" i="8"/>
  <c r="A137" i="8"/>
  <c r="H136" i="8"/>
  <c r="G136" i="8"/>
  <c r="F136" i="8"/>
  <c r="E136" i="8"/>
  <c r="D136" i="8"/>
  <c r="C136" i="8"/>
  <c r="B136" i="8"/>
  <c r="A136" i="8"/>
  <c r="H135" i="8"/>
  <c r="G135" i="8"/>
  <c r="F135" i="8"/>
  <c r="E135" i="8"/>
  <c r="D135" i="8"/>
  <c r="C135" i="8"/>
  <c r="B135" i="8"/>
  <c r="A135" i="8"/>
  <c r="H134" i="8"/>
  <c r="G134" i="8"/>
  <c r="F134" i="8"/>
  <c r="E134" i="8"/>
  <c r="D134" i="8"/>
  <c r="C134" i="8"/>
  <c r="B134" i="8"/>
  <c r="A134" i="8"/>
  <c r="H133" i="8"/>
  <c r="G133" i="8"/>
  <c r="F133" i="8"/>
  <c r="E133" i="8"/>
  <c r="D133" i="8"/>
  <c r="C133" i="8"/>
  <c r="B133" i="8"/>
  <c r="A133" i="8"/>
  <c r="H132" i="8"/>
  <c r="G132" i="8"/>
  <c r="F132" i="8"/>
  <c r="E132" i="8"/>
  <c r="D132" i="8"/>
  <c r="C132" i="8"/>
  <c r="B132" i="8"/>
  <c r="A132" i="8"/>
  <c r="H131" i="8"/>
  <c r="G131" i="8"/>
  <c r="F131" i="8"/>
  <c r="E131" i="8"/>
  <c r="D131" i="8"/>
  <c r="C131" i="8"/>
  <c r="B131" i="8"/>
  <c r="A131" i="8"/>
  <c r="H130" i="8"/>
  <c r="G130" i="8"/>
  <c r="F130" i="8"/>
  <c r="E130" i="8"/>
  <c r="D130" i="8"/>
  <c r="C130" i="8"/>
  <c r="B130" i="8"/>
  <c r="A130" i="8"/>
  <c r="H129" i="8"/>
  <c r="G129" i="8"/>
  <c r="F129" i="8"/>
  <c r="E129" i="8"/>
  <c r="D129" i="8"/>
  <c r="C129" i="8"/>
  <c r="B129" i="8"/>
  <c r="A129" i="8"/>
  <c r="H128" i="8"/>
  <c r="G128" i="8"/>
  <c r="F128" i="8"/>
  <c r="E128" i="8"/>
  <c r="D128" i="8"/>
  <c r="C128" i="8"/>
  <c r="B128" i="8"/>
  <c r="A128" i="8"/>
  <c r="H127" i="8"/>
  <c r="G127" i="8"/>
  <c r="F127" i="8"/>
  <c r="E127" i="8"/>
  <c r="D127" i="8"/>
  <c r="C127" i="8"/>
  <c r="B127" i="8"/>
  <c r="A127" i="8"/>
  <c r="H126" i="8"/>
  <c r="G126" i="8"/>
  <c r="F126" i="8"/>
  <c r="E126" i="8"/>
  <c r="D126" i="8"/>
  <c r="C126" i="8"/>
  <c r="B126" i="8"/>
  <c r="A126" i="8"/>
  <c r="H125" i="8"/>
  <c r="G125" i="8"/>
  <c r="F125" i="8"/>
  <c r="E125" i="8"/>
  <c r="D125" i="8"/>
  <c r="C125" i="8"/>
  <c r="B125" i="8"/>
  <c r="A125" i="8"/>
  <c r="H124" i="8"/>
  <c r="G124" i="8"/>
  <c r="F124" i="8"/>
  <c r="E124" i="8"/>
  <c r="D124" i="8"/>
  <c r="C124" i="8"/>
  <c r="B124" i="8"/>
  <c r="A124" i="8"/>
  <c r="H123" i="8"/>
  <c r="G123" i="8"/>
  <c r="F123" i="8"/>
  <c r="E123" i="8"/>
  <c r="D123" i="8"/>
  <c r="C123" i="8"/>
  <c r="B123" i="8"/>
  <c r="A123" i="8"/>
  <c r="H122" i="8"/>
  <c r="G122" i="8"/>
  <c r="F122" i="8"/>
  <c r="E122" i="8"/>
  <c r="D122" i="8"/>
  <c r="C122" i="8"/>
  <c r="B122" i="8"/>
  <c r="A122" i="8"/>
  <c r="H121" i="8"/>
  <c r="G121" i="8"/>
  <c r="F121" i="8"/>
  <c r="E121" i="8"/>
  <c r="D121" i="8"/>
  <c r="C121" i="8"/>
  <c r="B121" i="8"/>
  <c r="A121" i="8"/>
  <c r="H120" i="8"/>
  <c r="G120" i="8"/>
  <c r="F120" i="8"/>
  <c r="E120" i="8"/>
  <c r="D120" i="8"/>
  <c r="C120" i="8"/>
  <c r="B120" i="8"/>
  <c r="A120" i="8"/>
  <c r="H119" i="8"/>
  <c r="G119" i="8"/>
  <c r="F119" i="8"/>
  <c r="E119" i="8"/>
  <c r="D119" i="8"/>
  <c r="C119" i="8"/>
  <c r="B119" i="8"/>
  <c r="A119" i="8"/>
  <c r="H118" i="8"/>
  <c r="G118" i="8"/>
  <c r="F118" i="8"/>
  <c r="E118" i="8"/>
  <c r="D118" i="8"/>
  <c r="C118" i="8"/>
  <c r="B118" i="8"/>
  <c r="A118" i="8"/>
  <c r="H117" i="8"/>
  <c r="G117" i="8"/>
  <c r="F117" i="8"/>
  <c r="E117" i="8"/>
  <c r="D117" i="8"/>
  <c r="C117" i="8"/>
  <c r="B117" i="8"/>
  <c r="A117" i="8"/>
  <c r="H116" i="8"/>
  <c r="G116" i="8"/>
  <c r="F116" i="8"/>
  <c r="E116" i="8"/>
  <c r="D116" i="8"/>
  <c r="C116" i="8"/>
  <c r="B116" i="8"/>
  <c r="A116" i="8"/>
  <c r="H115" i="8"/>
  <c r="G115" i="8"/>
  <c r="F115" i="8"/>
  <c r="E115" i="8"/>
  <c r="D115" i="8"/>
  <c r="C115" i="8"/>
  <c r="B115" i="8"/>
  <c r="A115" i="8"/>
  <c r="H114" i="8"/>
  <c r="G114" i="8"/>
  <c r="F114" i="8"/>
  <c r="E114" i="8"/>
  <c r="D114" i="8"/>
  <c r="C114" i="8"/>
  <c r="B114" i="8"/>
  <c r="A114" i="8"/>
  <c r="H113" i="8"/>
  <c r="G113" i="8"/>
  <c r="F113" i="8"/>
  <c r="E113" i="8"/>
  <c r="D113" i="8"/>
  <c r="C113" i="8"/>
  <c r="B113" i="8"/>
  <c r="A113" i="8"/>
  <c r="H112" i="8"/>
  <c r="G112" i="8"/>
  <c r="F112" i="8"/>
  <c r="E112" i="8"/>
  <c r="D112" i="8"/>
  <c r="C112" i="8"/>
  <c r="B112" i="8"/>
  <c r="A112" i="8"/>
  <c r="H111" i="8"/>
  <c r="G111" i="8"/>
  <c r="F111" i="8"/>
  <c r="E111" i="8"/>
  <c r="D111" i="8"/>
  <c r="C111" i="8"/>
  <c r="B111" i="8"/>
  <c r="A111" i="8"/>
  <c r="H110" i="8"/>
  <c r="G110" i="8"/>
  <c r="F110" i="8"/>
  <c r="E110" i="8"/>
  <c r="D110" i="8"/>
  <c r="C110" i="8"/>
  <c r="B110" i="8"/>
  <c r="A110" i="8"/>
  <c r="H109" i="8"/>
  <c r="G109" i="8"/>
  <c r="F109" i="8"/>
  <c r="E109" i="8"/>
  <c r="D109" i="8"/>
  <c r="C109" i="8"/>
  <c r="B109" i="8"/>
  <c r="A109" i="8"/>
  <c r="H108" i="8"/>
  <c r="G108" i="8"/>
  <c r="F108" i="8"/>
  <c r="E108" i="8"/>
  <c r="D108" i="8"/>
  <c r="C108" i="8"/>
  <c r="B108" i="8"/>
  <c r="A108" i="8"/>
  <c r="H107" i="8"/>
  <c r="G107" i="8"/>
  <c r="F107" i="8"/>
  <c r="E107" i="8"/>
  <c r="D107" i="8"/>
  <c r="C107" i="8"/>
  <c r="B107" i="8"/>
  <c r="A107" i="8"/>
  <c r="H106" i="8"/>
  <c r="G106" i="8"/>
  <c r="F106" i="8"/>
  <c r="E106" i="8"/>
  <c r="D106" i="8"/>
  <c r="C106" i="8"/>
  <c r="B106" i="8"/>
  <c r="A106" i="8"/>
  <c r="H105" i="8"/>
  <c r="G105" i="8"/>
  <c r="F105" i="8"/>
  <c r="E105" i="8"/>
  <c r="D105" i="8"/>
  <c r="C105" i="8"/>
  <c r="B105" i="8"/>
  <c r="A105" i="8"/>
  <c r="H104" i="8"/>
  <c r="G104" i="8"/>
  <c r="F104" i="8"/>
  <c r="E104" i="8"/>
  <c r="D104" i="8"/>
  <c r="C104" i="8"/>
  <c r="B104" i="8"/>
  <c r="A104" i="8"/>
  <c r="H103" i="8"/>
  <c r="G103" i="8"/>
  <c r="F103" i="8"/>
  <c r="E103" i="8"/>
  <c r="D103" i="8"/>
  <c r="C103" i="8"/>
  <c r="B103" i="8"/>
  <c r="A103" i="8"/>
  <c r="H102" i="8"/>
  <c r="G102" i="8"/>
  <c r="F102" i="8"/>
  <c r="E102" i="8"/>
  <c r="D102" i="8"/>
  <c r="C102" i="8"/>
  <c r="B102" i="8"/>
  <c r="A102" i="8"/>
  <c r="H101" i="8"/>
  <c r="G101" i="8"/>
  <c r="F101" i="8"/>
  <c r="D101" i="8"/>
  <c r="C101" i="8"/>
  <c r="B101" i="8"/>
  <c r="A101" i="8"/>
  <c r="H100" i="8"/>
  <c r="G100" i="8"/>
  <c r="F100" i="8"/>
  <c r="D100" i="8"/>
  <c r="C100" i="8"/>
  <c r="B100" i="8"/>
  <c r="A100" i="8"/>
  <c r="H99" i="8"/>
  <c r="G99" i="8"/>
  <c r="F99" i="8"/>
  <c r="D99" i="8"/>
  <c r="C99" i="8"/>
  <c r="B99" i="8"/>
  <c r="A99" i="8"/>
  <c r="H98" i="8"/>
  <c r="G98" i="8"/>
  <c r="F98" i="8"/>
  <c r="D98" i="8"/>
  <c r="C98" i="8"/>
  <c r="B98" i="8"/>
  <c r="A98" i="8"/>
  <c r="H97" i="8"/>
  <c r="G97" i="8"/>
  <c r="F97" i="8"/>
  <c r="D97" i="8"/>
  <c r="C97" i="8"/>
  <c r="B97" i="8"/>
  <c r="A97" i="8"/>
  <c r="H96" i="8"/>
  <c r="G96" i="8"/>
  <c r="F96" i="8"/>
  <c r="D96" i="8"/>
  <c r="C96" i="8"/>
  <c r="B96" i="8"/>
  <c r="A96" i="8"/>
  <c r="H95" i="8"/>
  <c r="G95" i="8"/>
  <c r="F95" i="8"/>
  <c r="D95" i="8"/>
  <c r="C95" i="8"/>
  <c r="B95" i="8"/>
  <c r="A95" i="8"/>
  <c r="H94" i="8"/>
  <c r="G94" i="8"/>
  <c r="F94" i="8"/>
  <c r="D94" i="8"/>
  <c r="C94" i="8"/>
  <c r="B94" i="8"/>
  <c r="A94" i="8"/>
  <c r="H93" i="8"/>
  <c r="G93" i="8"/>
  <c r="F93" i="8"/>
  <c r="D93" i="8"/>
  <c r="C93" i="8"/>
  <c r="B93" i="8"/>
  <c r="A93" i="8"/>
  <c r="H92" i="8"/>
  <c r="G92" i="8"/>
  <c r="F92" i="8"/>
  <c r="D92" i="8"/>
  <c r="C92" i="8"/>
  <c r="B92" i="8"/>
  <c r="A92" i="8"/>
  <c r="H91" i="8"/>
  <c r="G91" i="8"/>
  <c r="F91" i="8"/>
  <c r="D91" i="8"/>
  <c r="C91" i="8"/>
  <c r="B91" i="8"/>
  <c r="A91" i="8"/>
  <c r="H90" i="8"/>
  <c r="G90" i="8"/>
  <c r="F90" i="8"/>
  <c r="D90" i="8"/>
  <c r="C90" i="8"/>
  <c r="B90" i="8"/>
  <c r="A90" i="8"/>
  <c r="H89" i="8"/>
  <c r="G89" i="8"/>
  <c r="F89" i="8"/>
  <c r="D89" i="8"/>
  <c r="C89" i="8"/>
  <c r="B89" i="8"/>
  <c r="A89" i="8"/>
  <c r="H88" i="8"/>
  <c r="G88" i="8"/>
  <c r="F88" i="8"/>
  <c r="D88" i="8"/>
  <c r="C88" i="8"/>
  <c r="B88" i="8"/>
  <c r="A88" i="8"/>
  <c r="H87" i="8"/>
  <c r="G87" i="8"/>
  <c r="F87" i="8"/>
  <c r="D87" i="8"/>
  <c r="C87" i="8"/>
  <c r="B87" i="8"/>
  <c r="A87" i="8"/>
  <c r="H86" i="8"/>
  <c r="G86" i="8"/>
  <c r="F86" i="8"/>
  <c r="D86" i="8"/>
  <c r="C86" i="8"/>
  <c r="B86" i="8"/>
  <c r="A86" i="8"/>
  <c r="H85" i="8"/>
  <c r="G85" i="8"/>
  <c r="F85" i="8"/>
  <c r="D85" i="8"/>
  <c r="C85" i="8"/>
  <c r="B85" i="8"/>
  <c r="A85" i="8"/>
  <c r="H84" i="8"/>
  <c r="G84" i="8"/>
  <c r="F84" i="8"/>
  <c r="D84" i="8"/>
  <c r="C84" i="8"/>
  <c r="B84" i="8"/>
  <c r="A84" i="8"/>
  <c r="H83" i="8"/>
  <c r="G83" i="8"/>
  <c r="F83" i="8"/>
  <c r="D83" i="8"/>
  <c r="C83" i="8"/>
  <c r="B83" i="8"/>
  <c r="A83" i="8"/>
  <c r="H82" i="8"/>
  <c r="G82" i="8"/>
  <c r="F82" i="8"/>
  <c r="D82" i="8"/>
  <c r="C82" i="8"/>
  <c r="B82" i="8"/>
  <c r="A82" i="8"/>
  <c r="H81" i="8"/>
  <c r="G81" i="8"/>
  <c r="F81" i="8"/>
  <c r="E81" i="8"/>
  <c r="D81" i="8"/>
  <c r="C81" i="8"/>
  <c r="B81" i="8"/>
  <c r="A81" i="8"/>
  <c r="H80" i="8"/>
  <c r="G80" i="8"/>
  <c r="F80" i="8"/>
  <c r="E80" i="8"/>
  <c r="D80" i="8"/>
  <c r="C80" i="8"/>
  <c r="B80" i="8"/>
  <c r="A80" i="8"/>
  <c r="H79" i="8"/>
  <c r="G79" i="8"/>
  <c r="F79" i="8"/>
  <c r="E79" i="8"/>
  <c r="D79" i="8"/>
  <c r="C79" i="8"/>
  <c r="B79" i="8"/>
  <c r="A79" i="8"/>
  <c r="H78" i="8"/>
  <c r="G78" i="8"/>
  <c r="F78" i="8"/>
  <c r="E78" i="8"/>
  <c r="D78" i="8"/>
  <c r="C78" i="8"/>
  <c r="B78" i="8"/>
  <c r="A78" i="8"/>
  <c r="H77" i="8"/>
  <c r="G77" i="8"/>
  <c r="F77" i="8"/>
  <c r="E77" i="8"/>
  <c r="D77" i="8"/>
  <c r="C77" i="8"/>
  <c r="B77" i="8"/>
  <c r="A77" i="8"/>
  <c r="H76" i="8"/>
  <c r="G76" i="8"/>
  <c r="F76" i="8"/>
  <c r="E76" i="8"/>
  <c r="D76" i="8"/>
  <c r="C76" i="8"/>
  <c r="B76" i="8"/>
  <c r="A76" i="8"/>
  <c r="H75" i="8"/>
  <c r="G75" i="8"/>
  <c r="F75" i="8"/>
  <c r="E75" i="8"/>
  <c r="D75" i="8"/>
  <c r="C75" i="8"/>
  <c r="B75" i="8"/>
  <c r="A75" i="8"/>
  <c r="H74" i="8"/>
  <c r="G74" i="8"/>
  <c r="F74" i="8"/>
  <c r="E74" i="8"/>
  <c r="D74" i="8"/>
  <c r="C74" i="8"/>
  <c r="B74" i="8"/>
  <c r="A74" i="8"/>
  <c r="H73" i="8"/>
  <c r="G73" i="8"/>
  <c r="F73" i="8"/>
  <c r="E73" i="8"/>
  <c r="D73" i="8"/>
  <c r="C73" i="8"/>
  <c r="B73" i="8"/>
  <c r="A73" i="8"/>
  <c r="H72" i="8"/>
  <c r="G72" i="8"/>
  <c r="F72" i="8"/>
  <c r="E72" i="8"/>
  <c r="D72" i="8"/>
  <c r="C72" i="8"/>
  <c r="B72" i="8"/>
  <c r="A72" i="8"/>
  <c r="H71" i="8"/>
  <c r="G71" i="8"/>
  <c r="F71" i="8"/>
  <c r="E71" i="8"/>
  <c r="D71" i="8"/>
  <c r="C71" i="8"/>
  <c r="B71" i="8"/>
  <c r="A71" i="8"/>
  <c r="H70" i="8"/>
  <c r="G70" i="8"/>
  <c r="F70" i="8"/>
  <c r="E70" i="8"/>
  <c r="D70" i="8"/>
  <c r="C70" i="8"/>
  <c r="B70" i="8"/>
  <c r="A70" i="8"/>
  <c r="H69" i="8"/>
  <c r="G69" i="8"/>
  <c r="F69" i="8"/>
  <c r="E69" i="8"/>
  <c r="D69" i="8"/>
  <c r="C69" i="8"/>
  <c r="B69" i="8"/>
  <c r="A69" i="8"/>
  <c r="H68" i="8"/>
  <c r="G68" i="8"/>
  <c r="F68" i="8"/>
  <c r="E68" i="8"/>
  <c r="D68" i="8"/>
  <c r="C68" i="8"/>
  <c r="B68" i="8"/>
  <c r="A68" i="8"/>
  <c r="H67" i="8"/>
  <c r="G67" i="8"/>
  <c r="F67" i="8"/>
  <c r="E67" i="8"/>
  <c r="D67" i="8"/>
  <c r="C67" i="8"/>
  <c r="B67" i="8"/>
  <c r="A67" i="8"/>
  <c r="H66" i="8"/>
  <c r="G66" i="8"/>
  <c r="F66" i="8"/>
  <c r="E66" i="8"/>
  <c r="D66" i="8"/>
  <c r="C66" i="8"/>
  <c r="B66" i="8"/>
  <c r="A66" i="8"/>
  <c r="H65" i="8"/>
  <c r="G65" i="8"/>
  <c r="F65" i="8"/>
  <c r="E65" i="8"/>
  <c r="D65" i="8"/>
  <c r="C65" i="8"/>
  <c r="B65" i="8"/>
  <c r="A65" i="8"/>
  <c r="H64" i="8"/>
  <c r="G64" i="8"/>
  <c r="F64" i="8"/>
  <c r="E64" i="8"/>
  <c r="D64" i="8"/>
  <c r="C64" i="8"/>
  <c r="B64" i="8"/>
  <c r="A64" i="8"/>
  <c r="H63" i="8"/>
  <c r="G63" i="8"/>
  <c r="F63" i="8"/>
  <c r="E63" i="8"/>
  <c r="D63" i="8"/>
  <c r="C63" i="8"/>
  <c r="B63" i="8"/>
  <c r="A63" i="8"/>
  <c r="H62" i="8"/>
  <c r="G62" i="8"/>
  <c r="F62" i="8"/>
  <c r="E62" i="8"/>
  <c r="D62" i="8"/>
  <c r="C62" i="8"/>
  <c r="B62" i="8"/>
  <c r="A62" i="8"/>
  <c r="H61" i="8"/>
  <c r="G61" i="8"/>
  <c r="F61" i="8"/>
  <c r="E61" i="8"/>
  <c r="D61" i="8"/>
  <c r="C61" i="8"/>
  <c r="B61" i="8"/>
  <c r="A61" i="8"/>
  <c r="H60" i="8"/>
  <c r="G60" i="8"/>
  <c r="F60" i="8"/>
  <c r="E60" i="8"/>
  <c r="D60" i="8"/>
  <c r="C60" i="8"/>
  <c r="B60" i="8"/>
  <c r="A60" i="8"/>
  <c r="H59" i="8"/>
  <c r="G59" i="8"/>
  <c r="F59" i="8"/>
  <c r="E59" i="8"/>
  <c r="D59" i="8"/>
  <c r="C59" i="8"/>
  <c r="B59" i="8"/>
  <c r="A59" i="8"/>
  <c r="H58" i="8"/>
  <c r="G58" i="8"/>
  <c r="F58" i="8"/>
  <c r="E58" i="8"/>
  <c r="D58" i="8"/>
  <c r="C58" i="8"/>
  <c r="B58" i="8"/>
  <c r="A58" i="8"/>
  <c r="H57" i="8"/>
  <c r="G57" i="8"/>
  <c r="F57" i="8"/>
  <c r="E57" i="8"/>
  <c r="D57" i="8"/>
  <c r="C57" i="8"/>
  <c r="B57" i="8"/>
  <c r="A57" i="8"/>
  <c r="H56" i="8"/>
  <c r="G56" i="8"/>
  <c r="F56" i="8"/>
  <c r="E56" i="8"/>
  <c r="D56" i="8"/>
  <c r="C56" i="8"/>
  <c r="B56" i="8"/>
  <c r="A56" i="8"/>
  <c r="H55" i="8"/>
  <c r="G55" i="8"/>
  <c r="F55" i="8"/>
  <c r="E55" i="8"/>
  <c r="D55" i="8"/>
  <c r="C55" i="8"/>
  <c r="B55" i="8"/>
  <c r="A55" i="8"/>
  <c r="H54" i="8"/>
  <c r="G54" i="8"/>
  <c r="F54" i="8"/>
  <c r="E54" i="8"/>
  <c r="D54" i="8"/>
  <c r="C54" i="8"/>
  <c r="B54" i="8"/>
  <c r="A54" i="8"/>
  <c r="H53" i="8"/>
  <c r="G53" i="8"/>
  <c r="F53" i="8"/>
  <c r="E53" i="8"/>
  <c r="D53" i="8"/>
  <c r="C53" i="8"/>
  <c r="B53" i="8"/>
  <c r="A53" i="8"/>
  <c r="H52" i="8"/>
  <c r="G52" i="8"/>
  <c r="F52" i="8"/>
  <c r="E52" i="8"/>
  <c r="D52" i="8"/>
  <c r="C52" i="8"/>
  <c r="B52" i="8"/>
  <c r="A52" i="8"/>
  <c r="H51" i="8"/>
  <c r="G51" i="8"/>
  <c r="F51" i="8"/>
  <c r="E51" i="8"/>
  <c r="D51" i="8"/>
  <c r="C51" i="8"/>
  <c r="B51" i="8"/>
  <c r="A51" i="8"/>
  <c r="H50" i="8"/>
  <c r="G50" i="8"/>
  <c r="F50" i="8"/>
  <c r="E50" i="8"/>
  <c r="D50" i="8"/>
  <c r="C50" i="8"/>
  <c r="B50" i="8"/>
  <c r="A50" i="8"/>
  <c r="H49" i="8"/>
  <c r="G49" i="8"/>
  <c r="F49" i="8"/>
  <c r="E49" i="8"/>
  <c r="D49" i="8"/>
  <c r="C49" i="8"/>
  <c r="B49" i="8"/>
  <c r="A49" i="8"/>
  <c r="H48" i="8"/>
  <c r="G48" i="8"/>
  <c r="F48" i="8"/>
  <c r="E48" i="8"/>
  <c r="D48" i="8"/>
  <c r="C48" i="8"/>
  <c r="B48" i="8"/>
  <c r="A48" i="8"/>
  <c r="H47" i="8"/>
  <c r="G47" i="8"/>
  <c r="F47" i="8"/>
  <c r="E47" i="8"/>
  <c r="D47" i="8"/>
  <c r="C47" i="8"/>
  <c r="B47" i="8"/>
  <c r="A47" i="8"/>
  <c r="H46" i="8"/>
  <c r="G46" i="8"/>
  <c r="F46" i="8"/>
  <c r="E46" i="8"/>
  <c r="D46" i="8"/>
  <c r="C46" i="8"/>
  <c r="B46" i="8"/>
  <c r="A46" i="8"/>
  <c r="H45" i="8"/>
  <c r="G45" i="8"/>
  <c r="F45" i="8"/>
  <c r="E45" i="8"/>
  <c r="D45" i="8"/>
  <c r="C45" i="8"/>
  <c r="B45" i="8"/>
  <c r="A45" i="8"/>
  <c r="H44" i="8"/>
  <c r="G44" i="8"/>
  <c r="F44" i="8"/>
  <c r="E44" i="8"/>
  <c r="D44" i="8"/>
  <c r="C44" i="8"/>
  <c r="B44" i="8"/>
  <c r="A44" i="8"/>
  <c r="H43" i="8"/>
  <c r="G43" i="8"/>
  <c r="F43" i="8"/>
  <c r="E43" i="8"/>
  <c r="D43" i="8"/>
  <c r="C43" i="8"/>
  <c r="B43" i="8"/>
  <c r="A43" i="8"/>
  <c r="H42" i="8"/>
  <c r="G42" i="8"/>
  <c r="F42" i="8"/>
  <c r="E42" i="8"/>
  <c r="D42" i="8"/>
  <c r="C42" i="8"/>
  <c r="B42" i="8"/>
  <c r="A42" i="8"/>
  <c r="H41" i="8"/>
  <c r="G41" i="8"/>
  <c r="F41" i="8"/>
  <c r="E41" i="8"/>
  <c r="D41" i="8"/>
  <c r="C41" i="8"/>
  <c r="B41" i="8"/>
  <c r="A41" i="8"/>
  <c r="H40" i="8"/>
  <c r="G40" i="8"/>
  <c r="F40" i="8"/>
  <c r="E40" i="8"/>
  <c r="D40" i="8"/>
  <c r="C40" i="8"/>
  <c r="B40" i="8"/>
  <c r="A40" i="8"/>
  <c r="H39" i="8"/>
  <c r="G39" i="8"/>
  <c r="F39" i="8"/>
  <c r="E39" i="8"/>
  <c r="D39" i="8"/>
  <c r="C39" i="8"/>
  <c r="B39" i="8"/>
  <c r="A39" i="8"/>
  <c r="H38" i="8"/>
  <c r="G38" i="8"/>
  <c r="F38" i="8"/>
  <c r="E38" i="8"/>
  <c r="D38" i="8"/>
  <c r="C38" i="8"/>
  <c r="B38" i="8"/>
  <c r="A38" i="8"/>
  <c r="H37" i="8"/>
  <c r="G37" i="8"/>
  <c r="F37" i="8"/>
  <c r="E37" i="8"/>
  <c r="D37" i="8"/>
  <c r="C37" i="8"/>
  <c r="B37" i="8"/>
  <c r="A37" i="8"/>
  <c r="H36" i="8"/>
  <c r="G36" i="8"/>
  <c r="F36" i="8"/>
  <c r="E36" i="8"/>
  <c r="D36" i="8"/>
  <c r="C36" i="8"/>
  <c r="B36" i="8"/>
  <c r="A36" i="8"/>
  <c r="H35" i="8"/>
  <c r="G35" i="8"/>
  <c r="F35" i="8"/>
  <c r="E35" i="8"/>
  <c r="D35" i="8"/>
  <c r="C35" i="8"/>
  <c r="B35" i="8"/>
  <c r="A35" i="8"/>
  <c r="H34" i="8"/>
  <c r="G34" i="8"/>
  <c r="F34" i="8"/>
  <c r="E34" i="8"/>
  <c r="D34" i="8"/>
  <c r="C34" i="8"/>
  <c r="B34" i="8"/>
  <c r="A34" i="8"/>
  <c r="H33" i="8"/>
  <c r="G33" i="8"/>
  <c r="F33" i="8"/>
  <c r="E33" i="8"/>
  <c r="D33" i="8"/>
  <c r="C33" i="8"/>
  <c r="B33" i="8"/>
  <c r="A33" i="8"/>
  <c r="H32" i="8"/>
  <c r="G32" i="8"/>
  <c r="F32" i="8"/>
  <c r="E32" i="8"/>
  <c r="D32" i="8"/>
  <c r="C32" i="8"/>
  <c r="B32" i="8"/>
  <c r="A32" i="8"/>
  <c r="H31" i="8"/>
  <c r="G31" i="8"/>
  <c r="F31" i="8"/>
  <c r="E31" i="8"/>
  <c r="D31" i="8"/>
  <c r="C31" i="8"/>
  <c r="B31" i="8"/>
  <c r="A31" i="8"/>
  <c r="H30" i="8"/>
  <c r="G30" i="8"/>
  <c r="F30" i="8"/>
  <c r="E30" i="8"/>
  <c r="D30" i="8"/>
  <c r="C30" i="8"/>
  <c r="B30" i="8"/>
  <c r="A30" i="8"/>
  <c r="H29" i="8"/>
  <c r="G29" i="8"/>
  <c r="F29" i="8"/>
  <c r="E29" i="8"/>
  <c r="D29" i="8"/>
  <c r="C29" i="8"/>
  <c r="B29" i="8"/>
  <c r="A29" i="8"/>
  <c r="H28" i="8"/>
  <c r="G28" i="8"/>
  <c r="F28" i="8"/>
  <c r="E28" i="8"/>
  <c r="D28" i="8"/>
  <c r="C28" i="8"/>
  <c r="B28" i="8"/>
  <c r="A28" i="8"/>
  <c r="H27" i="8"/>
  <c r="G27" i="8"/>
  <c r="F27" i="8"/>
  <c r="E27" i="8"/>
  <c r="D27" i="8"/>
  <c r="C27" i="8"/>
  <c r="B27" i="8"/>
  <c r="A27" i="8"/>
  <c r="H26" i="8"/>
  <c r="G26" i="8"/>
  <c r="F26" i="8"/>
  <c r="E26" i="8"/>
  <c r="D26" i="8"/>
  <c r="C26" i="8"/>
  <c r="B26" i="8"/>
  <c r="A26" i="8"/>
  <c r="H25" i="8"/>
  <c r="G25" i="8"/>
  <c r="F25" i="8"/>
  <c r="E25" i="8"/>
  <c r="D25" i="8"/>
  <c r="C25" i="8"/>
  <c r="B25" i="8"/>
  <c r="A25" i="8"/>
  <c r="H24" i="8"/>
  <c r="G24" i="8"/>
  <c r="F24" i="8"/>
  <c r="E24" i="8"/>
  <c r="D24" i="8"/>
  <c r="C24" i="8"/>
  <c r="B24" i="8"/>
  <c r="A24" i="8"/>
  <c r="H23" i="8"/>
  <c r="G23" i="8"/>
  <c r="F23" i="8"/>
  <c r="E23" i="8"/>
  <c r="D23" i="8"/>
  <c r="C23" i="8"/>
  <c r="B23" i="8"/>
  <c r="A23" i="8"/>
  <c r="H22" i="8"/>
  <c r="G22" i="8"/>
  <c r="F22" i="8"/>
  <c r="E22" i="8"/>
  <c r="D22" i="8"/>
  <c r="C22" i="8"/>
  <c r="B22" i="8"/>
  <c r="A22" i="8"/>
  <c r="H21" i="8"/>
  <c r="G21" i="8"/>
  <c r="F21" i="8"/>
  <c r="E21" i="8"/>
  <c r="D21" i="8"/>
  <c r="C21" i="8"/>
  <c r="B21" i="8"/>
  <c r="A21" i="8"/>
  <c r="H20" i="8"/>
  <c r="G20" i="8"/>
  <c r="F20" i="8"/>
  <c r="E20" i="8"/>
  <c r="D20" i="8"/>
  <c r="C20" i="8"/>
  <c r="B20" i="8"/>
  <c r="A20" i="8"/>
  <c r="H19" i="8"/>
  <c r="G19" i="8"/>
  <c r="F19" i="8"/>
  <c r="E19" i="8"/>
  <c r="D19" i="8"/>
  <c r="C19" i="8"/>
  <c r="B19" i="8"/>
  <c r="A19" i="8"/>
  <c r="H18" i="8"/>
  <c r="G18" i="8"/>
  <c r="F18" i="8"/>
  <c r="E18" i="8"/>
  <c r="D18" i="8"/>
  <c r="C18" i="8"/>
  <c r="B18" i="8"/>
  <c r="A18" i="8"/>
  <c r="H17" i="8"/>
  <c r="G17" i="8"/>
  <c r="F17" i="8"/>
  <c r="E17" i="8"/>
  <c r="D17" i="8"/>
  <c r="C17" i="8"/>
  <c r="B17" i="8"/>
  <c r="A17" i="8"/>
  <c r="H16" i="8"/>
  <c r="G16" i="8"/>
  <c r="F16" i="8"/>
  <c r="E16" i="8"/>
  <c r="D16" i="8"/>
  <c r="C16" i="8"/>
  <c r="B16" i="8"/>
  <c r="A16" i="8"/>
  <c r="H15" i="8"/>
  <c r="G15" i="8"/>
  <c r="F15" i="8"/>
  <c r="E15" i="8"/>
  <c r="D15" i="8"/>
  <c r="C15" i="8"/>
  <c r="B15" i="8"/>
  <c r="A15" i="8"/>
  <c r="H14" i="8"/>
  <c r="G14" i="8"/>
  <c r="F14" i="8"/>
  <c r="E14" i="8"/>
  <c r="D14" i="8"/>
  <c r="C14" i="8"/>
  <c r="B14" i="8"/>
  <c r="A14" i="8"/>
  <c r="H13" i="8"/>
  <c r="G13" i="8"/>
  <c r="F13" i="8"/>
  <c r="E13" i="8"/>
  <c r="D13" i="8"/>
  <c r="C13" i="8"/>
  <c r="B13" i="8"/>
  <c r="A13" i="8"/>
  <c r="H12" i="8"/>
  <c r="G12" i="8"/>
  <c r="F12" i="8"/>
  <c r="E12" i="8"/>
  <c r="D12" i="8"/>
  <c r="C12" i="8"/>
  <c r="B12" i="8"/>
  <c r="A12" i="8"/>
  <c r="H11" i="8"/>
  <c r="G11" i="8"/>
  <c r="F11" i="8"/>
  <c r="E11" i="8"/>
  <c r="D11" i="8"/>
  <c r="C11" i="8"/>
  <c r="B11" i="8"/>
  <c r="A11" i="8"/>
  <c r="H10" i="8"/>
  <c r="G10" i="8"/>
  <c r="F10" i="8"/>
  <c r="E10" i="8"/>
  <c r="D10" i="8"/>
  <c r="C10" i="8"/>
  <c r="B10" i="8"/>
  <c r="A10" i="8"/>
  <c r="H9" i="8"/>
  <c r="G9" i="8"/>
  <c r="F9" i="8"/>
  <c r="E9" i="8"/>
  <c r="D9" i="8"/>
  <c r="C9" i="8"/>
  <c r="B9" i="8"/>
  <c r="A9" i="8"/>
  <c r="H8" i="8"/>
  <c r="G8" i="8"/>
  <c r="F8" i="8"/>
  <c r="E8" i="8"/>
  <c r="D8" i="8"/>
  <c r="C8" i="8"/>
  <c r="B8" i="8"/>
  <c r="A8" i="8"/>
  <c r="H7" i="8"/>
  <c r="G7" i="8"/>
  <c r="F7" i="8"/>
  <c r="E7" i="8"/>
  <c r="D7" i="8"/>
  <c r="C7" i="8"/>
  <c r="B7" i="8"/>
  <c r="A7" i="8"/>
  <c r="H6" i="8"/>
  <c r="G6" i="8"/>
  <c r="F6" i="8"/>
  <c r="E6" i="8"/>
  <c r="D6" i="8"/>
  <c r="C6" i="8"/>
  <c r="B6" i="8"/>
  <c r="A6" i="8"/>
  <c r="H5" i="8"/>
  <c r="G5" i="8"/>
  <c r="F5" i="8"/>
  <c r="E5" i="8"/>
  <c r="D5" i="8"/>
  <c r="C5" i="8"/>
  <c r="B5" i="8"/>
  <c r="A5" i="8"/>
  <c r="H4" i="8"/>
  <c r="G4" i="8"/>
  <c r="F4" i="8"/>
  <c r="E4" i="8"/>
  <c r="D4" i="8"/>
  <c r="C4" i="8"/>
  <c r="B4" i="8"/>
  <c r="A4" i="8"/>
  <c r="H3" i="8"/>
  <c r="G3" i="8"/>
  <c r="F3" i="8"/>
  <c r="D3" i="8"/>
  <c r="C3" i="8"/>
  <c r="B3" i="8"/>
  <c r="A3" i="8"/>
  <c r="H2" i="8"/>
  <c r="G2" i="8"/>
  <c r="F2" i="8"/>
  <c r="E2" i="8"/>
  <c r="D2" i="8"/>
  <c r="C2" i="8"/>
  <c r="B2" i="8"/>
  <c r="A2" i="8"/>
  <c r="N82" i="7"/>
  <c r="M82" i="7"/>
  <c r="L82" i="7"/>
  <c r="K82" i="7"/>
  <c r="J82" i="7"/>
  <c r="H82" i="7"/>
  <c r="N81" i="7"/>
  <c r="M81" i="7"/>
  <c r="L81" i="7"/>
  <c r="K81" i="7"/>
  <c r="J81" i="7"/>
  <c r="H81" i="7"/>
  <c r="N80" i="7"/>
  <c r="M80" i="7"/>
  <c r="L80" i="7"/>
  <c r="K80" i="7"/>
  <c r="J80" i="7"/>
  <c r="H80" i="7"/>
  <c r="N79" i="7"/>
  <c r="M79" i="7"/>
  <c r="L79" i="7"/>
  <c r="K79" i="7"/>
  <c r="J79" i="7"/>
  <c r="H79" i="7"/>
  <c r="N78" i="7"/>
  <c r="M78" i="7"/>
  <c r="L78" i="7"/>
  <c r="K78" i="7"/>
  <c r="J78" i="7"/>
  <c r="H78" i="7"/>
  <c r="N77" i="7"/>
  <c r="M77" i="7"/>
  <c r="L77" i="7"/>
  <c r="K77" i="7"/>
  <c r="J77" i="7"/>
  <c r="H77" i="7"/>
  <c r="N76" i="7"/>
  <c r="M76" i="7"/>
  <c r="L76" i="7"/>
  <c r="K76" i="7"/>
  <c r="J76" i="7"/>
  <c r="H76" i="7"/>
  <c r="N75" i="7"/>
  <c r="M75" i="7"/>
  <c r="L75" i="7"/>
  <c r="K75" i="7"/>
  <c r="J75" i="7"/>
  <c r="H75" i="7"/>
  <c r="N74" i="7"/>
  <c r="M74" i="7"/>
  <c r="L74" i="7"/>
  <c r="K74" i="7"/>
  <c r="J74" i="7"/>
  <c r="H74" i="7"/>
  <c r="N73" i="7"/>
  <c r="M73" i="7"/>
  <c r="L73" i="7"/>
  <c r="K73" i="7"/>
  <c r="J73" i="7"/>
  <c r="H73" i="7"/>
  <c r="N72" i="7"/>
  <c r="M72" i="7"/>
  <c r="L72" i="7"/>
  <c r="K72" i="7"/>
  <c r="J72" i="7"/>
  <c r="H72" i="7"/>
  <c r="N71" i="7"/>
  <c r="M71" i="7"/>
  <c r="L71" i="7"/>
  <c r="K71" i="7"/>
  <c r="J71" i="7"/>
  <c r="H71" i="7"/>
  <c r="N70" i="7"/>
  <c r="M70" i="7"/>
  <c r="L70" i="7"/>
  <c r="K70" i="7"/>
  <c r="J70" i="7"/>
  <c r="H70" i="7"/>
  <c r="N69" i="7"/>
  <c r="M69" i="7"/>
  <c r="L69" i="7"/>
  <c r="K69" i="7"/>
  <c r="J69" i="7"/>
  <c r="H69" i="7"/>
  <c r="N68" i="7"/>
  <c r="M68" i="7"/>
  <c r="L68" i="7"/>
  <c r="K68" i="7"/>
  <c r="J68" i="7"/>
  <c r="H68" i="7"/>
  <c r="N67" i="7"/>
  <c r="M67" i="7"/>
  <c r="L67" i="7"/>
  <c r="K67" i="7"/>
  <c r="J67" i="7"/>
  <c r="H67" i="7"/>
  <c r="N66" i="7"/>
  <c r="M66" i="7"/>
  <c r="L66" i="7"/>
  <c r="K66" i="7"/>
  <c r="J66" i="7"/>
  <c r="H66" i="7"/>
  <c r="N65" i="7"/>
  <c r="M65" i="7"/>
  <c r="L65" i="7"/>
  <c r="K65" i="7"/>
  <c r="J65" i="7"/>
  <c r="H65" i="7"/>
  <c r="N64" i="7"/>
  <c r="M64" i="7"/>
  <c r="L64" i="7"/>
  <c r="K64" i="7"/>
  <c r="J64" i="7"/>
  <c r="H64" i="7"/>
  <c r="N63" i="7"/>
  <c r="M63" i="7"/>
  <c r="L63" i="7"/>
  <c r="K63" i="7"/>
  <c r="J63" i="7"/>
  <c r="H63" i="7"/>
  <c r="N62" i="7"/>
  <c r="M62" i="7"/>
  <c r="L62" i="7"/>
  <c r="K62" i="7"/>
  <c r="J62" i="7"/>
  <c r="H62" i="7"/>
  <c r="N61" i="7"/>
  <c r="M61" i="7"/>
  <c r="L61" i="7"/>
  <c r="K61" i="7"/>
  <c r="J61" i="7"/>
  <c r="H61" i="7"/>
  <c r="N60" i="7"/>
  <c r="M60" i="7"/>
  <c r="L60" i="7"/>
  <c r="K60" i="7"/>
  <c r="J60" i="7"/>
  <c r="H60" i="7"/>
  <c r="N59" i="7"/>
  <c r="M59" i="7"/>
  <c r="L59" i="7"/>
  <c r="K59" i="7"/>
  <c r="J59" i="7"/>
  <c r="H59" i="7"/>
  <c r="N58" i="7"/>
  <c r="M58" i="7"/>
  <c r="L58" i="7"/>
  <c r="K58" i="7"/>
  <c r="J58" i="7"/>
  <c r="H58" i="7"/>
  <c r="N57" i="7"/>
  <c r="M57" i="7"/>
  <c r="L57" i="7"/>
  <c r="K57" i="7"/>
  <c r="J57" i="7"/>
  <c r="H57" i="7"/>
  <c r="N56" i="7"/>
  <c r="M56" i="7"/>
  <c r="L56" i="7"/>
  <c r="K56" i="7"/>
  <c r="J56" i="7"/>
  <c r="H56" i="7"/>
  <c r="N55" i="7"/>
  <c r="M55" i="7"/>
  <c r="L55" i="7"/>
  <c r="K55" i="7"/>
  <c r="J55" i="7"/>
  <c r="H55" i="7"/>
  <c r="N54" i="7"/>
  <c r="M54" i="7"/>
  <c r="L54" i="7"/>
  <c r="K54" i="7"/>
  <c r="J54" i="7"/>
  <c r="H54" i="7"/>
  <c r="N53" i="7"/>
  <c r="M53" i="7"/>
  <c r="L53" i="7"/>
  <c r="K53" i="7"/>
  <c r="J53" i="7"/>
  <c r="H53" i="7"/>
  <c r="N52" i="7"/>
  <c r="M52" i="7"/>
  <c r="L52" i="7"/>
  <c r="K52" i="7"/>
  <c r="J52" i="7"/>
  <c r="H52" i="7"/>
  <c r="N51" i="7"/>
  <c r="M51" i="7"/>
  <c r="L51" i="7"/>
  <c r="K51" i="7"/>
  <c r="J51" i="7"/>
  <c r="H51" i="7"/>
  <c r="N50" i="7"/>
  <c r="M50" i="7"/>
  <c r="L50" i="7"/>
  <c r="K50" i="7"/>
  <c r="J50" i="7"/>
  <c r="H50" i="7"/>
  <c r="N49" i="7"/>
  <c r="M49" i="7"/>
  <c r="L49" i="7"/>
  <c r="K49" i="7"/>
  <c r="J49" i="7"/>
  <c r="H49" i="7"/>
  <c r="N48" i="7"/>
  <c r="M48" i="7"/>
  <c r="L48" i="7"/>
  <c r="K48" i="7"/>
  <c r="J48" i="7"/>
  <c r="H48" i="7"/>
  <c r="N47" i="7"/>
  <c r="M47" i="7"/>
  <c r="L47" i="7"/>
  <c r="K47" i="7"/>
  <c r="J47" i="7"/>
  <c r="H47" i="7"/>
  <c r="N46" i="7"/>
  <c r="M46" i="7"/>
  <c r="L46" i="7"/>
  <c r="K46" i="7"/>
  <c r="J46" i="7"/>
  <c r="H46" i="7"/>
  <c r="N45" i="7"/>
  <c r="M45" i="7"/>
  <c r="L45" i="7"/>
  <c r="K45" i="7"/>
  <c r="J45" i="7"/>
  <c r="H45" i="7"/>
  <c r="N44" i="7"/>
  <c r="M44" i="7"/>
  <c r="L44" i="7"/>
  <c r="K44" i="7"/>
  <c r="J44" i="7"/>
  <c r="H44" i="7"/>
  <c r="N43" i="7"/>
  <c r="M43" i="7"/>
  <c r="L43" i="7"/>
  <c r="K43" i="7"/>
  <c r="J43" i="7"/>
  <c r="H43" i="7"/>
  <c r="N42" i="7"/>
  <c r="M42" i="7"/>
  <c r="L42" i="7"/>
  <c r="K42" i="7"/>
  <c r="J42" i="7"/>
  <c r="H42" i="7"/>
  <c r="N41" i="7"/>
  <c r="M41" i="7"/>
  <c r="L41" i="7"/>
  <c r="K41" i="7"/>
  <c r="J41" i="7"/>
  <c r="H41" i="7"/>
  <c r="N40" i="7"/>
  <c r="M40" i="7"/>
  <c r="L40" i="7"/>
  <c r="K40" i="7"/>
  <c r="J40" i="7"/>
  <c r="H40" i="7"/>
  <c r="N39" i="7"/>
  <c r="M39" i="7"/>
  <c r="L39" i="7"/>
  <c r="K39" i="7"/>
  <c r="J39" i="7"/>
  <c r="H39" i="7"/>
  <c r="N38" i="7"/>
  <c r="M38" i="7"/>
  <c r="L38" i="7"/>
  <c r="K38" i="7"/>
  <c r="J38" i="7"/>
  <c r="H38" i="7"/>
  <c r="N37" i="7"/>
  <c r="M37" i="7"/>
  <c r="L37" i="7"/>
  <c r="K37" i="7"/>
  <c r="J37" i="7"/>
  <c r="H37" i="7"/>
  <c r="N36" i="7"/>
  <c r="M36" i="7"/>
  <c r="L36" i="7"/>
  <c r="K36" i="7"/>
  <c r="J36" i="7"/>
  <c r="H36" i="7"/>
  <c r="N35" i="7"/>
  <c r="M35" i="7"/>
  <c r="L35" i="7"/>
  <c r="K35" i="7"/>
  <c r="J35" i="7"/>
  <c r="H35" i="7"/>
  <c r="N34" i="7"/>
  <c r="M34" i="7"/>
  <c r="L34" i="7"/>
  <c r="K34" i="7"/>
  <c r="J34" i="7"/>
  <c r="H34" i="7"/>
  <c r="N33" i="7"/>
  <c r="M33" i="7"/>
  <c r="L33" i="7"/>
  <c r="K33" i="7"/>
  <c r="J33" i="7"/>
  <c r="H33" i="7"/>
  <c r="N32" i="7"/>
  <c r="M32" i="7"/>
  <c r="L32" i="7"/>
  <c r="K32" i="7"/>
  <c r="J32" i="7"/>
  <c r="H32" i="7"/>
  <c r="N31" i="7"/>
  <c r="M31" i="7"/>
  <c r="L31" i="7"/>
  <c r="K31" i="7"/>
  <c r="J31" i="7"/>
  <c r="H31" i="7"/>
  <c r="N30" i="7"/>
  <c r="M30" i="7"/>
  <c r="L30" i="7"/>
  <c r="K30" i="7"/>
  <c r="J30" i="7"/>
  <c r="H30" i="7"/>
  <c r="N29" i="7"/>
  <c r="M29" i="7"/>
  <c r="L29" i="7"/>
  <c r="K29" i="7"/>
  <c r="J29" i="7"/>
  <c r="H29" i="7"/>
  <c r="N28" i="7"/>
  <c r="M28" i="7"/>
  <c r="L28" i="7"/>
  <c r="K28" i="7"/>
  <c r="J28" i="7"/>
  <c r="H28" i="7"/>
  <c r="N27" i="7"/>
  <c r="M27" i="7"/>
  <c r="L27" i="7"/>
  <c r="K27" i="7"/>
  <c r="J27" i="7"/>
  <c r="H27" i="7"/>
  <c r="N26" i="7"/>
  <c r="M26" i="7"/>
  <c r="L26" i="7"/>
  <c r="K26" i="7"/>
  <c r="J26" i="7"/>
  <c r="H26" i="7"/>
  <c r="N25" i="7"/>
  <c r="M25" i="7"/>
  <c r="L25" i="7"/>
  <c r="K25" i="7"/>
  <c r="J25" i="7"/>
  <c r="H25" i="7"/>
  <c r="N24" i="7"/>
  <c r="M24" i="7"/>
  <c r="L24" i="7"/>
  <c r="K24" i="7"/>
  <c r="J24" i="7"/>
  <c r="H24" i="7"/>
  <c r="N23" i="7"/>
  <c r="M23" i="7"/>
  <c r="L23" i="7"/>
  <c r="K23" i="7"/>
  <c r="J23" i="7"/>
  <c r="H23" i="7"/>
  <c r="N22" i="7"/>
  <c r="M22" i="7"/>
  <c r="L22" i="7"/>
  <c r="K22" i="7"/>
  <c r="J22" i="7"/>
  <c r="H22" i="7"/>
  <c r="N21" i="7"/>
  <c r="M21" i="7"/>
  <c r="L21" i="7"/>
  <c r="K21" i="7"/>
  <c r="J21" i="7"/>
  <c r="H21" i="7"/>
  <c r="N20" i="7"/>
  <c r="M20" i="7"/>
  <c r="L20" i="7"/>
  <c r="K20" i="7"/>
  <c r="J20" i="7"/>
  <c r="H20" i="7"/>
  <c r="N19" i="7"/>
  <c r="M19" i="7"/>
  <c r="L19" i="7"/>
  <c r="K19" i="7"/>
  <c r="J19" i="7"/>
  <c r="H19" i="7"/>
  <c r="N18" i="7"/>
  <c r="M18" i="7"/>
  <c r="L18" i="7"/>
  <c r="K18" i="7"/>
  <c r="J18" i="7"/>
  <c r="H18" i="7"/>
  <c r="N17" i="7"/>
  <c r="M17" i="7"/>
  <c r="L17" i="7"/>
  <c r="K17" i="7"/>
  <c r="J17" i="7"/>
  <c r="H17" i="7"/>
  <c r="N16" i="7"/>
  <c r="M16" i="7"/>
  <c r="L16" i="7"/>
  <c r="K16" i="7"/>
  <c r="J16" i="7"/>
  <c r="H16" i="7"/>
  <c r="N15" i="7"/>
  <c r="M15" i="7"/>
  <c r="L15" i="7"/>
  <c r="K15" i="7"/>
  <c r="J15" i="7"/>
  <c r="H15" i="7"/>
  <c r="N14" i="7"/>
  <c r="M14" i="7"/>
  <c r="L14" i="7"/>
  <c r="K14" i="7"/>
  <c r="J14" i="7"/>
  <c r="H14" i="7"/>
  <c r="N13" i="7"/>
  <c r="M13" i="7"/>
  <c r="L13" i="7"/>
  <c r="K13" i="7"/>
  <c r="J13" i="7"/>
  <c r="H13" i="7"/>
  <c r="N12" i="7"/>
  <c r="M12" i="7"/>
  <c r="L12" i="7"/>
  <c r="K12" i="7"/>
  <c r="J12" i="7"/>
  <c r="H12" i="7"/>
  <c r="N11" i="7"/>
  <c r="M11" i="7"/>
  <c r="L11" i="7"/>
  <c r="K11" i="7"/>
  <c r="J11" i="7"/>
  <c r="H11" i="7"/>
  <c r="N10" i="7"/>
  <c r="M10" i="7"/>
  <c r="L10" i="7"/>
  <c r="K10" i="7"/>
  <c r="J10" i="7"/>
  <c r="H10" i="7"/>
  <c r="N9" i="7"/>
  <c r="M9" i="7"/>
  <c r="L9" i="7"/>
  <c r="K9" i="7"/>
  <c r="J9" i="7"/>
  <c r="H9" i="7"/>
  <c r="N8" i="7"/>
  <c r="M8" i="7"/>
  <c r="L8" i="7"/>
  <c r="K8" i="7"/>
  <c r="J8" i="7"/>
  <c r="H8" i="7"/>
  <c r="N7" i="7"/>
  <c r="M7" i="7"/>
  <c r="L7" i="7"/>
  <c r="K7" i="7"/>
  <c r="J7" i="7"/>
  <c r="H7" i="7"/>
  <c r="N6" i="7"/>
  <c r="M6" i="7"/>
  <c r="L6" i="7"/>
  <c r="K6" i="7"/>
  <c r="J6" i="7"/>
  <c r="H6" i="7"/>
  <c r="N5" i="7"/>
  <c r="M5" i="7"/>
  <c r="L5" i="7"/>
  <c r="K5" i="7"/>
  <c r="J5" i="7"/>
  <c r="H5" i="7"/>
  <c r="N4" i="7"/>
  <c r="M4" i="7"/>
  <c r="L4" i="7"/>
  <c r="K4" i="7"/>
  <c r="J4" i="7"/>
  <c r="H4" i="7"/>
  <c r="N82" i="6"/>
  <c r="M82" i="6"/>
  <c r="L82" i="6"/>
  <c r="K82" i="6"/>
  <c r="J82" i="6"/>
  <c r="H82" i="6"/>
  <c r="N81" i="6"/>
  <c r="M81" i="6"/>
  <c r="L81" i="6"/>
  <c r="K81" i="6"/>
  <c r="J81" i="6"/>
  <c r="H81" i="6"/>
  <c r="N80" i="6"/>
  <c r="M80" i="6"/>
  <c r="L80" i="6"/>
  <c r="K80" i="6"/>
  <c r="J80" i="6"/>
  <c r="H80" i="6"/>
  <c r="N79" i="6"/>
  <c r="M79" i="6"/>
  <c r="L79" i="6"/>
  <c r="K79" i="6"/>
  <c r="J79" i="6"/>
  <c r="H79" i="6"/>
  <c r="N78" i="6"/>
  <c r="M78" i="6"/>
  <c r="L78" i="6"/>
  <c r="K78" i="6"/>
  <c r="J78" i="6"/>
  <c r="H78" i="6"/>
  <c r="N77" i="6"/>
  <c r="M77" i="6"/>
  <c r="L77" i="6"/>
  <c r="K77" i="6"/>
  <c r="J77" i="6"/>
  <c r="H77" i="6"/>
  <c r="N76" i="6"/>
  <c r="M76" i="6"/>
  <c r="L76" i="6"/>
  <c r="K76" i="6"/>
  <c r="J76" i="6"/>
  <c r="H76" i="6"/>
  <c r="N75" i="6"/>
  <c r="M75" i="6"/>
  <c r="L75" i="6"/>
  <c r="K75" i="6"/>
  <c r="J75" i="6"/>
  <c r="H75" i="6"/>
  <c r="N74" i="6"/>
  <c r="M74" i="6"/>
  <c r="L74" i="6"/>
  <c r="K74" i="6"/>
  <c r="J74" i="6"/>
  <c r="H74" i="6"/>
  <c r="N73" i="6"/>
  <c r="M73" i="6"/>
  <c r="L73" i="6"/>
  <c r="K73" i="6"/>
  <c r="J73" i="6"/>
  <c r="H73" i="6"/>
  <c r="N72" i="6"/>
  <c r="M72" i="6"/>
  <c r="L72" i="6"/>
  <c r="K72" i="6"/>
  <c r="J72" i="6"/>
  <c r="H72" i="6"/>
  <c r="N71" i="6"/>
  <c r="M71" i="6"/>
  <c r="L71" i="6"/>
  <c r="K71" i="6"/>
  <c r="J71" i="6"/>
  <c r="H71" i="6"/>
  <c r="N70" i="6"/>
  <c r="M70" i="6"/>
  <c r="L70" i="6"/>
  <c r="K70" i="6"/>
  <c r="J70" i="6"/>
  <c r="H70" i="6"/>
  <c r="N69" i="6"/>
  <c r="M69" i="6"/>
  <c r="L69" i="6"/>
  <c r="K69" i="6"/>
  <c r="J69" i="6"/>
  <c r="H69" i="6"/>
  <c r="N68" i="6"/>
  <c r="M68" i="6"/>
  <c r="L68" i="6"/>
  <c r="K68" i="6"/>
  <c r="J68" i="6"/>
  <c r="H68" i="6"/>
  <c r="N67" i="6"/>
  <c r="M67" i="6"/>
  <c r="L67" i="6"/>
  <c r="K67" i="6"/>
  <c r="J67" i="6"/>
  <c r="H67" i="6"/>
  <c r="N66" i="6"/>
  <c r="M66" i="6"/>
  <c r="L66" i="6"/>
  <c r="K66" i="6"/>
  <c r="J66" i="6"/>
  <c r="H66" i="6"/>
  <c r="N65" i="6"/>
  <c r="M65" i="6"/>
  <c r="L65" i="6"/>
  <c r="K65" i="6"/>
  <c r="J65" i="6"/>
  <c r="H65" i="6"/>
  <c r="N64" i="6"/>
  <c r="M64" i="6"/>
  <c r="L64" i="6"/>
  <c r="K64" i="6"/>
  <c r="J64" i="6"/>
  <c r="H64" i="6"/>
  <c r="N63" i="6"/>
  <c r="M63" i="6"/>
  <c r="L63" i="6"/>
  <c r="K63" i="6"/>
  <c r="J63" i="6"/>
  <c r="H63" i="6"/>
  <c r="N62" i="6"/>
  <c r="M62" i="6"/>
  <c r="L62" i="6"/>
  <c r="K62" i="6"/>
  <c r="J62" i="6"/>
  <c r="H62" i="6"/>
  <c r="N61" i="6"/>
  <c r="M61" i="6"/>
  <c r="L61" i="6"/>
  <c r="K61" i="6"/>
  <c r="J61" i="6"/>
  <c r="H61" i="6"/>
  <c r="N60" i="6"/>
  <c r="M60" i="6"/>
  <c r="L60" i="6"/>
  <c r="K60" i="6"/>
  <c r="J60" i="6"/>
  <c r="H60" i="6"/>
  <c r="N59" i="6"/>
  <c r="M59" i="6"/>
  <c r="L59" i="6"/>
  <c r="K59" i="6"/>
  <c r="J59" i="6"/>
  <c r="H59" i="6"/>
  <c r="N58" i="6"/>
  <c r="M58" i="6"/>
  <c r="L58" i="6"/>
  <c r="K58" i="6"/>
  <c r="J58" i="6"/>
  <c r="H58" i="6"/>
  <c r="N57" i="6"/>
  <c r="M57" i="6"/>
  <c r="L57" i="6"/>
  <c r="K57" i="6"/>
  <c r="J57" i="6"/>
  <c r="H57" i="6"/>
  <c r="N56" i="6"/>
  <c r="M56" i="6"/>
  <c r="L56" i="6"/>
  <c r="K56" i="6"/>
  <c r="J56" i="6"/>
  <c r="H56" i="6"/>
  <c r="N55" i="6"/>
  <c r="M55" i="6"/>
  <c r="L55" i="6"/>
  <c r="K55" i="6"/>
  <c r="J55" i="6"/>
  <c r="H55" i="6"/>
  <c r="N54" i="6"/>
  <c r="M54" i="6"/>
  <c r="L54" i="6"/>
  <c r="K54" i="6"/>
  <c r="J54" i="6"/>
  <c r="H54" i="6"/>
  <c r="N53" i="6"/>
  <c r="M53" i="6"/>
  <c r="L53" i="6"/>
  <c r="K53" i="6"/>
  <c r="J53" i="6"/>
  <c r="H53" i="6"/>
  <c r="N52" i="6"/>
  <c r="M52" i="6"/>
  <c r="L52" i="6"/>
  <c r="K52" i="6"/>
  <c r="J52" i="6"/>
  <c r="H52" i="6"/>
  <c r="N51" i="6"/>
  <c r="M51" i="6"/>
  <c r="L51" i="6"/>
  <c r="K51" i="6"/>
  <c r="J51" i="6"/>
  <c r="H51" i="6"/>
  <c r="N50" i="6"/>
  <c r="M50" i="6"/>
  <c r="L50" i="6"/>
  <c r="K50" i="6"/>
  <c r="J50" i="6"/>
  <c r="H50" i="6"/>
  <c r="N49" i="6"/>
  <c r="M49" i="6"/>
  <c r="L49" i="6"/>
  <c r="K49" i="6"/>
  <c r="J49" i="6"/>
  <c r="H49" i="6"/>
  <c r="N48" i="6"/>
  <c r="M48" i="6"/>
  <c r="L48" i="6"/>
  <c r="K48" i="6"/>
  <c r="J48" i="6"/>
  <c r="H48" i="6"/>
  <c r="N47" i="6"/>
  <c r="M47" i="6"/>
  <c r="L47" i="6"/>
  <c r="K47" i="6"/>
  <c r="J47" i="6"/>
  <c r="H47" i="6"/>
  <c r="N46" i="6"/>
  <c r="M46" i="6"/>
  <c r="L46" i="6"/>
  <c r="K46" i="6"/>
  <c r="J46" i="6"/>
  <c r="H46" i="6"/>
  <c r="N45" i="6"/>
  <c r="M45" i="6"/>
  <c r="L45" i="6"/>
  <c r="K45" i="6"/>
  <c r="J45" i="6"/>
  <c r="H45" i="6"/>
  <c r="N44" i="6"/>
  <c r="M44" i="6"/>
  <c r="L44" i="6"/>
  <c r="K44" i="6"/>
  <c r="J44" i="6"/>
  <c r="H44" i="6"/>
  <c r="N43" i="6"/>
  <c r="M43" i="6"/>
  <c r="L43" i="6"/>
  <c r="K43" i="6"/>
  <c r="J43" i="6"/>
  <c r="H43" i="6"/>
  <c r="N42" i="6"/>
  <c r="M42" i="6"/>
  <c r="L42" i="6"/>
  <c r="K42" i="6"/>
  <c r="J42" i="6"/>
  <c r="H42" i="6"/>
  <c r="N41" i="6"/>
  <c r="M41" i="6"/>
  <c r="L41" i="6"/>
  <c r="K41" i="6"/>
  <c r="J41" i="6"/>
  <c r="H41" i="6"/>
  <c r="N40" i="6"/>
  <c r="M40" i="6"/>
  <c r="L40" i="6"/>
  <c r="K40" i="6"/>
  <c r="J40" i="6"/>
  <c r="H40" i="6"/>
  <c r="N39" i="6"/>
  <c r="M39" i="6"/>
  <c r="L39" i="6"/>
  <c r="K39" i="6"/>
  <c r="J39" i="6"/>
  <c r="H39" i="6"/>
  <c r="N38" i="6"/>
  <c r="M38" i="6"/>
  <c r="L38" i="6"/>
  <c r="K38" i="6"/>
  <c r="J38" i="6"/>
  <c r="H38" i="6"/>
  <c r="N37" i="6"/>
  <c r="M37" i="6"/>
  <c r="L37" i="6"/>
  <c r="K37" i="6"/>
  <c r="J37" i="6"/>
  <c r="H37" i="6"/>
  <c r="N36" i="6"/>
  <c r="M36" i="6"/>
  <c r="L36" i="6"/>
  <c r="K36" i="6"/>
  <c r="J36" i="6"/>
  <c r="H36" i="6"/>
  <c r="N35" i="6"/>
  <c r="M35" i="6"/>
  <c r="L35" i="6"/>
  <c r="K35" i="6"/>
  <c r="J35" i="6"/>
  <c r="H35" i="6"/>
  <c r="N34" i="6"/>
  <c r="M34" i="6"/>
  <c r="L34" i="6"/>
  <c r="K34" i="6"/>
  <c r="J34" i="6"/>
  <c r="H34" i="6"/>
  <c r="N33" i="6"/>
  <c r="M33" i="6"/>
  <c r="L33" i="6"/>
  <c r="K33" i="6"/>
  <c r="J33" i="6"/>
  <c r="H33" i="6"/>
  <c r="N32" i="6"/>
  <c r="M32" i="6"/>
  <c r="L32" i="6"/>
  <c r="K32" i="6"/>
  <c r="J32" i="6"/>
  <c r="H32" i="6"/>
  <c r="N31" i="6"/>
  <c r="M31" i="6"/>
  <c r="L31" i="6"/>
  <c r="K31" i="6"/>
  <c r="J31" i="6"/>
  <c r="H31" i="6"/>
  <c r="N30" i="6"/>
  <c r="M30" i="6"/>
  <c r="L30" i="6"/>
  <c r="K30" i="6"/>
  <c r="J30" i="6"/>
  <c r="H30" i="6"/>
  <c r="N29" i="6"/>
  <c r="M29" i="6"/>
  <c r="L29" i="6"/>
  <c r="K29" i="6"/>
  <c r="J29" i="6"/>
  <c r="H29" i="6"/>
  <c r="N28" i="6"/>
  <c r="M28" i="6"/>
  <c r="L28" i="6"/>
  <c r="K28" i="6"/>
  <c r="J28" i="6"/>
  <c r="H28" i="6"/>
  <c r="N27" i="6"/>
  <c r="M27" i="6"/>
  <c r="L27" i="6"/>
  <c r="K27" i="6"/>
  <c r="J27" i="6"/>
  <c r="H27" i="6"/>
  <c r="N26" i="6"/>
  <c r="M26" i="6"/>
  <c r="L26" i="6"/>
  <c r="K26" i="6"/>
  <c r="J26" i="6"/>
  <c r="H26" i="6"/>
  <c r="N25" i="6"/>
  <c r="M25" i="6"/>
  <c r="L25" i="6"/>
  <c r="K25" i="6"/>
  <c r="J25" i="6"/>
  <c r="H25" i="6"/>
  <c r="N24" i="6"/>
  <c r="M24" i="6"/>
  <c r="L24" i="6"/>
  <c r="K24" i="6"/>
  <c r="J24" i="6"/>
  <c r="H24" i="6"/>
  <c r="N23" i="6"/>
  <c r="M23" i="6"/>
  <c r="L23" i="6"/>
  <c r="K23" i="6"/>
  <c r="J23" i="6"/>
  <c r="H23" i="6"/>
  <c r="N22" i="6"/>
  <c r="M22" i="6"/>
  <c r="L22" i="6"/>
  <c r="K22" i="6"/>
  <c r="J22" i="6"/>
  <c r="H22" i="6"/>
  <c r="N21" i="6"/>
  <c r="M21" i="6"/>
  <c r="L21" i="6"/>
  <c r="K21" i="6"/>
  <c r="J21" i="6"/>
  <c r="H21" i="6"/>
  <c r="N20" i="6"/>
  <c r="M20" i="6"/>
  <c r="L20" i="6"/>
  <c r="K20" i="6"/>
  <c r="J20" i="6"/>
  <c r="H20" i="6"/>
  <c r="N19" i="6"/>
  <c r="M19" i="6"/>
  <c r="L19" i="6"/>
  <c r="K19" i="6"/>
  <c r="J19" i="6"/>
  <c r="H19" i="6"/>
  <c r="N18" i="6"/>
  <c r="M18" i="6"/>
  <c r="L18" i="6"/>
  <c r="K18" i="6"/>
  <c r="J18" i="6"/>
  <c r="H18" i="6"/>
  <c r="N17" i="6"/>
  <c r="M17" i="6"/>
  <c r="L17" i="6"/>
  <c r="K17" i="6"/>
  <c r="J17" i="6"/>
  <c r="H17" i="6"/>
  <c r="N16" i="6"/>
  <c r="M16" i="6"/>
  <c r="L16" i="6"/>
  <c r="K16" i="6"/>
  <c r="J16" i="6"/>
  <c r="H16" i="6"/>
  <c r="N15" i="6"/>
  <c r="M15" i="6"/>
  <c r="L15" i="6"/>
  <c r="K15" i="6"/>
  <c r="J15" i="6"/>
  <c r="H15" i="6"/>
  <c r="N14" i="6"/>
  <c r="M14" i="6"/>
  <c r="L14" i="6"/>
  <c r="K14" i="6"/>
  <c r="J14" i="6"/>
  <c r="H14" i="6"/>
  <c r="N13" i="6"/>
  <c r="M13" i="6"/>
  <c r="L13" i="6"/>
  <c r="K13" i="6"/>
  <c r="J13" i="6"/>
  <c r="H13" i="6"/>
  <c r="N12" i="6"/>
  <c r="M12" i="6"/>
  <c r="L12" i="6"/>
  <c r="K12" i="6"/>
  <c r="J12" i="6"/>
  <c r="H12" i="6"/>
  <c r="N11" i="6"/>
  <c r="M11" i="6"/>
  <c r="L11" i="6"/>
  <c r="K11" i="6"/>
  <c r="J11" i="6"/>
  <c r="H11" i="6"/>
  <c r="N10" i="6"/>
  <c r="M10" i="6"/>
  <c r="L10" i="6"/>
  <c r="K10" i="6"/>
  <c r="J10" i="6"/>
  <c r="H10" i="6"/>
  <c r="N9" i="6"/>
  <c r="M9" i="6"/>
  <c r="L9" i="6"/>
  <c r="K9" i="6"/>
  <c r="J9" i="6"/>
  <c r="H9" i="6"/>
  <c r="N8" i="6"/>
  <c r="M8" i="6"/>
  <c r="L8" i="6"/>
  <c r="K8" i="6"/>
  <c r="J8" i="6"/>
  <c r="H8" i="6"/>
  <c r="N7" i="6"/>
  <c r="M7" i="6"/>
  <c r="L7" i="6"/>
  <c r="K7" i="6"/>
  <c r="J7" i="6"/>
  <c r="H7" i="6"/>
  <c r="N6" i="6"/>
  <c r="M6" i="6"/>
  <c r="L6" i="6"/>
  <c r="K6" i="6"/>
  <c r="J6" i="6"/>
  <c r="H6" i="6"/>
  <c r="N5" i="6"/>
  <c r="M5" i="6"/>
  <c r="L5" i="6"/>
  <c r="K5" i="6"/>
  <c r="J5" i="6"/>
  <c r="H5" i="6"/>
  <c r="N4" i="6"/>
  <c r="M4" i="6"/>
  <c r="L4" i="6"/>
  <c r="K4" i="6"/>
  <c r="J4" i="6"/>
  <c r="H4" i="6"/>
  <c r="N3" i="6"/>
  <c r="M3" i="6"/>
  <c r="L3" i="6"/>
  <c r="K3" i="6"/>
  <c r="J3" i="6"/>
  <c r="H3" i="6"/>
  <c r="H83" i="6" s="1"/>
  <c r="N82" i="5"/>
  <c r="M82" i="5"/>
  <c r="L82" i="5"/>
  <c r="K82" i="5"/>
  <c r="J82" i="5"/>
  <c r="H82" i="5"/>
  <c r="N81" i="5"/>
  <c r="M81" i="5"/>
  <c r="L81" i="5"/>
  <c r="K81" i="5"/>
  <c r="J81" i="5"/>
  <c r="H81" i="5"/>
  <c r="N80" i="5"/>
  <c r="M80" i="5"/>
  <c r="L80" i="5"/>
  <c r="K80" i="5"/>
  <c r="J80" i="5"/>
  <c r="H80" i="5"/>
  <c r="N79" i="5"/>
  <c r="M79" i="5"/>
  <c r="L79" i="5"/>
  <c r="K79" i="5"/>
  <c r="J79" i="5"/>
  <c r="H79" i="5"/>
  <c r="N78" i="5"/>
  <c r="M78" i="5"/>
  <c r="L78" i="5"/>
  <c r="K78" i="5"/>
  <c r="J78" i="5"/>
  <c r="H78" i="5"/>
  <c r="N77" i="5"/>
  <c r="M77" i="5"/>
  <c r="L77" i="5"/>
  <c r="K77" i="5"/>
  <c r="J77" i="5"/>
  <c r="H77" i="5"/>
  <c r="N76" i="5"/>
  <c r="M76" i="5"/>
  <c r="L76" i="5"/>
  <c r="K76" i="5"/>
  <c r="J76" i="5"/>
  <c r="H76" i="5"/>
  <c r="N75" i="5"/>
  <c r="M75" i="5"/>
  <c r="L75" i="5"/>
  <c r="K75" i="5"/>
  <c r="J75" i="5"/>
  <c r="H75" i="5"/>
  <c r="N74" i="5"/>
  <c r="M74" i="5"/>
  <c r="L74" i="5"/>
  <c r="K74" i="5"/>
  <c r="J74" i="5"/>
  <c r="H74" i="5"/>
  <c r="N73" i="5"/>
  <c r="M73" i="5"/>
  <c r="L73" i="5"/>
  <c r="K73" i="5"/>
  <c r="J73" i="5"/>
  <c r="H73" i="5"/>
  <c r="N72" i="5"/>
  <c r="M72" i="5"/>
  <c r="L72" i="5"/>
  <c r="K72" i="5"/>
  <c r="J72" i="5"/>
  <c r="H72" i="5"/>
  <c r="N71" i="5"/>
  <c r="M71" i="5"/>
  <c r="L71" i="5"/>
  <c r="K71" i="5"/>
  <c r="J71" i="5"/>
  <c r="H71" i="5"/>
  <c r="N70" i="5"/>
  <c r="M70" i="5"/>
  <c r="L70" i="5"/>
  <c r="K70" i="5"/>
  <c r="J70" i="5"/>
  <c r="H70" i="5"/>
  <c r="N69" i="5"/>
  <c r="M69" i="5"/>
  <c r="L69" i="5"/>
  <c r="K69" i="5"/>
  <c r="J69" i="5"/>
  <c r="H69" i="5"/>
  <c r="N68" i="5"/>
  <c r="M68" i="5"/>
  <c r="L68" i="5"/>
  <c r="K68" i="5"/>
  <c r="J68" i="5"/>
  <c r="H68" i="5"/>
  <c r="N67" i="5"/>
  <c r="M67" i="5"/>
  <c r="L67" i="5"/>
  <c r="K67" i="5"/>
  <c r="J67" i="5"/>
  <c r="H67" i="5"/>
  <c r="N66" i="5"/>
  <c r="M66" i="5"/>
  <c r="L66" i="5"/>
  <c r="K66" i="5"/>
  <c r="J66" i="5"/>
  <c r="H66" i="5"/>
  <c r="N65" i="5"/>
  <c r="M65" i="5"/>
  <c r="L65" i="5"/>
  <c r="K65" i="5"/>
  <c r="J65" i="5"/>
  <c r="H65" i="5"/>
  <c r="N64" i="5"/>
  <c r="M64" i="5"/>
  <c r="L64" i="5"/>
  <c r="K64" i="5"/>
  <c r="J64" i="5"/>
  <c r="H64" i="5"/>
  <c r="N63" i="5"/>
  <c r="M63" i="5"/>
  <c r="L63" i="5"/>
  <c r="K63" i="5"/>
  <c r="J63" i="5"/>
  <c r="H63" i="5"/>
  <c r="N62" i="5"/>
  <c r="M62" i="5"/>
  <c r="L62" i="5"/>
  <c r="K62" i="5"/>
  <c r="J62" i="5"/>
  <c r="H62" i="5"/>
  <c r="N61" i="5"/>
  <c r="M61" i="5"/>
  <c r="L61" i="5"/>
  <c r="K61" i="5"/>
  <c r="J61" i="5"/>
  <c r="H61" i="5"/>
  <c r="N60" i="5"/>
  <c r="M60" i="5"/>
  <c r="L60" i="5"/>
  <c r="K60" i="5"/>
  <c r="J60" i="5"/>
  <c r="H60" i="5"/>
  <c r="N59" i="5"/>
  <c r="M59" i="5"/>
  <c r="L59" i="5"/>
  <c r="K59" i="5"/>
  <c r="J59" i="5"/>
  <c r="H59" i="5"/>
  <c r="N58" i="5"/>
  <c r="M58" i="5"/>
  <c r="L58" i="5"/>
  <c r="K58" i="5"/>
  <c r="J58" i="5"/>
  <c r="H58" i="5"/>
  <c r="N57" i="5"/>
  <c r="M57" i="5"/>
  <c r="L57" i="5"/>
  <c r="K57" i="5"/>
  <c r="J57" i="5"/>
  <c r="H57" i="5"/>
  <c r="N56" i="5"/>
  <c r="M56" i="5"/>
  <c r="L56" i="5"/>
  <c r="K56" i="5"/>
  <c r="J56" i="5"/>
  <c r="H56" i="5"/>
  <c r="N55" i="5"/>
  <c r="M55" i="5"/>
  <c r="L55" i="5"/>
  <c r="K55" i="5"/>
  <c r="J55" i="5"/>
  <c r="H55" i="5"/>
  <c r="N54" i="5"/>
  <c r="M54" i="5"/>
  <c r="L54" i="5"/>
  <c r="K54" i="5"/>
  <c r="J54" i="5"/>
  <c r="H54" i="5"/>
  <c r="N53" i="5"/>
  <c r="M53" i="5"/>
  <c r="L53" i="5"/>
  <c r="K53" i="5"/>
  <c r="J53" i="5"/>
  <c r="H53" i="5"/>
  <c r="N52" i="5"/>
  <c r="M52" i="5"/>
  <c r="L52" i="5"/>
  <c r="K52" i="5"/>
  <c r="J52" i="5"/>
  <c r="H52" i="5"/>
  <c r="N51" i="5"/>
  <c r="M51" i="5"/>
  <c r="L51" i="5"/>
  <c r="K51" i="5"/>
  <c r="J51" i="5"/>
  <c r="H51" i="5"/>
  <c r="N50" i="5"/>
  <c r="M50" i="5"/>
  <c r="L50" i="5"/>
  <c r="K50" i="5"/>
  <c r="J50" i="5"/>
  <c r="H50" i="5"/>
  <c r="N49" i="5"/>
  <c r="M49" i="5"/>
  <c r="L49" i="5"/>
  <c r="K49" i="5"/>
  <c r="J49" i="5"/>
  <c r="H49" i="5"/>
  <c r="N48" i="5"/>
  <c r="M48" i="5"/>
  <c r="L48" i="5"/>
  <c r="K48" i="5"/>
  <c r="J48" i="5"/>
  <c r="H48" i="5"/>
  <c r="N47" i="5"/>
  <c r="M47" i="5"/>
  <c r="L47" i="5"/>
  <c r="K47" i="5"/>
  <c r="J47" i="5"/>
  <c r="H47" i="5"/>
  <c r="N46" i="5"/>
  <c r="M46" i="5"/>
  <c r="L46" i="5"/>
  <c r="K46" i="5"/>
  <c r="J46" i="5"/>
  <c r="H46" i="5"/>
  <c r="N45" i="5"/>
  <c r="M45" i="5"/>
  <c r="L45" i="5"/>
  <c r="K45" i="5"/>
  <c r="J45" i="5"/>
  <c r="H45" i="5"/>
  <c r="N44" i="5"/>
  <c r="M44" i="5"/>
  <c r="L44" i="5"/>
  <c r="K44" i="5"/>
  <c r="J44" i="5"/>
  <c r="H44" i="5"/>
  <c r="N43" i="5"/>
  <c r="M43" i="5"/>
  <c r="L43" i="5"/>
  <c r="K43" i="5"/>
  <c r="J43" i="5"/>
  <c r="H43" i="5"/>
  <c r="N42" i="5"/>
  <c r="M42" i="5"/>
  <c r="L42" i="5"/>
  <c r="K42" i="5"/>
  <c r="J42" i="5"/>
  <c r="H42" i="5"/>
  <c r="N41" i="5"/>
  <c r="M41" i="5"/>
  <c r="L41" i="5"/>
  <c r="K41" i="5"/>
  <c r="J41" i="5"/>
  <c r="H41" i="5"/>
  <c r="N40" i="5"/>
  <c r="M40" i="5"/>
  <c r="L40" i="5"/>
  <c r="K40" i="5"/>
  <c r="J40" i="5"/>
  <c r="H40" i="5"/>
  <c r="N39" i="5"/>
  <c r="M39" i="5"/>
  <c r="L39" i="5"/>
  <c r="K39" i="5"/>
  <c r="J39" i="5"/>
  <c r="H39" i="5"/>
  <c r="N38" i="5"/>
  <c r="M38" i="5"/>
  <c r="L38" i="5"/>
  <c r="K38" i="5"/>
  <c r="J38" i="5"/>
  <c r="H38" i="5"/>
  <c r="N37" i="5"/>
  <c r="M37" i="5"/>
  <c r="L37" i="5"/>
  <c r="K37" i="5"/>
  <c r="J37" i="5"/>
  <c r="H37" i="5"/>
  <c r="N36" i="5"/>
  <c r="M36" i="5"/>
  <c r="L36" i="5"/>
  <c r="K36" i="5"/>
  <c r="J36" i="5"/>
  <c r="H36" i="5"/>
  <c r="N35" i="5"/>
  <c r="M35" i="5"/>
  <c r="L35" i="5"/>
  <c r="K35" i="5"/>
  <c r="J35" i="5"/>
  <c r="H35" i="5"/>
  <c r="N34" i="5"/>
  <c r="M34" i="5"/>
  <c r="L34" i="5"/>
  <c r="K34" i="5"/>
  <c r="J34" i="5"/>
  <c r="H34" i="5"/>
  <c r="N33" i="5"/>
  <c r="M33" i="5"/>
  <c r="L33" i="5"/>
  <c r="K33" i="5"/>
  <c r="J33" i="5"/>
  <c r="H33" i="5"/>
  <c r="N32" i="5"/>
  <c r="M32" i="5"/>
  <c r="L32" i="5"/>
  <c r="K32" i="5"/>
  <c r="J32" i="5"/>
  <c r="H32" i="5"/>
  <c r="N31" i="5"/>
  <c r="M31" i="5"/>
  <c r="L31" i="5"/>
  <c r="K31" i="5"/>
  <c r="J31" i="5"/>
  <c r="H31" i="5"/>
  <c r="N30" i="5"/>
  <c r="M30" i="5"/>
  <c r="L30" i="5"/>
  <c r="K30" i="5"/>
  <c r="J30" i="5"/>
  <c r="H30" i="5"/>
  <c r="N29" i="5"/>
  <c r="M29" i="5"/>
  <c r="L29" i="5"/>
  <c r="K29" i="5"/>
  <c r="J29" i="5"/>
  <c r="H29" i="5"/>
  <c r="N28" i="5"/>
  <c r="M28" i="5"/>
  <c r="L28" i="5"/>
  <c r="K28" i="5"/>
  <c r="J28" i="5"/>
  <c r="H28" i="5"/>
  <c r="N27" i="5"/>
  <c r="M27" i="5"/>
  <c r="L27" i="5"/>
  <c r="K27" i="5"/>
  <c r="J27" i="5"/>
  <c r="N26" i="5"/>
  <c r="M26" i="5"/>
  <c r="L26" i="5"/>
  <c r="K26" i="5"/>
  <c r="J26" i="5"/>
  <c r="N25" i="5"/>
  <c r="M25" i="5"/>
  <c r="L25" i="5"/>
  <c r="K25" i="5"/>
  <c r="J25" i="5"/>
  <c r="N24" i="5"/>
  <c r="M24" i="5"/>
  <c r="L24" i="5"/>
  <c r="K24" i="5"/>
  <c r="J24" i="5"/>
  <c r="N23" i="5"/>
  <c r="M23" i="5"/>
  <c r="L23" i="5"/>
  <c r="K23" i="5"/>
  <c r="J23" i="5"/>
  <c r="N22" i="5"/>
  <c r="M22" i="5"/>
  <c r="L22" i="5"/>
  <c r="K22" i="5"/>
  <c r="J22" i="5"/>
  <c r="N21" i="5"/>
  <c r="M21" i="5"/>
  <c r="L21" i="5"/>
  <c r="K21" i="5"/>
  <c r="J21" i="5"/>
  <c r="H12" i="5"/>
  <c r="N20" i="5"/>
  <c r="M20" i="5"/>
  <c r="L20" i="5"/>
  <c r="K20" i="5"/>
  <c r="J20" i="5"/>
  <c r="H11" i="5"/>
  <c r="N19" i="5"/>
  <c r="M19" i="5"/>
  <c r="L19" i="5"/>
  <c r="K19" i="5"/>
  <c r="J19" i="5"/>
  <c r="H10" i="5"/>
  <c r="N18" i="5"/>
  <c r="M18" i="5"/>
  <c r="L18" i="5"/>
  <c r="K18" i="5"/>
  <c r="J18" i="5"/>
  <c r="H9" i="5"/>
  <c r="N17" i="5"/>
  <c r="M17" i="5"/>
  <c r="L17" i="5"/>
  <c r="K17" i="5"/>
  <c r="J17" i="5"/>
  <c r="H8" i="5"/>
  <c r="N16" i="5"/>
  <c r="M16" i="5"/>
  <c r="L16" i="5"/>
  <c r="K16" i="5"/>
  <c r="J16" i="5"/>
  <c r="H7" i="5"/>
  <c r="N15" i="5"/>
  <c r="M15" i="5"/>
  <c r="L15" i="5"/>
  <c r="K15" i="5"/>
  <c r="J15" i="5"/>
  <c r="H6" i="5"/>
  <c r="N14" i="5"/>
  <c r="M14" i="5"/>
  <c r="L14" i="5"/>
  <c r="K14" i="5"/>
  <c r="J14" i="5"/>
  <c r="H5" i="5"/>
  <c r="N13" i="5"/>
  <c r="M13" i="5"/>
  <c r="L13" i="5"/>
  <c r="K13" i="5"/>
  <c r="J13" i="5"/>
  <c r="H4" i="5"/>
  <c r="N12" i="5"/>
  <c r="M12" i="5"/>
  <c r="L12" i="5"/>
  <c r="K12" i="5"/>
  <c r="J12" i="5"/>
  <c r="H21" i="5"/>
  <c r="N8" i="5"/>
  <c r="M8" i="5"/>
  <c r="L8" i="5"/>
  <c r="K8" i="5"/>
  <c r="J8" i="5"/>
  <c r="H13" i="5"/>
  <c r="N11" i="5"/>
  <c r="M11" i="5"/>
  <c r="L11" i="5"/>
  <c r="K11" i="5"/>
  <c r="J11" i="5"/>
  <c r="H14" i="5"/>
  <c r="N10" i="5"/>
  <c r="M10" i="5"/>
  <c r="L10" i="5"/>
  <c r="K10" i="5"/>
  <c r="J10" i="5"/>
  <c r="H3" i="5"/>
  <c r="E168" i="8" s="1"/>
  <c r="N9" i="5"/>
  <c r="M9" i="5"/>
  <c r="L9" i="5"/>
  <c r="K9" i="5"/>
  <c r="J9" i="5"/>
  <c r="H20" i="5"/>
  <c r="N7" i="5"/>
  <c r="M7" i="5"/>
  <c r="L7" i="5"/>
  <c r="K7" i="5"/>
  <c r="J7" i="5"/>
  <c r="H19" i="5"/>
  <c r="E166" i="8" s="1"/>
  <c r="N6" i="5"/>
  <c r="M6" i="5"/>
  <c r="L6" i="5"/>
  <c r="K6" i="5"/>
  <c r="J6" i="5"/>
  <c r="H18" i="5"/>
  <c r="E165" i="8" s="1"/>
  <c r="N5" i="5"/>
  <c r="M5" i="5"/>
  <c r="L5" i="5"/>
  <c r="K5" i="5"/>
  <c r="J5" i="5"/>
  <c r="H17" i="5"/>
  <c r="N4" i="5"/>
  <c r="M4" i="5"/>
  <c r="L4" i="5"/>
  <c r="K4" i="5"/>
  <c r="J4" i="5"/>
  <c r="H16" i="5"/>
  <c r="N3" i="5"/>
  <c r="M3" i="5"/>
  <c r="L3" i="5"/>
  <c r="K3" i="5"/>
  <c r="J3" i="5"/>
  <c r="H15" i="5"/>
  <c r="N82" i="4"/>
  <c r="M82" i="4"/>
  <c r="L82" i="4"/>
  <c r="K82" i="4"/>
  <c r="J82" i="4"/>
  <c r="H82" i="4"/>
  <c r="N81" i="4"/>
  <c r="M81" i="4"/>
  <c r="L81" i="4"/>
  <c r="K81" i="4"/>
  <c r="J81" i="4"/>
  <c r="H81" i="4"/>
  <c r="N80" i="4"/>
  <c r="M80" i="4"/>
  <c r="L80" i="4"/>
  <c r="K80" i="4"/>
  <c r="J80" i="4"/>
  <c r="H80" i="4"/>
  <c r="N79" i="4"/>
  <c r="M79" i="4"/>
  <c r="L79" i="4"/>
  <c r="K79" i="4"/>
  <c r="J79" i="4"/>
  <c r="H79" i="4"/>
  <c r="N78" i="4"/>
  <c r="M78" i="4"/>
  <c r="L78" i="4"/>
  <c r="K78" i="4"/>
  <c r="J78" i="4"/>
  <c r="H78" i="4"/>
  <c r="N77" i="4"/>
  <c r="M77" i="4"/>
  <c r="L77" i="4"/>
  <c r="K77" i="4"/>
  <c r="J77" i="4"/>
  <c r="H77" i="4"/>
  <c r="N76" i="4"/>
  <c r="M76" i="4"/>
  <c r="L76" i="4"/>
  <c r="K76" i="4"/>
  <c r="J76" i="4"/>
  <c r="H76" i="4"/>
  <c r="N75" i="4"/>
  <c r="M75" i="4"/>
  <c r="L75" i="4"/>
  <c r="K75" i="4"/>
  <c r="J75" i="4"/>
  <c r="H75" i="4"/>
  <c r="N74" i="4"/>
  <c r="M74" i="4"/>
  <c r="L74" i="4"/>
  <c r="K74" i="4"/>
  <c r="J74" i="4"/>
  <c r="H74" i="4"/>
  <c r="N73" i="4"/>
  <c r="M73" i="4"/>
  <c r="L73" i="4"/>
  <c r="K73" i="4"/>
  <c r="J73" i="4"/>
  <c r="H73" i="4"/>
  <c r="N72" i="4"/>
  <c r="M72" i="4"/>
  <c r="L72" i="4"/>
  <c r="K72" i="4"/>
  <c r="J72" i="4"/>
  <c r="H72" i="4"/>
  <c r="N71" i="4"/>
  <c r="M71" i="4"/>
  <c r="L71" i="4"/>
  <c r="K71" i="4"/>
  <c r="J71" i="4"/>
  <c r="H71" i="4"/>
  <c r="N70" i="4"/>
  <c r="M70" i="4"/>
  <c r="L70" i="4"/>
  <c r="K70" i="4"/>
  <c r="J70" i="4"/>
  <c r="H70" i="4"/>
  <c r="N69" i="4"/>
  <c r="M69" i="4"/>
  <c r="L69" i="4"/>
  <c r="K69" i="4"/>
  <c r="J69" i="4"/>
  <c r="H69" i="4"/>
  <c r="N68" i="4"/>
  <c r="M68" i="4"/>
  <c r="L68" i="4"/>
  <c r="K68" i="4"/>
  <c r="J68" i="4"/>
  <c r="H68" i="4"/>
  <c r="N67" i="4"/>
  <c r="M67" i="4"/>
  <c r="L67" i="4"/>
  <c r="K67" i="4"/>
  <c r="J67" i="4"/>
  <c r="H67" i="4"/>
  <c r="N66" i="4"/>
  <c r="M66" i="4"/>
  <c r="L66" i="4"/>
  <c r="K66" i="4"/>
  <c r="J66" i="4"/>
  <c r="H66" i="4"/>
  <c r="N65" i="4"/>
  <c r="M65" i="4"/>
  <c r="L65" i="4"/>
  <c r="K65" i="4"/>
  <c r="J65" i="4"/>
  <c r="H65" i="4"/>
  <c r="N64" i="4"/>
  <c r="M64" i="4"/>
  <c r="L64" i="4"/>
  <c r="K64" i="4"/>
  <c r="J64" i="4"/>
  <c r="H64" i="4"/>
  <c r="N63" i="4"/>
  <c r="M63" i="4"/>
  <c r="L63" i="4"/>
  <c r="K63" i="4"/>
  <c r="J63" i="4"/>
  <c r="H63" i="4"/>
  <c r="N62" i="4"/>
  <c r="M62" i="4"/>
  <c r="L62" i="4"/>
  <c r="K62" i="4"/>
  <c r="J62" i="4"/>
  <c r="H62" i="4"/>
  <c r="N61" i="4"/>
  <c r="M61" i="4"/>
  <c r="L61" i="4"/>
  <c r="K61" i="4"/>
  <c r="J61" i="4"/>
  <c r="H61" i="4"/>
  <c r="N60" i="4"/>
  <c r="M60" i="4"/>
  <c r="L60" i="4"/>
  <c r="K60" i="4"/>
  <c r="J60" i="4"/>
  <c r="H60" i="4"/>
  <c r="N59" i="4"/>
  <c r="M59" i="4"/>
  <c r="L59" i="4"/>
  <c r="K59" i="4"/>
  <c r="J59" i="4"/>
  <c r="H59" i="4"/>
  <c r="N58" i="4"/>
  <c r="M58" i="4"/>
  <c r="L58" i="4"/>
  <c r="K58" i="4"/>
  <c r="J58" i="4"/>
  <c r="H58" i="4"/>
  <c r="N57" i="4"/>
  <c r="M57" i="4"/>
  <c r="L57" i="4"/>
  <c r="K57" i="4"/>
  <c r="J57" i="4"/>
  <c r="H57" i="4"/>
  <c r="N56" i="4"/>
  <c r="M56" i="4"/>
  <c r="L56" i="4"/>
  <c r="K56" i="4"/>
  <c r="J56" i="4"/>
  <c r="H56" i="4"/>
  <c r="N55" i="4"/>
  <c r="M55" i="4"/>
  <c r="L55" i="4"/>
  <c r="K55" i="4"/>
  <c r="J55" i="4"/>
  <c r="H55" i="4"/>
  <c r="N54" i="4"/>
  <c r="M54" i="4"/>
  <c r="L54" i="4"/>
  <c r="K54" i="4"/>
  <c r="J54" i="4"/>
  <c r="H54" i="4"/>
  <c r="N53" i="4"/>
  <c r="M53" i="4"/>
  <c r="L53" i="4"/>
  <c r="K53" i="4"/>
  <c r="J53" i="4"/>
  <c r="H53" i="4"/>
  <c r="N52" i="4"/>
  <c r="M52" i="4"/>
  <c r="L52" i="4"/>
  <c r="K52" i="4"/>
  <c r="J52" i="4"/>
  <c r="H52" i="4"/>
  <c r="N51" i="4"/>
  <c r="M51" i="4"/>
  <c r="L51" i="4"/>
  <c r="K51" i="4"/>
  <c r="J51" i="4"/>
  <c r="H51" i="4"/>
  <c r="N50" i="4"/>
  <c r="M50" i="4"/>
  <c r="L50" i="4"/>
  <c r="K50" i="4"/>
  <c r="J50" i="4"/>
  <c r="H50" i="4"/>
  <c r="N49" i="4"/>
  <c r="M49" i="4"/>
  <c r="L49" i="4"/>
  <c r="K49" i="4"/>
  <c r="J49" i="4"/>
  <c r="H49" i="4"/>
  <c r="N48" i="4"/>
  <c r="M48" i="4"/>
  <c r="L48" i="4"/>
  <c r="K48" i="4"/>
  <c r="J48" i="4"/>
  <c r="H48" i="4"/>
  <c r="N47" i="4"/>
  <c r="M47" i="4"/>
  <c r="L47" i="4"/>
  <c r="K47" i="4"/>
  <c r="J47" i="4"/>
  <c r="H47" i="4"/>
  <c r="N46" i="4"/>
  <c r="M46" i="4"/>
  <c r="L46" i="4"/>
  <c r="K46" i="4"/>
  <c r="J46" i="4"/>
  <c r="H46" i="4"/>
  <c r="N45" i="4"/>
  <c r="M45" i="4"/>
  <c r="L45" i="4"/>
  <c r="K45" i="4"/>
  <c r="J45" i="4"/>
  <c r="H45" i="4"/>
  <c r="N44" i="4"/>
  <c r="M44" i="4"/>
  <c r="L44" i="4"/>
  <c r="K44" i="4"/>
  <c r="J44" i="4"/>
  <c r="H44" i="4"/>
  <c r="N43" i="4"/>
  <c r="M43" i="4"/>
  <c r="L43" i="4"/>
  <c r="K43" i="4"/>
  <c r="J43" i="4"/>
  <c r="H43" i="4"/>
  <c r="N42" i="4"/>
  <c r="M42" i="4"/>
  <c r="L42" i="4"/>
  <c r="K42" i="4"/>
  <c r="J42" i="4"/>
  <c r="H42" i="4"/>
  <c r="N41" i="4"/>
  <c r="M41" i="4"/>
  <c r="L41" i="4"/>
  <c r="K41" i="4"/>
  <c r="J41" i="4"/>
  <c r="H41" i="4"/>
  <c r="N40" i="4"/>
  <c r="M40" i="4"/>
  <c r="L40" i="4"/>
  <c r="K40" i="4"/>
  <c r="J40" i="4"/>
  <c r="H40" i="4"/>
  <c r="N39" i="4"/>
  <c r="M39" i="4"/>
  <c r="L39" i="4"/>
  <c r="K39" i="4"/>
  <c r="J39" i="4"/>
  <c r="H39" i="4"/>
  <c r="N38" i="4"/>
  <c r="M38" i="4"/>
  <c r="L38" i="4"/>
  <c r="K38" i="4"/>
  <c r="J38" i="4"/>
  <c r="H38" i="4"/>
  <c r="N37" i="4"/>
  <c r="M37" i="4"/>
  <c r="L37" i="4"/>
  <c r="K37" i="4"/>
  <c r="J37" i="4"/>
  <c r="H37" i="4"/>
  <c r="N36" i="4"/>
  <c r="M36" i="4"/>
  <c r="L36" i="4"/>
  <c r="K36" i="4"/>
  <c r="J36" i="4"/>
  <c r="H36" i="4"/>
  <c r="N35" i="4"/>
  <c r="M35" i="4"/>
  <c r="L35" i="4"/>
  <c r="K35" i="4"/>
  <c r="J35" i="4"/>
  <c r="H35" i="4"/>
  <c r="N34" i="4"/>
  <c r="M34" i="4"/>
  <c r="L34" i="4"/>
  <c r="K34" i="4"/>
  <c r="J34" i="4"/>
  <c r="H34" i="4"/>
  <c r="N33" i="4"/>
  <c r="M33" i="4"/>
  <c r="L33" i="4"/>
  <c r="K33" i="4"/>
  <c r="J33" i="4"/>
  <c r="H33" i="4"/>
  <c r="N32" i="4"/>
  <c r="M32" i="4"/>
  <c r="L32" i="4"/>
  <c r="K32" i="4"/>
  <c r="J32" i="4"/>
  <c r="H32" i="4"/>
  <c r="N31" i="4"/>
  <c r="M31" i="4"/>
  <c r="L31" i="4"/>
  <c r="K31" i="4"/>
  <c r="J31" i="4"/>
  <c r="H31" i="4"/>
  <c r="N30" i="4"/>
  <c r="M30" i="4"/>
  <c r="L30" i="4"/>
  <c r="K30" i="4"/>
  <c r="J30" i="4"/>
  <c r="H30" i="4"/>
  <c r="N29" i="4"/>
  <c r="M29" i="4"/>
  <c r="L29" i="4"/>
  <c r="K29" i="4"/>
  <c r="J29" i="4"/>
  <c r="H29" i="4"/>
  <c r="N28" i="4"/>
  <c r="M28" i="4"/>
  <c r="L28" i="4"/>
  <c r="K28" i="4"/>
  <c r="J28" i="4"/>
  <c r="H28" i="4"/>
  <c r="N27" i="4"/>
  <c r="M27" i="4"/>
  <c r="L27" i="4"/>
  <c r="K27" i="4"/>
  <c r="J27" i="4"/>
  <c r="H27" i="4"/>
  <c r="N26" i="4"/>
  <c r="M26" i="4"/>
  <c r="L26" i="4"/>
  <c r="K26" i="4"/>
  <c r="J26" i="4"/>
  <c r="H26" i="4"/>
  <c r="N25" i="4"/>
  <c r="M25" i="4"/>
  <c r="L25" i="4"/>
  <c r="K25" i="4"/>
  <c r="J25" i="4"/>
  <c r="H25" i="4"/>
  <c r="N24" i="4"/>
  <c r="M24" i="4"/>
  <c r="L24" i="4"/>
  <c r="K24" i="4"/>
  <c r="J24" i="4"/>
  <c r="H24" i="4"/>
  <c r="N23" i="4"/>
  <c r="M23" i="4"/>
  <c r="L23" i="4"/>
  <c r="K23" i="4"/>
  <c r="J23" i="4"/>
  <c r="H23" i="4"/>
  <c r="N22" i="4"/>
  <c r="M22" i="4"/>
  <c r="L22" i="4"/>
  <c r="K22" i="4"/>
  <c r="J22" i="4"/>
  <c r="H22" i="4"/>
  <c r="N21" i="4"/>
  <c r="M21" i="4"/>
  <c r="L21" i="4"/>
  <c r="K21" i="4"/>
  <c r="J21" i="4"/>
  <c r="H16" i="4"/>
  <c r="N20" i="4"/>
  <c r="M20" i="4"/>
  <c r="L20" i="4"/>
  <c r="K20" i="4"/>
  <c r="J20" i="4"/>
  <c r="H21" i="4"/>
  <c r="N19" i="4"/>
  <c r="M19" i="4"/>
  <c r="L19" i="4"/>
  <c r="K19" i="4"/>
  <c r="J19" i="4"/>
  <c r="H15" i="4"/>
  <c r="N18" i="4"/>
  <c r="M18" i="4"/>
  <c r="L18" i="4"/>
  <c r="K18" i="4"/>
  <c r="J18" i="4"/>
  <c r="H14" i="4"/>
  <c r="N17" i="4"/>
  <c r="M17" i="4"/>
  <c r="L17" i="4"/>
  <c r="K17" i="4"/>
  <c r="J17" i="4"/>
  <c r="H13" i="4"/>
  <c r="N16" i="4"/>
  <c r="M16" i="4"/>
  <c r="L16" i="4"/>
  <c r="K16" i="4"/>
  <c r="J16" i="4"/>
  <c r="H12" i="4"/>
  <c r="N15" i="4"/>
  <c r="M15" i="4"/>
  <c r="L15" i="4"/>
  <c r="K15" i="4"/>
  <c r="J15" i="4"/>
  <c r="H20" i="4"/>
  <c r="N14" i="4"/>
  <c r="M14" i="4"/>
  <c r="L14" i="4"/>
  <c r="K14" i="4"/>
  <c r="J14" i="4"/>
  <c r="H11" i="4"/>
  <c r="N13" i="4"/>
  <c r="M13" i="4"/>
  <c r="L13" i="4"/>
  <c r="K13" i="4"/>
  <c r="J13" i="4"/>
  <c r="H10" i="4"/>
  <c r="N12" i="4"/>
  <c r="M12" i="4"/>
  <c r="L12" i="4"/>
  <c r="K12" i="4"/>
  <c r="J12" i="4"/>
  <c r="H9" i="4"/>
  <c r="N11" i="4"/>
  <c r="M11" i="4"/>
  <c r="L11" i="4"/>
  <c r="K11" i="4"/>
  <c r="J11" i="4"/>
  <c r="H19" i="4"/>
  <c r="N10" i="4"/>
  <c r="M10" i="4"/>
  <c r="L10" i="4"/>
  <c r="K10" i="4"/>
  <c r="J10" i="4"/>
  <c r="H8" i="4"/>
  <c r="N9" i="4"/>
  <c r="M9" i="4"/>
  <c r="L9" i="4"/>
  <c r="K9" i="4"/>
  <c r="J9" i="4"/>
  <c r="H7" i="4"/>
  <c r="N8" i="4"/>
  <c r="M8" i="4"/>
  <c r="L8" i="4"/>
  <c r="K8" i="4"/>
  <c r="J8" i="4"/>
  <c r="H18" i="4"/>
  <c r="E87" i="8" s="1"/>
  <c r="N7" i="4"/>
  <c r="M7" i="4"/>
  <c r="L7" i="4"/>
  <c r="K7" i="4"/>
  <c r="J7" i="4"/>
  <c r="H6" i="4"/>
  <c r="E86" i="8" s="1"/>
  <c r="N6" i="4"/>
  <c r="M6" i="4"/>
  <c r="L6" i="4"/>
  <c r="K6" i="4"/>
  <c r="J6" i="4"/>
  <c r="H5" i="4"/>
  <c r="E85" i="8" s="1"/>
  <c r="N5" i="4"/>
  <c r="M5" i="4"/>
  <c r="L5" i="4"/>
  <c r="K5" i="4"/>
  <c r="J5" i="4"/>
  <c r="H17" i="4"/>
  <c r="E84" i="8" s="1"/>
  <c r="N4" i="4"/>
  <c r="M4" i="4"/>
  <c r="L4" i="4"/>
  <c r="K4" i="4"/>
  <c r="J4" i="4"/>
  <c r="H4" i="4"/>
  <c r="E83" i="8" s="1"/>
  <c r="N3" i="4"/>
  <c r="M3" i="4"/>
  <c r="L3" i="4"/>
  <c r="K3" i="4"/>
  <c r="J3" i="4"/>
  <c r="H3" i="4"/>
  <c r="N82" i="3"/>
  <c r="M82" i="3"/>
  <c r="L82" i="3"/>
  <c r="K82" i="3"/>
  <c r="J82" i="3"/>
  <c r="H82" i="3"/>
  <c r="N81" i="3"/>
  <c r="M81" i="3"/>
  <c r="L81" i="3"/>
  <c r="K81" i="3"/>
  <c r="J81" i="3"/>
  <c r="H81" i="3"/>
  <c r="N80" i="3"/>
  <c r="M80" i="3"/>
  <c r="L80" i="3"/>
  <c r="K80" i="3"/>
  <c r="J80" i="3"/>
  <c r="H80" i="3"/>
  <c r="N79" i="3"/>
  <c r="M79" i="3"/>
  <c r="L79" i="3"/>
  <c r="K79" i="3"/>
  <c r="J79" i="3"/>
  <c r="H79" i="3"/>
  <c r="N78" i="3"/>
  <c r="M78" i="3"/>
  <c r="L78" i="3"/>
  <c r="K78" i="3"/>
  <c r="J78" i="3"/>
  <c r="H78" i="3"/>
  <c r="N77" i="3"/>
  <c r="M77" i="3"/>
  <c r="L77" i="3"/>
  <c r="K77" i="3"/>
  <c r="J77" i="3"/>
  <c r="H77" i="3"/>
  <c r="N76" i="3"/>
  <c r="M76" i="3"/>
  <c r="L76" i="3"/>
  <c r="K76" i="3"/>
  <c r="J76" i="3"/>
  <c r="H76" i="3"/>
  <c r="N75" i="3"/>
  <c r="M75" i="3"/>
  <c r="L75" i="3"/>
  <c r="K75" i="3"/>
  <c r="J75" i="3"/>
  <c r="H75" i="3"/>
  <c r="N74" i="3"/>
  <c r="M74" i="3"/>
  <c r="L74" i="3"/>
  <c r="K74" i="3"/>
  <c r="J74" i="3"/>
  <c r="H74" i="3"/>
  <c r="N73" i="3"/>
  <c r="M73" i="3"/>
  <c r="L73" i="3"/>
  <c r="K73" i="3"/>
  <c r="J73" i="3"/>
  <c r="H73" i="3"/>
  <c r="N72" i="3"/>
  <c r="M72" i="3"/>
  <c r="L72" i="3"/>
  <c r="K72" i="3"/>
  <c r="J72" i="3"/>
  <c r="H72" i="3"/>
  <c r="N71" i="3"/>
  <c r="M71" i="3"/>
  <c r="L71" i="3"/>
  <c r="K71" i="3"/>
  <c r="J71" i="3"/>
  <c r="H71" i="3"/>
  <c r="N70" i="3"/>
  <c r="M70" i="3"/>
  <c r="L70" i="3"/>
  <c r="K70" i="3"/>
  <c r="J70" i="3"/>
  <c r="H70" i="3"/>
  <c r="N69" i="3"/>
  <c r="M69" i="3"/>
  <c r="L69" i="3"/>
  <c r="K69" i="3"/>
  <c r="J69" i="3"/>
  <c r="H69" i="3"/>
  <c r="N68" i="3"/>
  <c r="M68" i="3"/>
  <c r="L68" i="3"/>
  <c r="K68" i="3"/>
  <c r="J68" i="3"/>
  <c r="H68" i="3"/>
  <c r="N67" i="3"/>
  <c r="M67" i="3"/>
  <c r="L67" i="3"/>
  <c r="K67" i="3"/>
  <c r="J67" i="3"/>
  <c r="H67" i="3"/>
  <c r="N66" i="3"/>
  <c r="M66" i="3"/>
  <c r="L66" i="3"/>
  <c r="K66" i="3"/>
  <c r="J66" i="3"/>
  <c r="H66" i="3"/>
  <c r="N65" i="3"/>
  <c r="M65" i="3"/>
  <c r="L65" i="3"/>
  <c r="K65" i="3"/>
  <c r="J65" i="3"/>
  <c r="H65" i="3"/>
  <c r="N64" i="3"/>
  <c r="M64" i="3"/>
  <c r="L64" i="3"/>
  <c r="K64" i="3"/>
  <c r="J64" i="3"/>
  <c r="H64" i="3"/>
  <c r="N63" i="3"/>
  <c r="M63" i="3"/>
  <c r="L63" i="3"/>
  <c r="K63" i="3"/>
  <c r="J63" i="3"/>
  <c r="H63" i="3"/>
  <c r="N62" i="3"/>
  <c r="M62" i="3"/>
  <c r="L62" i="3"/>
  <c r="K62" i="3"/>
  <c r="J62" i="3"/>
  <c r="H62" i="3"/>
  <c r="N61" i="3"/>
  <c r="M61" i="3"/>
  <c r="L61" i="3"/>
  <c r="K61" i="3"/>
  <c r="J61" i="3"/>
  <c r="H61" i="3"/>
  <c r="N60" i="3"/>
  <c r="M60" i="3"/>
  <c r="L60" i="3"/>
  <c r="K60" i="3"/>
  <c r="J60" i="3"/>
  <c r="H60" i="3"/>
  <c r="N59" i="3"/>
  <c r="M59" i="3"/>
  <c r="L59" i="3"/>
  <c r="K59" i="3"/>
  <c r="J59" i="3"/>
  <c r="H59" i="3"/>
  <c r="N58" i="3"/>
  <c r="M58" i="3"/>
  <c r="L58" i="3"/>
  <c r="K58" i="3"/>
  <c r="J58" i="3"/>
  <c r="H58" i="3"/>
  <c r="N57" i="3"/>
  <c r="M57" i="3"/>
  <c r="L57" i="3"/>
  <c r="K57" i="3"/>
  <c r="J57" i="3"/>
  <c r="H57" i="3"/>
  <c r="N56" i="3"/>
  <c r="M56" i="3"/>
  <c r="L56" i="3"/>
  <c r="K56" i="3"/>
  <c r="J56" i="3"/>
  <c r="H56" i="3"/>
  <c r="N55" i="3"/>
  <c r="M55" i="3"/>
  <c r="L55" i="3"/>
  <c r="K55" i="3"/>
  <c r="J55" i="3"/>
  <c r="H55" i="3"/>
  <c r="N54" i="3"/>
  <c r="M54" i="3"/>
  <c r="L54" i="3"/>
  <c r="K54" i="3"/>
  <c r="J54" i="3"/>
  <c r="H54" i="3"/>
  <c r="N53" i="3"/>
  <c r="M53" i="3"/>
  <c r="L53" i="3"/>
  <c r="K53" i="3"/>
  <c r="J53" i="3"/>
  <c r="H53" i="3"/>
  <c r="N52" i="3"/>
  <c r="M52" i="3"/>
  <c r="L52" i="3"/>
  <c r="K52" i="3"/>
  <c r="J52" i="3"/>
  <c r="H52" i="3"/>
  <c r="N51" i="3"/>
  <c r="M51" i="3"/>
  <c r="L51" i="3"/>
  <c r="K51" i="3"/>
  <c r="J51" i="3"/>
  <c r="H51" i="3"/>
  <c r="N50" i="3"/>
  <c r="M50" i="3"/>
  <c r="L50" i="3"/>
  <c r="K50" i="3"/>
  <c r="J50" i="3"/>
  <c r="H50" i="3"/>
  <c r="N49" i="3"/>
  <c r="M49" i="3"/>
  <c r="L49" i="3"/>
  <c r="K49" i="3"/>
  <c r="J49" i="3"/>
  <c r="H49" i="3"/>
  <c r="N48" i="3"/>
  <c r="M48" i="3"/>
  <c r="L48" i="3"/>
  <c r="K48" i="3"/>
  <c r="J48" i="3"/>
  <c r="H48" i="3"/>
  <c r="N47" i="3"/>
  <c r="M47" i="3"/>
  <c r="L47" i="3"/>
  <c r="K47" i="3"/>
  <c r="J47" i="3"/>
  <c r="H47" i="3"/>
  <c r="N46" i="3"/>
  <c r="M46" i="3"/>
  <c r="L46" i="3"/>
  <c r="K46" i="3"/>
  <c r="J46" i="3"/>
  <c r="H46" i="3"/>
  <c r="N45" i="3"/>
  <c r="M45" i="3"/>
  <c r="L45" i="3"/>
  <c r="K45" i="3"/>
  <c r="J45" i="3"/>
  <c r="H45" i="3"/>
  <c r="N44" i="3"/>
  <c r="M44" i="3"/>
  <c r="L44" i="3"/>
  <c r="K44" i="3"/>
  <c r="J44" i="3"/>
  <c r="H44" i="3"/>
  <c r="N43" i="3"/>
  <c r="M43" i="3"/>
  <c r="L43" i="3"/>
  <c r="K43" i="3"/>
  <c r="J43" i="3"/>
  <c r="H43" i="3"/>
  <c r="N42" i="3"/>
  <c r="M42" i="3"/>
  <c r="L42" i="3"/>
  <c r="K42" i="3"/>
  <c r="J42" i="3"/>
  <c r="H42" i="3"/>
  <c r="N41" i="3"/>
  <c r="M41" i="3"/>
  <c r="L41" i="3"/>
  <c r="K41" i="3"/>
  <c r="J41" i="3"/>
  <c r="H41" i="3"/>
  <c r="N40" i="3"/>
  <c r="M40" i="3"/>
  <c r="L40" i="3"/>
  <c r="K40" i="3"/>
  <c r="J40" i="3"/>
  <c r="H40" i="3"/>
  <c r="N39" i="3"/>
  <c r="M39" i="3"/>
  <c r="L39" i="3"/>
  <c r="K39" i="3"/>
  <c r="J39" i="3"/>
  <c r="H39" i="3"/>
  <c r="N38" i="3"/>
  <c r="M38" i="3"/>
  <c r="L38" i="3"/>
  <c r="K38" i="3"/>
  <c r="J38" i="3"/>
  <c r="H38" i="3"/>
  <c r="N37" i="3"/>
  <c r="M37" i="3"/>
  <c r="L37" i="3"/>
  <c r="K37" i="3"/>
  <c r="J37" i="3"/>
  <c r="H37" i="3"/>
  <c r="N36" i="3"/>
  <c r="M36" i="3"/>
  <c r="L36" i="3"/>
  <c r="K36" i="3"/>
  <c r="J36" i="3"/>
  <c r="H36" i="3"/>
  <c r="N35" i="3"/>
  <c r="M35" i="3"/>
  <c r="L35" i="3"/>
  <c r="K35" i="3"/>
  <c r="J35" i="3"/>
  <c r="H35" i="3"/>
  <c r="N34" i="3"/>
  <c r="M34" i="3"/>
  <c r="L34" i="3"/>
  <c r="K34" i="3"/>
  <c r="J34" i="3"/>
  <c r="H34" i="3"/>
  <c r="N33" i="3"/>
  <c r="M33" i="3"/>
  <c r="L33" i="3"/>
  <c r="K33" i="3"/>
  <c r="J33" i="3"/>
  <c r="H33" i="3"/>
  <c r="N32" i="3"/>
  <c r="M32" i="3"/>
  <c r="L32" i="3"/>
  <c r="K32" i="3"/>
  <c r="J32" i="3"/>
  <c r="H32" i="3"/>
  <c r="N31" i="3"/>
  <c r="M31" i="3"/>
  <c r="L31" i="3"/>
  <c r="K31" i="3"/>
  <c r="J31" i="3"/>
  <c r="H31" i="3"/>
  <c r="N30" i="3"/>
  <c r="M30" i="3"/>
  <c r="L30" i="3"/>
  <c r="K30" i="3"/>
  <c r="J30" i="3"/>
  <c r="H30" i="3"/>
  <c r="N29" i="3"/>
  <c r="M29" i="3"/>
  <c r="L29" i="3"/>
  <c r="K29" i="3"/>
  <c r="J29" i="3"/>
  <c r="H29" i="3"/>
  <c r="N28" i="3"/>
  <c r="M28" i="3"/>
  <c r="L28" i="3"/>
  <c r="K28" i="3"/>
  <c r="J28" i="3"/>
  <c r="H28" i="3"/>
  <c r="N27" i="3"/>
  <c r="M27" i="3"/>
  <c r="L27" i="3"/>
  <c r="K27" i="3"/>
  <c r="J27" i="3"/>
  <c r="H27" i="3"/>
  <c r="N26" i="3"/>
  <c r="M26" i="3"/>
  <c r="L26" i="3"/>
  <c r="K26" i="3"/>
  <c r="J26" i="3"/>
  <c r="H26" i="3"/>
  <c r="N25" i="3"/>
  <c r="M25" i="3"/>
  <c r="L25" i="3"/>
  <c r="K25" i="3"/>
  <c r="J25" i="3"/>
  <c r="H25" i="3"/>
  <c r="N24" i="3"/>
  <c r="M24" i="3"/>
  <c r="L24" i="3"/>
  <c r="K24" i="3"/>
  <c r="J24" i="3"/>
  <c r="H24" i="3"/>
  <c r="N23" i="3"/>
  <c r="M23" i="3"/>
  <c r="L23" i="3"/>
  <c r="K23" i="3"/>
  <c r="J23" i="3"/>
  <c r="H23" i="3"/>
  <c r="N22" i="3"/>
  <c r="M22" i="3"/>
  <c r="L22" i="3"/>
  <c r="K22" i="3"/>
  <c r="J22" i="3"/>
  <c r="H22" i="3"/>
  <c r="N21" i="3"/>
  <c r="M21" i="3"/>
  <c r="L21" i="3"/>
  <c r="K21" i="3"/>
  <c r="J21" i="3"/>
  <c r="H21" i="3"/>
  <c r="N20" i="3"/>
  <c r="M20" i="3"/>
  <c r="L20" i="3"/>
  <c r="K20" i="3"/>
  <c r="J20" i="3"/>
  <c r="H20" i="3"/>
  <c r="N19" i="3"/>
  <c r="M19" i="3"/>
  <c r="L19" i="3"/>
  <c r="K19" i="3"/>
  <c r="J19" i="3"/>
  <c r="H19" i="3"/>
  <c r="N18" i="3"/>
  <c r="M18" i="3"/>
  <c r="L18" i="3"/>
  <c r="K18" i="3"/>
  <c r="J18" i="3"/>
  <c r="H18" i="3"/>
  <c r="N17" i="3"/>
  <c r="M17" i="3"/>
  <c r="L17" i="3"/>
  <c r="K17" i="3"/>
  <c r="J17" i="3"/>
  <c r="H17" i="3"/>
  <c r="N16" i="3"/>
  <c r="M16" i="3"/>
  <c r="L16" i="3"/>
  <c r="K16" i="3"/>
  <c r="J16" i="3"/>
  <c r="H16" i="3"/>
  <c r="N15" i="3"/>
  <c r="M15" i="3"/>
  <c r="L15" i="3"/>
  <c r="K15" i="3"/>
  <c r="J15" i="3"/>
  <c r="H15" i="3"/>
  <c r="N14" i="3"/>
  <c r="M14" i="3"/>
  <c r="L14" i="3"/>
  <c r="K14" i="3"/>
  <c r="J14" i="3"/>
  <c r="H14" i="3"/>
  <c r="N13" i="3"/>
  <c r="M13" i="3"/>
  <c r="L13" i="3"/>
  <c r="K13" i="3"/>
  <c r="J13" i="3"/>
  <c r="H13" i="3"/>
  <c r="N12" i="3"/>
  <c r="M12" i="3"/>
  <c r="L12" i="3"/>
  <c r="K12" i="3"/>
  <c r="J12" i="3"/>
  <c r="H12" i="3"/>
  <c r="N11" i="3"/>
  <c r="M11" i="3"/>
  <c r="L11" i="3"/>
  <c r="K11" i="3"/>
  <c r="J11" i="3"/>
  <c r="H11" i="3"/>
  <c r="N10" i="3"/>
  <c r="M10" i="3"/>
  <c r="L10" i="3"/>
  <c r="K10" i="3"/>
  <c r="J10" i="3"/>
  <c r="H10" i="3"/>
  <c r="N9" i="3"/>
  <c r="M9" i="3"/>
  <c r="L9" i="3"/>
  <c r="K9" i="3"/>
  <c r="J9" i="3"/>
  <c r="H9" i="3"/>
  <c r="N8" i="3"/>
  <c r="M8" i="3"/>
  <c r="L8" i="3"/>
  <c r="K8" i="3"/>
  <c r="J8" i="3"/>
  <c r="H8" i="3"/>
  <c r="N7" i="3"/>
  <c r="M7" i="3"/>
  <c r="L7" i="3"/>
  <c r="K7" i="3"/>
  <c r="J7" i="3"/>
  <c r="H7" i="3"/>
  <c r="N6" i="3"/>
  <c r="M6" i="3"/>
  <c r="L6" i="3"/>
  <c r="K6" i="3"/>
  <c r="J6" i="3"/>
  <c r="H6" i="3"/>
  <c r="N5" i="3"/>
  <c r="M5" i="3"/>
  <c r="L5" i="3"/>
  <c r="K5" i="3"/>
  <c r="J5" i="3"/>
  <c r="H5" i="3"/>
  <c r="N4" i="3"/>
  <c r="M4" i="3"/>
  <c r="L4" i="3"/>
  <c r="K4" i="3"/>
  <c r="J4" i="3"/>
  <c r="H4" i="3"/>
  <c r="E3" i="8" s="1"/>
  <c r="N3" i="3"/>
  <c r="M3" i="3"/>
  <c r="L3" i="3"/>
  <c r="K3" i="3"/>
  <c r="J3" i="3"/>
  <c r="H3" i="3"/>
  <c r="H83" i="3" s="1"/>
  <c r="F46" i="2"/>
  <c r="E46" i="2"/>
  <c r="D46" i="2"/>
  <c r="C46" i="2"/>
  <c r="B46" i="2"/>
  <c r="E42" i="2"/>
  <c r="C42" i="2"/>
  <c r="B42" i="2"/>
  <c r="E41" i="2"/>
  <c r="C41" i="2"/>
  <c r="B41" i="2"/>
  <c r="E40" i="2"/>
  <c r="B40" i="2"/>
  <c r="E39" i="2"/>
  <c r="B39" i="2"/>
  <c r="F35" i="2"/>
  <c r="E35" i="2"/>
  <c r="D35" i="2"/>
  <c r="C35" i="2"/>
  <c r="B35" i="2"/>
  <c r="F34" i="2"/>
  <c r="E34" i="2"/>
  <c r="D34" i="2"/>
  <c r="C34" i="2"/>
  <c r="B34" i="2"/>
  <c r="F33" i="2"/>
  <c r="E33" i="2"/>
  <c r="D33" i="2"/>
  <c r="C33" i="2"/>
  <c r="B33" i="2"/>
  <c r="F32" i="2"/>
  <c r="E32" i="2"/>
  <c r="D32" i="2"/>
  <c r="C32" i="2"/>
  <c r="B32" i="2"/>
  <c r="E23" i="2"/>
  <c r="C23" i="2"/>
  <c r="B23" i="2"/>
  <c r="E22" i="2"/>
  <c r="C22" i="2"/>
  <c r="B22" i="2"/>
  <c r="E21" i="2"/>
  <c r="E25" i="2" s="1"/>
  <c r="B21" i="2"/>
  <c r="B25" i="2" s="1"/>
  <c r="E20" i="2"/>
  <c r="E24" i="2" s="1"/>
  <c r="B20" i="2"/>
  <c r="B24" i="2" s="1"/>
  <c r="E19" i="2"/>
  <c r="B19" i="2"/>
  <c r="F9" i="2"/>
  <c r="E9" i="2"/>
  <c r="D9" i="2"/>
  <c r="C9" i="2"/>
  <c r="B9" i="2"/>
  <c r="F7" i="2"/>
  <c r="E7" i="2"/>
  <c r="D7" i="2"/>
  <c r="C7" i="2"/>
  <c r="B7" i="2"/>
  <c r="F5" i="2"/>
  <c r="E5" i="2"/>
  <c r="D5" i="2"/>
  <c r="C5" i="2"/>
  <c r="B5" i="2"/>
  <c r="P98" i="1"/>
  <c r="D98" i="1"/>
  <c r="O6" i="1"/>
  <c r="E18" i="2" s="1"/>
  <c r="K6" i="1"/>
  <c r="D18" i="2" s="1"/>
  <c r="G6" i="1"/>
  <c r="C18" i="2" s="1"/>
  <c r="C6" i="1"/>
  <c r="B18" i="2" s="1"/>
  <c r="O5" i="1"/>
  <c r="E17" i="2" s="1"/>
  <c r="K5" i="1"/>
  <c r="D17" i="2" s="1"/>
  <c r="G5" i="1"/>
  <c r="C17" i="2" s="1"/>
  <c r="C5" i="1"/>
  <c r="B17" i="2" s="1"/>
  <c r="O4" i="1"/>
  <c r="G4" i="1"/>
  <c r="C4" i="1"/>
  <c r="E179" i="8" l="1"/>
  <c r="E180" i="8"/>
  <c r="E163" i="8"/>
  <c r="E174" i="8"/>
  <c r="E164" i="8"/>
  <c r="E175" i="8"/>
  <c r="E167" i="8"/>
  <c r="E178" i="8"/>
  <c r="E169" i="8"/>
  <c r="E172" i="8"/>
  <c r="E170" i="8"/>
  <c r="E171" i="8"/>
  <c r="E173" i="8"/>
  <c r="E176" i="8"/>
  <c r="E177" i="8"/>
  <c r="E88" i="8"/>
  <c r="E89" i="8"/>
  <c r="E90" i="8"/>
  <c r="E91" i="8"/>
  <c r="E92" i="8"/>
  <c r="E93" i="8"/>
  <c r="E94" i="8"/>
  <c r="E95" i="8"/>
  <c r="E96" i="8"/>
  <c r="E97" i="8"/>
  <c r="E98" i="8"/>
  <c r="E99" i="8"/>
  <c r="E100" i="8"/>
  <c r="E101" i="8"/>
  <c r="H83" i="4"/>
  <c r="E82" i="8"/>
  <c r="H83" i="5"/>
  <c r="E162" i="8"/>
  <c r="H83" i="7"/>
  <c r="E322" i="8"/>
  <c r="B16" i="2"/>
  <c r="D15" i="1"/>
  <c r="D14" i="1"/>
  <c r="D13" i="1"/>
  <c r="D12" i="1"/>
  <c r="D11" i="1"/>
  <c r="D10" i="1"/>
  <c r="D9" i="1"/>
  <c r="D8" i="1"/>
  <c r="C16" i="2"/>
  <c r="H15" i="1"/>
  <c r="H14" i="1"/>
  <c r="H13" i="1"/>
  <c r="H12" i="1"/>
  <c r="H11" i="1"/>
  <c r="H10" i="1"/>
  <c r="H9" i="1"/>
  <c r="H8" i="1"/>
  <c r="D16" i="2"/>
  <c r="L15" i="1"/>
  <c r="L14" i="1"/>
  <c r="L13" i="1"/>
  <c r="L12" i="1"/>
  <c r="L11" i="1"/>
  <c r="L10" i="1"/>
  <c r="L9" i="1"/>
  <c r="L8" i="1"/>
  <c r="E16" i="2"/>
  <c r="P15" i="1"/>
  <c r="P14" i="1"/>
  <c r="P13" i="1"/>
  <c r="P12" i="1"/>
  <c r="P11" i="1"/>
  <c r="P10" i="1"/>
  <c r="P9" i="1"/>
  <c r="P8" i="1"/>
  <c r="B11" i="2"/>
  <c r="C11" i="2"/>
  <c r="D11" i="2"/>
  <c r="E11" i="2"/>
  <c r="F11" i="2"/>
  <c r="B10" i="2"/>
  <c r="C10" i="2"/>
  <c r="D10" i="2"/>
  <c r="F10" i="2"/>
  <c r="B26" i="2"/>
  <c r="B27" i="2" s="1"/>
  <c r="E26" i="2"/>
  <c r="E27" i="2" s="1"/>
  <c r="M2" i="8"/>
  <c r="L2" i="8"/>
  <c r="K2" i="8"/>
  <c r="J2" i="8"/>
  <c r="I2" i="8"/>
  <c r="M3" i="8"/>
  <c r="L3" i="8"/>
  <c r="K3" i="8"/>
  <c r="J3" i="8"/>
  <c r="I3" i="8"/>
  <c r="M4" i="8"/>
  <c r="L4" i="8"/>
  <c r="K4" i="8"/>
  <c r="J4" i="8"/>
  <c r="I4" i="8"/>
  <c r="M5" i="8"/>
  <c r="L5" i="8"/>
  <c r="K5" i="8"/>
  <c r="J5" i="8"/>
  <c r="I5" i="8"/>
  <c r="M6" i="8"/>
  <c r="L6" i="8"/>
  <c r="K6" i="8"/>
  <c r="J6" i="8"/>
  <c r="I6" i="8"/>
  <c r="M7" i="8"/>
  <c r="L7" i="8"/>
  <c r="K7" i="8"/>
  <c r="J7" i="8"/>
  <c r="I7" i="8"/>
  <c r="M8" i="8"/>
  <c r="L8" i="8"/>
  <c r="K8" i="8"/>
  <c r="J8" i="8"/>
  <c r="I8" i="8"/>
  <c r="M9" i="8"/>
  <c r="L9" i="8"/>
  <c r="K9" i="8"/>
  <c r="J9" i="8"/>
  <c r="I9" i="8"/>
  <c r="M10" i="8"/>
  <c r="L10" i="8"/>
  <c r="K10" i="8"/>
  <c r="J10" i="8"/>
  <c r="I10" i="8"/>
  <c r="M11" i="8"/>
  <c r="L11" i="8"/>
  <c r="K11" i="8"/>
  <c r="J11" i="8"/>
  <c r="I11" i="8"/>
  <c r="M12" i="8"/>
  <c r="L12" i="8"/>
  <c r="K12" i="8"/>
  <c r="J12" i="8"/>
  <c r="I12" i="8"/>
  <c r="M13" i="8"/>
  <c r="L13" i="8"/>
  <c r="K13" i="8"/>
  <c r="J13" i="8"/>
  <c r="I13" i="8"/>
  <c r="M14" i="8"/>
  <c r="L14" i="8"/>
  <c r="K14" i="8"/>
  <c r="J14" i="8"/>
  <c r="I14" i="8"/>
  <c r="M15" i="8"/>
  <c r="L15" i="8"/>
  <c r="K15" i="8"/>
  <c r="J15" i="8"/>
  <c r="I15" i="8"/>
  <c r="M16" i="8"/>
  <c r="L16" i="8"/>
  <c r="K16" i="8"/>
  <c r="J16" i="8"/>
  <c r="I16" i="8"/>
  <c r="M17" i="8"/>
  <c r="L17" i="8"/>
  <c r="K17" i="8"/>
  <c r="J17" i="8"/>
  <c r="I17" i="8"/>
  <c r="M18" i="8"/>
  <c r="L18" i="8"/>
  <c r="K18" i="8"/>
  <c r="J18" i="8"/>
  <c r="I18" i="8"/>
  <c r="M19" i="8"/>
  <c r="L19" i="8"/>
  <c r="K19" i="8"/>
  <c r="J19" i="8"/>
  <c r="I19" i="8"/>
  <c r="M20" i="8"/>
  <c r="L20" i="8"/>
  <c r="K20" i="8"/>
  <c r="J20" i="8"/>
  <c r="I20" i="8"/>
  <c r="M21" i="8"/>
  <c r="L21" i="8"/>
  <c r="K21" i="8"/>
  <c r="J21" i="8"/>
  <c r="I21" i="8"/>
  <c r="M22" i="8"/>
  <c r="L22" i="8"/>
  <c r="K22" i="8"/>
  <c r="J22" i="8"/>
  <c r="I22" i="8"/>
  <c r="M23" i="8"/>
  <c r="L23" i="8"/>
  <c r="K23" i="8"/>
  <c r="J23" i="8"/>
  <c r="I23" i="8"/>
  <c r="M24" i="8"/>
  <c r="L24" i="8"/>
  <c r="K24" i="8"/>
  <c r="J24" i="8"/>
  <c r="I24" i="8"/>
  <c r="M25" i="8"/>
  <c r="L25" i="8"/>
  <c r="K25" i="8"/>
  <c r="J25" i="8"/>
  <c r="I25" i="8"/>
  <c r="M26" i="8"/>
  <c r="L26" i="8"/>
  <c r="K26" i="8"/>
  <c r="J26" i="8"/>
  <c r="I26" i="8"/>
  <c r="M27" i="8"/>
  <c r="L27" i="8"/>
  <c r="K27" i="8"/>
  <c r="J27" i="8"/>
  <c r="I27" i="8"/>
  <c r="M28" i="8"/>
  <c r="L28" i="8"/>
  <c r="K28" i="8"/>
  <c r="J28" i="8"/>
  <c r="I28" i="8"/>
  <c r="M29" i="8"/>
  <c r="L29" i="8"/>
  <c r="K29" i="8"/>
  <c r="J29" i="8"/>
  <c r="I29" i="8"/>
  <c r="M30" i="8"/>
  <c r="L30" i="8"/>
  <c r="K30" i="8"/>
  <c r="J30" i="8"/>
  <c r="I30" i="8"/>
  <c r="M31" i="8"/>
  <c r="L31" i="8"/>
  <c r="K31" i="8"/>
  <c r="J31" i="8"/>
  <c r="I31" i="8"/>
  <c r="M32" i="8"/>
  <c r="L32" i="8"/>
  <c r="K32" i="8"/>
  <c r="J32" i="8"/>
  <c r="I32" i="8"/>
  <c r="M33" i="8"/>
  <c r="L33" i="8"/>
  <c r="K33" i="8"/>
  <c r="J33" i="8"/>
  <c r="I33" i="8"/>
  <c r="M34" i="8"/>
  <c r="L34" i="8"/>
  <c r="K34" i="8"/>
  <c r="J34" i="8"/>
  <c r="I34" i="8"/>
  <c r="M35" i="8"/>
  <c r="L35" i="8"/>
  <c r="K35" i="8"/>
  <c r="J35" i="8"/>
  <c r="I35" i="8"/>
  <c r="M36" i="8"/>
  <c r="L36" i="8"/>
  <c r="K36" i="8"/>
  <c r="J36" i="8"/>
  <c r="I36" i="8"/>
  <c r="M37" i="8"/>
  <c r="L37" i="8"/>
  <c r="K37" i="8"/>
  <c r="J37" i="8"/>
  <c r="I37" i="8"/>
  <c r="M38" i="8"/>
  <c r="L38" i="8"/>
  <c r="K38" i="8"/>
  <c r="J38" i="8"/>
  <c r="I38" i="8"/>
  <c r="M39" i="8"/>
  <c r="L39" i="8"/>
  <c r="K39" i="8"/>
  <c r="J39" i="8"/>
  <c r="I39" i="8"/>
  <c r="M40" i="8"/>
  <c r="L40" i="8"/>
  <c r="K40" i="8"/>
  <c r="J40" i="8"/>
  <c r="I40" i="8"/>
  <c r="M41" i="8"/>
  <c r="L41" i="8"/>
  <c r="K41" i="8"/>
  <c r="J41" i="8"/>
  <c r="I41" i="8"/>
  <c r="M42" i="8"/>
  <c r="L42" i="8"/>
  <c r="K42" i="8"/>
  <c r="J42" i="8"/>
  <c r="I42" i="8"/>
  <c r="M43" i="8"/>
  <c r="L43" i="8"/>
  <c r="K43" i="8"/>
  <c r="J43" i="8"/>
  <c r="I43" i="8"/>
  <c r="M44" i="8"/>
  <c r="L44" i="8"/>
  <c r="K44" i="8"/>
  <c r="J44" i="8"/>
  <c r="I44" i="8"/>
  <c r="M45" i="8"/>
  <c r="L45" i="8"/>
  <c r="K45" i="8"/>
  <c r="J45" i="8"/>
  <c r="I45" i="8"/>
  <c r="M46" i="8"/>
  <c r="L46" i="8"/>
  <c r="K46" i="8"/>
  <c r="J46" i="8"/>
  <c r="I46" i="8"/>
  <c r="M47" i="8"/>
  <c r="L47" i="8"/>
  <c r="K47" i="8"/>
  <c r="J47" i="8"/>
  <c r="I47" i="8"/>
  <c r="M48" i="8"/>
  <c r="L48" i="8"/>
  <c r="K48" i="8"/>
  <c r="J48" i="8"/>
  <c r="I48" i="8"/>
  <c r="M49" i="8"/>
  <c r="L49" i="8"/>
  <c r="K49" i="8"/>
  <c r="J49" i="8"/>
  <c r="I49" i="8"/>
  <c r="M50" i="8"/>
  <c r="L50" i="8"/>
  <c r="K50" i="8"/>
  <c r="J50" i="8"/>
  <c r="I50" i="8"/>
  <c r="M51" i="8"/>
  <c r="L51" i="8"/>
  <c r="K51" i="8"/>
  <c r="J51" i="8"/>
  <c r="I51" i="8"/>
  <c r="M52" i="8"/>
  <c r="L52" i="8"/>
  <c r="K52" i="8"/>
  <c r="J52" i="8"/>
  <c r="I52" i="8"/>
  <c r="M53" i="8"/>
  <c r="L53" i="8"/>
  <c r="K53" i="8"/>
  <c r="J53" i="8"/>
  <c r="I53" i="8"/>
  <c r="M54" i="8"/>
  <c r="L54" i="8"/>
  <c r="K54" i="8"/>
  <c r="J54" i="8"/>
  <c r="I54" i="8"/>
  <c r="M55" i="8"/>
  <c r="L55" i="8"/>
  <c r="K55" i="8"/>
  <c r="J55" i="8"/>
  <c r="I55" i="8"/>
  <c r="M56" i="8"/>
  <c r="L56" i="8"/>
  <c r="K56" i="8"/>
  <c r="J56" i="8"/>
  <c r="I56" i="8"/>
  <c r="M57" i="8"/>
  <c r="L57" i="8"/>
  <c r="K57" i="8"/>
  <c r="J57" i="8"/>
  <c r="I57" i="8"/>
  <c r="M58" i="8"/>
  <c r="L58" i="8"/>
  <c r="K58" i="8"/>
  <c r="J58" i="8"/>
  <c r="I58" i="8"/>
  <c r="M59" i="8"/>
  <c r="L59" i="8"/>
  <c r="K59" i="8"/>
  <c r="J59" i="8"/>
  <c r="I59" i="8"/>
  <c r="M60" i="8"/>
  <c r="L60" i="8"/>
  <c r="K60" i="8"/>
  <c r="J60" i="8"/>
  <c r="I60" i="8"/>
  <c r="M61" i="8"/>
  <c r="L61" i="8"/>
  <c r="K61" i="8"/>
  <c r="J61" i="8"/>
  <c r="I61" i="8"/>
  <c r="M62" i="8"/>
  <c r="L62" i="8"/>
  <c r="K62" i="8"/>
  <c r="J62" i="8"/>
  <c r="I62" i="8"/>
  <c r="M63" i="8"/>
  <c r="L63" i="8"/>
  <c r="K63" i="8"/>
  <c r="J63" i="8"/>
  <c r="I63" i="8"/>
  <c r="M64" i="8"/>
  <c r="L64" i="8"/>
  <c r="K64" i="8"/>
  <c r="J64" i="8"/>
  <c r="I64" i="8"/>
  <c r="M65" i="8"/>
  <c r="L65" i="8"/>
  <c r="K65" i="8"/>
  <c r="J65" i="8"/>
  <c r="I65" i="8"/>
  <c r="M66" i="8"/>
  <c r="L66" i="8"/>
  <c r="K66" i="8"/>
  <c r="J66" i="8"/>
  <c r="I66" i="8"/>
  <c r="M67" i="8"/>
  <c r="L67" i="8"/>
  <c r="K67" i="8"/>
  <c r="J67" i="8"/>
  <c r="I67" i="8"/>
  <c r="M68" i="8"/>
  <c r="L68" i="8"/>
  <c r="K68" i="8"/>
  <c r="J68" i="8"/>
  <c r="I68" i="8"/>
  <c r="M69" i="8"/>
  <c r="L69" i="8"/>
  <c r="K69" i="8"/>
  <c r="J69" i="8"/>
  <c r="I69" i="8"/>
  <c r="M70" i="8"/>
  <c r="L70" i="8"/>
  <c r="K70" i="8"/>
  <c r="J70" i="8"/>
  <c r="I70" i="8"/>
  <c r="M71" i="8"/>
  <c r="L71" i="8"/>
  <c r="K71" i="8"/>
  <c r="J71" i="8"/>
  <c r="I71" i="8"/>
  <c r="M72" i="8"/>
  <c r="L72" i="8"/>
  <c r="K72" i="8"/>
  <c r="J72" i="8"/>
  <c r="I72" i="8"/>
  <c r="M73" i="8"/>
  <c r="L73" i="8"/>
  <c r="K73" i="8"/>
  <c r="J73" i="8"/>
  <c r="I73" i="8"/>
  <c r="M74" i="8"/>
  <c r="L74" i="8"/>
  <c r="K74" i="8"/>
  <c r="J74" i="8"/>
  <c r="I74" i="8"/>
  <c r="M75" i="8"/>
  <c r="L75" i="8"/>
  <c r="K75" i="8"/>
  <c r="J75" i="8"/>
  <c r="I75" i="8"/>
  <c r="M76" i="8"/>
  <c r="L76" i="8"/>
  <c r="K76" i="8"/>
  <c r="J76" i="8"/>
  <c r="I76" i="8"/>
  <c r="M77" i="8"/>
  <c r="L77" i="8"/>
  <c r="K77" i="8"/>
  <c r="J77" i="8"/>
  <c r="I77" i="8"/>
  <c r="M78" i="8"/>
  <c r="L78" i="8"/>
  <c r="K78" i="8"/>
  <c r="J78" i="8"/>
  <c r="I78" i="8"/>
  <c r="M79" i="8"/>
  <c r="L79" i="8"/>
  <c r="K79" i="8"/>
  <c r="J79" i="8"/>
  <c r="I79" i="8"/>
  <c r="M80" i="8"/>
  <c r="L80" i="8"/>
  <c r="K80" i="8"/>
  <c r="J80" i="8"/>
  <c r="I80" i="8"/>
  <c r="M81" i="8"/>
  <c r="L81" i="8"/>
  <c r="K81" i="8"/>
  <c r="J81" i="8"/>
  <c r="I81" i="8"/>
  <c r="M82" i="8"/>
  <c r="L82" i="8"/>
  <c r="K82" i="8"/>
  <c r="J82" i="8"/>
  <c r="I82" i="8"/>
  <c r="M83" i="8"/>
  <c r="L83" i="8"/>
  <c r="K83" i="8"/>
  <c r="J83" i="8"/>
  <c r="I83" i="8"/>
  <c r="M84" i="8"/>
  <c r="L84" i="8"/>
  <c r="K84" i="8"/>
  <c r="J84" i="8"/>
  <c r="I84" i="8"/>
  <c r="M85" i="8"/>
  <c r="L85" i="8"/>
  <c r="K85" i="8"/>
  <c r="J85" i="8"/>
  <c r="I85" i="8"/>
  <c r="M86" i="8"/>
  <c r="L86" i="8"/>
  <c r="K86" i="8"/>
  <c r="J86" i="8"/>
  <c r="I86" i="8"/>
  <c r="M87" i="8"/>
  <c r="L87" i="8"/>
  <c r="K87" i="8"/>
  <c r="J87" i="8"/>
  <c r="I87" i="8"/>
  <c r="M88" i="8"/>
  <c r="L88" i="8"/>
  <c r="K88" i="8"/>
  <c r="J88" i="8"/>
  <c r="I88" i="8"/>
  <c r="M89" i="8"/>
  <c r="L89" i="8"/>
  <c r="K89" i="8"/>
  <c r="J89" i="8"/>
  <c r="I89" i="8"/>
  <c r="M90" i="8"/>
  <c r="L90" i="8"/>
  <c r="K90" i="8"/>
  <c r="J90" i="8"/>
  <c r="I90" i="8"/>
  <c r="M91" i="8"/>
  <c r="L91" i="8"/>
  <c r="K91" i="8"/>
  <c r="J91" i="8"/>
  <c r="I91" i="8"/>
  <c r="M92" i="8"/>
  <c r="L92" i="8"/>
  <c r="K92" i="8"/>
  <c r="J92" i="8"/>
  <c r="I92" i="8"/>
  <c r="M93" i="8"/>
  <c r="L93" i="8"/>
  <c r="K93" i="8"/>
  <c r="J93" i="8"/>
  <c r="I93" i="8"/>
  <c r="M94" i="8"/>
  <c r="L94" i="8"/>
  <c r="K94" i="8"/>
  <c r="J94" i="8"/>
  <c r="I94" i="8"/>
  <c r="M95" i="8"/>
  <c r="L95" i="8"/>
  <c r="K95" i="8"/>
  <c r="J95" i="8"/>
  <c r="I95" i="8"/>
  <c r="M96" i="8"/>
  <c r="L96" i="8"/>
  <c r="K96" i="8"/>
  <c r="J96" i="8"/>
  <c r="I96" i="8"/>
  <c r="M97" i="8"/>
  <c r="L97" i="8"/>
  <c r="K97" i="8"/>
  <c r="J97" i="8"/>
  <c r="I97" i="8"/>
  <c r="M98" i="8"/>
  <c r="L98" i="8"/>
  <c r="K98" i="8"/>
  <c r="J98" i="8"/>
  <c r="I98" i="8"/>
  <c r="M99" i="8"/>
  <c r="L99" i="8"/>
  <c r="K99" i="8"/>
  <c r="J99" i="8"/>
  <c r="I99" i="8"/>
  <c r="M100" i="8"/>
  <c r="L100" i="8"/>
  <c r="K100" i="8"/>
  <c r="J100" i="8"/>
  <c r="I100" i="8"/>
  <c r="M101" i="8"/>
  <c r="L101" i="8"/>
  <c r="K101" i="8"/>
  <c r="J101" i="8"/>
  <c r="I101" i="8"/>
  <c r="M102" i="8"/>
  <c r="L102" i="8"/>
  <c r="K102" i="8"/>
  <c r="J102" i="8"/>
  <c r="I102" i="8"/>
  <c r="M103" i="8"/>
  <c r="L103" i="8"/>
  <c r="K103" i="8"/>
  <c r="J103" i="8"/>
  <c r="I103" i="8"/>
  <c r="M104" i="8"/>
  <c r="L104" i="8"/>
  <c r="K104" i="8"/>
  <c r="J104" i="8"/>
  <c r="I104" i="8"/>
  <c r="M105" i="8"/>
  <c r="L105" i="8"/>
  <c r="K105" i="8"/>
  <c r="J105" i="8"/>
  <c r="I105" i="8"/>
  <c r="M106" i="8"/>
  <c r="L106" i="8"/>
  <c r="K106" i="8"/>
  <c r="J106" i="8"/>
  <c r="I106" i="8"/>
  <c r="M107" i="8"/>
  <c r="L107" i="8"/>
  <c r="K107" i="8"/>
  <c r="J107" i="8"/>
  <c r="I107" i="8"/>
  <c r="M108" i="8"/>
  <c r="L108" i="8"/>
  <c r="K108" i="8"/>
  <c r="J108" i="8"/>
  <c r="I108" i="8"/>
  <c r="M109" i="8"/>
  <c r="L109" i="8"/>
  <c r="K109" i="8"/>
  <c r="J109" i="8"/>
  <c r="I109" i="8"/>
  <c r="M110" i="8"/>
  <c r="L110" i="8"/>
  <c r="K110" i="8"/>
  <c r="J110" i="8"/>
  <c r="I110" i="8"/>
  <c r="M111" i="8"/>
  <c r="L111" i="8"/>
  <c r="K111" i="8"/>
  <c r="J111" i="8"/>
  <c r="I111" i="8"/>
  <c r="M112" i="8"/>
  <c r="L112" i="8"/>
  <c r="K112" i="8"/>
  <c r="J112" i="8"/>
  <c r="I112" i="8"/>
  <c r="M113" i="8"/>
  <c r="L113" i="8"/>
  <c r="K113" i="8"/>
  <c r="J113" i="8"/>
  <c r="I113" i="8"/>
  <c r="M114" i="8"/>
  <c r="L114" i="8"/>
  <c r="K114" i="8"/>
  <c r="J114" i="8"/>
  <c r="I114" i="8"/>
  <c r="M115" i="8"/>
  <c r="L115" i="8"/>
  <c r="K115" i="8"/>
  <c r="J115" i="8"/>
  <c r="I115" i="8"/>
  <c r="M116" i="8"/>
  <c r="L116" i="8"/>
  <c r="K116" i="8"/>
  <c r="J116" i="8"/>
  <c r="I116" i="8"/>
  <c r="M117" i="8"/>
  <c r="L117" i="8"/>
  <c r="K117" i="8"/>
  <c r="J117" i="8"/>
  <c r="I117" i="8"/>
  <c r="M118" i="8"/>
  <c r="L118" i="8"/>
  <c r="K118" i="8"/>
  <c r="J118" i="8"/>
  <c r="I118" i="8"/>
  <c r="M119" i="8"/>
  <c r="L119" i="8"/>
  <c r="K119" i="8"/>
  <c r="J119" i="8"/>
  <c r="I119" i="8"/>
  <c r="M120" i="8"/>
  <c r="L120" i="8"/>
  <c r="K120" i="8"/>
  <c r="J120" i="8"/>
  <c r="I120" i="8"/>
  <c r="M121" i="8"/>
  <c r="L121" i="8"/>
  <c r="K121" i="8"/>
  <c r="J121" i="8"/>
  <c r="I121" i="8"/>
  <c r="M122" i="8"/>
  <c r="L122" i="8"/>
  <c r="K122" i="8"/>
  <c r="J122" i="8"/>
  <c r="I122" i="8"/>
  <c r="M123" i="8"/>
  <c r="L123" i="8"/>
  <c r="K123" i="8"/>
  <c r="J123" i="8"/>
  <c r="I123" i="8"/>
  <c r="M124" i="8"/>
  <c r="L124" i="8"/>
  <c r="K124" i="8"/>
  <c r="J124" i="8"/>
  <c r="I124" i="8"/>
  <c r="M125" i="8"/>
  <c r="L125" i="8"/>
  <c r="K125" i="8"/>
  <c r="J125" i="8"/>
  <c r="I125" i="8"/>
  <c r="M126" i="8"/>
  <c r="L126" i="8"/>
  <c r="K126" i="8"/>
  <c r="J126" i="8"/>
  <c r="I126" i="8"/>
  <c r="M127" i="8"/>
  <c r="L127" i="8"/>
  <c r="K127" i="8"/>
  <c r="J127" i="8"/>
  <c r="I127" i="8"/>
  <c r="M128" i="8"/>
  <c r="L128" i="8"/>
  <c r="K128" i="8"/>
  <c r="J128" i="8"/>
  <c r="I128" i="8"/>
  <c r="M129" i="8"/>
  <c r="L129" i="8"/>
  <c r="K129" i="8"/>
  <c r="J129" i="8"/>
  <c r="I129" i="8"/>
  <c r="M130" i="8"/>
  <c r="L130" i="8"/>
  <c r="K130" i="8"/>
  <c r="J130" i="8"/>
  <c r="I130" i="8"/>
  <c r="M131" i="8"/>
  <c r="L131" i="8"/>
  <c r="K131" i="8"/>
  <c r="J131" i="8"/>
  <c r="I131" i="8"/>
  <c r="M132" i="8"/>
  <c r="L132" i="8"/>
  <c r="K132" i="8"/>
  <c r="J132" i="8"/>
  <c r="I132" i="8"/>
  <c r="M133" i="8"/>
  <c r="L133" i="8"/>
  <c r="K133" i="8"/>
  <c r="J133" i="8"/>
  <c r="I133" i="8"/>
  <c r="M134" i="8"/>
  <c r="L134" i="8"/>
  <c r="K134" i="8"/>
  <c r="J134" i="8"/>
  <c r="I134" i="8"/>
  <c r="M135" i="8"/>
  <c r="L135" i="8"/>
  <c r="K135" i="8"/>
  <c r="J135" i="8"/>
  <c r="I135" i="8"/>
  <c r="M136" i="8"/>
  <c r="L136" i="8"/>
  <c r="K136" i="8"/>
  <c r="J136" i="8"/>
  <c r="I136" i="8"/>
  <c r="M137" i="8"/>
  <c r="L137" i="8"/>
  <c r="K137" i="8"/>
  <c r="J137" i="8"/>
  <c r="I137" i="8"/>
  <c r="M138" i="8"/>
  <c r="L138" i="8"/>
  <c r="K138" i="8"/>
  <c r="J138" i="8"/>
  <c r="I138" i="8"/>
  <c r="M139" i="8"/>
  <c r="L139" i="8"/>
  <c r="K139" i="8"/>
  <c r="J139" i="8"/>
  <c r="I139" i="8"/>
  <c r="M140" i="8"/>
  <c r="L140" i="8"/>
  <c r="K140" i="8"/>
  <c r="J140" i="8"/>
  <c r="I140" i="8"/>
  <c r="M141" i="8"/>
  <c r="L141" i="8"/>
  <c r="K141" i="8"/>
  <c r="J141" i="8"/>
  <c r="I141" i="8"/>
  <c r="M142" i="8"/>
  <c r="L142" i="8"/>
  <c r="K142" i="8"/>
  <c r="J142" i="8"/>
  <c r="I142" i="8"/>
  <c r="M143" i="8"/>
  <c r="L143" i="8"/>
  <c r="K143" i="8"/>
  <c r="J143" i="8"/>
  <c r="I143" i="8"/>
  <c r="M144" i="8"/>
  <c r="L144" i="8"/>
  <c r="K144" i="8"/>
  <c r="J144" i="8"/>
  <c r="I144" i="8"/>
  <c r="M145" i="8"/>
  <c r="L145" i="8"/>
  <c r="K145" i="8"/>
  <c r="J145" i="8"/>
  <c r="I145" i="8"/>
  <c r="M146" i="8"/>
  <c r="L146" i="8"/>
  <c r="K146" i="8"/>
  <c r="J146" i="8"/>
  <c r="I146" i="8"/>
  <c r="M147" i="8"/>
  <c r="L147" i="8"/>
  <c r="K147" i="8"/>
  <c r="J147" i="8"/>
  <c r="I147" i="8"/>
  <c r="M148" i="8"/>
  <c r="L148" i="8"/>
  <c r="K148" i="8"/>
  <c r="J148" i="8"/>
  <c r="I148" i="8"/>
  <c r="M149" i="8"/>
  <c r="L149" i="8"/>
  <c r="K149" i="8"/>
  <c r="J149" i="8"/>
  <c r="I149" i="8"/>
  <c r="M150" i="8"/>
  <c r="L150" i="8"/>
  <c r="K150" i="8"/>
  <c r="J150" i="8"/>
  <c r="I150" i="8"/>
  <c r="M151" i="8"/>
  <c r="L151" i="8"/>
  <c r="K151" i="8"/>
  <c r="J151" i="8"/>
  <c r="I151" i="8"/>
  <c r="M152" i="8"/>
  <c r="L152" i="8"/>
  <c r="K152" i="8"/>
  <c r="J152" i="8"/>
  <c r="I152" i="8"/>
  <c r="M153" i="8"/>
  <c r="L153" i="8"/>
  <c r="K153" i="8"/>
  <c r="J153" i="8"/>
  <c r="I153" i="8"/>
  <c r="M154" i="8"/>
  <c r="L154" i="8"/>
  <c r="K154" i="8"/>
  <c r="J154" i="8"/>
  <c r="I154" i="8"/>
  <c r="M155" i="8"/>
  <c r="L155" i="8"/>
  <c r="K155" i="8"/>
  <c r="J155" i="8"/>
  <c r="I155" i="8"/>
  <c r="M156" i="8"/>
  <c r="L156" i="8"/>
  <c r="K156" i="8"/>
  <c r="J156" i="8"/>
  <c r="I156" i="8"/>
  <c r="M157" i="8"/>
  <c r="L157" i="8"/>
  <c r="K157" i="8"/>
  <c r="J157" i="8"/>
  <c r="I157" i="8"/>
  <c r="M158" i="8"/>
  <c r="L158" i="8"/>
  <c r="K158" i="8"/>
  <c r="J158" i="8"/>
  <c r="I158" i="8"/>
  <c r="M159" i="8"/>
  <c r="L159" i="8"/>
  <c r="K159" i="8"/>
  <c r="J159" i="8"/>
  <c r="I159" i="8"/>
  <c r="M160" i="8"/>
  <c r="L160" i="8"/>
  <c r="K160" i="8"/>
  <c r="J160" i="8"/>
  <c r="I160" i="8"/>
  <c r="M161" i="8"/>
  <c r="L161" i="8"/>
  <c r="K161" i="8"/>
  <c r="J161" i="8"/>
  <c r="I161" i="8"/>
  <c r="M162" i="8"/>
  <c r="L162" i="8"/>
  <c r="K162" i="8"/>
  <c r="J162" i="8"/>
  <c r="I162" i="8"/>
  <c r="M163" i="8"/>
  <c r="L163" i="8"/>
  <c r="K163" i="8"/>
  <c r="J163" i="8"/>
  <c r="I163" i="8"/>
  <c r="M164" i="8"/>
  <c r="L164" i="8"/>
  <c r="K164" i="8"/>
  <c r="J164" i="8"/>
  <c r="I164" i="8"/>
  <c r="M165" i="8"/>
  <c r="L165" i="8"/>
  <c r="K165" i="8"/>
  <c r="J165" i="8"/>
  <c r="I165" i="8"/>
  <c r="M166" i="8"/>
  <c r="L166" i="8"/>
  <c r="K166" i="8"/>
  <c r="J166" i="8"/>
  <c r="I166" i="8"/>
  <c r="M167" i="8"/>
  <c r="L167" i="8"/>
  <c r="K167" i="8"/>
  <c r="J167" i="8"/>
  <c r="I167" i="8"/>
  <c r="M168" i="8"/>
  <c r="L168" i="8"/>
  <c r="K168" i="8"/>
  <c r="J168" i="8"/>
  <c r="I168" i="8"/>
  <c r="M169" i="8"/>
  <c r="L169" i="8"/>
  <c r="K169" i="8"/>
  <c r="J169" i="8"/>
  <c r="I169" i="8"/>
  <c r="M170" i="8"/>
  <c r="L170" i="8"/>
  <c r="K170" i="8"/>
  <c r="J170" i="8"/>
  <c r="I170" i="8"/>
  <c r="M171" i="8"/>
  <c r="L171" i="8"/>
  <c r="K171" i="8"/>
  <c r="J171" i="8"/>
  <c r="I171" i="8"/>
  <c r="M172" i="8"/>
  <c r="L172" i="8"/>
  <c r="K172" i="8"/>
  <c r="J172" i="8"/>
  <c r="I172" i="8"/>
  <c r="M173" i="8"/>
  <c r="L173" i="8"/>
  <c r="K173" i="8"/>
  <c r="J173" i="8"/>
  <c r="I173" i="8"/>
  <c r="M174" i="8"/>
  <c r="L174" i="8"/>
  <c r="K174" i="8"/>
  <c r="J174" i="8"/>
  <c r="I174" i="8"/>
  <c r="M175" i="8"/>
  <c r="L175" i="8"/>
  <c r="K175" i="8"/>
  <c r="J175" i="8"/>
  <c r="I175" i="8"/>
  <c r="M176" i="8"/>
  <c r="L176" i="8"/>
  <c r="K176" i="8"/>
  <c r="J176" i="8"/>
  <c r="I176" i="8"/>
  <c r="M177" i="8"/>
  <c r="L177" i="8"/>
  <c r="K177" i="8"/>
  <c r="J177" i="8"/>
  <c r="I177" i="8"/>
  <c r="M178" i="8"/>
  <c r="L178" i="8"/>
  <c r="K178" i="8"/>
  <c r="J178" i="8"/>
  <c r="I178" i="8"/>
  <c r="M179" i="8"/>
  <c r="L179" i="8"/>
  <c r="K179" i="8"/>
  <c r="J179" i="8"/>
  <c r="I179" i="8"/>
  <c r="M180" i="8"/>
  <c r="L180" i="8"/>
  <c r="K180" i="8"/>
  <c r="J180" i="8"/>
  <c r="I180" i="8"/>
  <c r="M181" i="8"/>
  <c r="L181" i="8"/>
  <c r="K181" i="8"/>
  <c r="J181" i="8"/>
  <c r="I181" i="8"/>
  <c r="M182" i="8"/>
  <c r="L182" i="8"/>
  <c r="K182" i="8"/>
  <c r="J182" i="8"/>
  <c r="I182" i="8"/>
  <c r="M183" i="8"/>
  <c r="L183" i="8"/>
  <c r="K183" i="8"/>
  <c r="J183" i="8"/>
  <c r="I183" i="8"/>
  <c r="M184" i="8"/>
  <c r="L184" i="8"/>
  <c r="K184" i="8"/>
  <c r="J184" i="8"/>
  <c r="I184" i="8"/>
  <c r="M185" i="8"/>
  <c r="L185" i="8"/>
  <c r="K185" i="8"/>
  <c r="J185" i="8"/>
  <c r="I185" i="8"/>
  <c r="M186" i="8"/>
  <c r="L186" i="8"/>
  <c r="K186" i="8"/>
  <c r="J186" i="8"/>
  <c r="I186" i="8"/>
  <c r="M187" i="8"/>
  <c r="L187" i="8"/>
  <c r="K187" i="8"/>
  <c r="J187" i="8"/>
  <c r="I187" i="8"/>
  <c r="M188" i="8"/>
  <c r="L188" i="8"/>
  <c r="K188" i="8"/>
  <c r="J188" i="8"/>
  <c r="I188" i="8"/>
  <c r="M189" i="8"/>
  <c r="L189" i="8"/>
  <c r="K189" i="8"/>
  <c r="J189" i="8"/>
  <c r="I189" i="8"/>
  <c r="M190" i="8"/>
  <c r="L190" i="8"/>
  <c r="K190" i="8"/>
  <c r="J190" i="8"/>
  <c r="I190" i="8"/>
  <c r="M191" i="8"/>
  <c r="L191" i="8"/>
  <c r="K191" i="8"/>
  <c r="J191" i="8"/>
  <c r="I191" i="8"/>
  <c r="M192" i="8"/>
  <c r="L192" i="8"/>
  <c r="K192" i="8"/>
  <c r="J192" i="8"/>
  <c r="I192" i="8"/>
  <c r="M193" i="8"/>
  <c r="L193" i="8"/>
  <c r="K193" i="8"/>
  <c r="J193" i="8"/>
  <c r="I193" i="8"/>
  <c r="M194" i="8"/>
  <c r="L194" i="8"/>
  <c r="K194" i="8"/>
  <c r="J194" i="8"/>
  <c r="I194" i="8"/>
  <c r="M195" i="8"/>
  <c r="L195" i="8"/>
  <c r="K195" i="8"/>
  <c r="J195" i="8"/>
  <c r="I195" i="8"/>
  <c r="M196" i="8"/>
  <c r="L196" i="8"/>
  <c r="K196" i="8"/>
  <c r="J196" i="8"/>
  <c r="I196" i="8"/>
  <c r="M197" i="8"/>
  <c r="L197" i="8"/>
  <c r="K197" i="8"/>
  <c r="J197" i="8"/>
  <c r="I197" i="8"/>
  <c r="M198" i="8"/>
  <c r="L198" i="8"/>
  <c r="K198" i="8"/>
  <c r="J198" i="8"/>
  <c r="I198" i="8"/>
  <c r="M199" i="8"/>
  <c r="L199" i="8"/>
  <c r="K199" i="8"/>
  <c r="J199" i="8"/>
  <c r="I199" i="8"/>
  <c r="M200" i="8"/>
  <c r="L200" i="8"/>
  <c r="K200" i="8"/>
  <c r="J200" i="8"/>
  <c r="I200" i="8"/>
  <c r="M201" i="8"/>
  <c r="L201" i="8"/>
  <c r="K201" i="8"/>
  <c r="J201" i="8"/>
  <c r="I201" i="8"/>
  <c r="M202" i="8"/>
  <c r="L202" i="8"/>
  <c r="K202" i="8"/>
  <c r="J202" i="8"/>
  <c r="I202" i="8"/>
  <c r="M203" i="8"/>
  <c r="L203" i="8"/>
  <c r="K203" i="8"/>
  <c r="J203" i="8"/>
  <c r="I203" i="8"/>
  <c r="M204" i="8"/>
  <c r="L204" i="8"/>
  <c r="K204" i="8"/>
  <c r="J204" i="8"/>
  <c r="I204" i="8"/>
  <c r="M205" i="8"/>
  <c r="L205" i="8"/>
  <c r="K205" i="8"/>
  <c r="J205" i="8"/>
  <c r="I205" i="8"/>
  <c r="M206" i="8"/>
  <c r="L206" i="8"/>
  <c r="K206" i="8"/>
  <c r="J206" i="8"/>
  <c r="I206" i="8"/>
  <c r="M207" i="8"/>
  <c r="L207" i="8"/>
  <c r="K207" i="8"/>
  <c r="J207" i="8"/>
  <c r="I207" i="8"/>
  <c r="M208" i="8"/>
  <c r="L208" i="8"/>
  <c r="K208" i="8"/>
  <c r="J208" i="8"/>
  <c r="I208" i="8"/>
  <c r="M209" i="8"/>
  <c r="L209" i="8"/>
  <c r="K209" i="8"/>
  <c r="J209" i="8"/>
  <c r="I209" i="8"/>
  <c r="M210" i="8"/>
  <c r="L210" i="8"/>
  <c r="K210" i="8"/>
  <c r="J210" i="8"/>
  <c r="I210" i="8"/>
  <c r="M211" i="8"/>
  <c r="L211" i="8"/>
  <c r="K211" i="8"/>
  <c r="J211" i="8"/>
  <c r="I211" i="8"/>
  <c r="M212" i="8"/>
  <c r="L212" i="8"/>
  <c r="K212" i="8"/>
  <c r="J212" i="8"/>
  <c r="I212" i="8"/>
  <c r="M213" i="8"/>
  <c r="L213" i="8"/>
  <c r="K213" i="8"/>
  <c r="J213" i="8"/>
  <c r="I213" i="8"/>
  <c r="M214" i="8"/>
  <c r="L214" i="8"/>
  <c r="K214" i="8"/>
  <c r="J214" i="8"/>
  <c r="I214" i="8"/>
  <c r="M215" i="8"/>
  <c r="L215" i="8"/>
  <c r="K215" i="8"/>
  <c r="J215" i="8"/>
  <c r="I215" i="8"/>
  <c r="M216" i="8"/>
  <c r="L216" i="8"/>
  <c r="K216" i="8"/>
  <c r="J216" i="8"/>
  <c r="I216" i="8"/>
  <c r="M217" i="8"/>
  <c r="L217" i="8"/>
  <c r="K217" i="8"/>
  <c r="J217" i="8"/>
  <c r="I217" i="8"/>
  <c r="M218" i="8"/>
  <c r="L218" i="8"/>
  <c r="K218" i="8"/>
  <c r="J218" i="8"/>
  <c r="I218" i="8"/>
  <c r="M219" i="8"/>
  <c r="L219" i="8"/>
  <c r="K219" i="8"/>
  <c r="J219" i="8"/>
  <c r="I219" i="8"/>
  <c r="M220" i="8"/>
  <c r="L220" i="8"/>
  <c r="K220" i="8"/>
  <c r="J220" i="8"/>
  <c r="I220" i="8"/>
  <c r="M221" i="8"/>
  <c r="L221" i="8"/>
  <c r="K221" i="8"/>
  <c r="J221" i="8"/>
  <c r="I221" i="8"/>
  <c r="M222" i="8"/>
  <c r="L222" i="8"/>
  <c r="K222" i="8"/>
  <c r="J222" i="8"/>
  <c r="I222" i="8"/>
  <c r="M223" i="8"/>
  <c r="L223" i="8"/>
  <c r="K223" i="8"/>
  <c r="J223" i="8"/>
  <c r="I223" i="8"/>
  <c r="M224" i="8"/>
  <c r="L224" i="8"/>
  <c r="K224" i="8"/>
  <c r="J224" i="8"/>
  <c r="I224" i="8"/>
  <c r="M225" i="8"/>
  <c r="L225" i="8"/>
  <c r="K225" i="8"/>
  <c r="J225" i="8"/>
  <c r="I225" i="8"/>
  <c r="M226" i="8"/>
  <c r="L226" i="8"/>
  <c r="K226" i="8"/>
  <c r="J226" i="8"/>
  <c r="I226" i="8"/>
  <c r="M227" i="8"/>
  <c r="L227" i="8"/>
  <c r="K227" i="8"/>
  <c r="J227" i="8"/>
  <c r="I227" i="8"/>
  <c r="M228" i="8"/>
  <c r="L228" i="8"/>
  <c r="K228" i="8"/>
  <c r="J228" i="8"/>
  <c r="I228" i="8"/>
  <c r="M229" i="8"/>
  <c r="L229" i="8"/>
  <c r="K229" i="8"/>
  <c r="J229" i="8"/>
  <c r="I229" i="8"/>
  <c r="M230" i="8"/>
  <c r="L230" i="8"/>
  <c r="K230" i="8"/>
  <c r="J230" i="8"/>
  <c r="I230" i="8"/>
  <c r="M231" i="8"/>
  <c r="L231" i="8"/>
  <c r="K231" i="8"/>
  <c r="J231" i="8"/>
  <c r="I231" i="8"/>
  <c r="M232" i="8"/>
  <c r="L232" i="8"/>
  <c r="K232" i="8"/>
  <c r="J232" i="8"/>
  <c r="I232" i="8"/>
  <c r="M233" i="8"/>
  <c r="L233" i="8"/>
  <c r="K233" i="8"/>
  <c r="J233" i="8"/>
  <c r="I233" i="8"/>
  <c r="M234" i="8"/>
  <c r="L234" i="8"/>
  <c r="K234" i="8"/>
  <c r="J234" i="8"/>
  <c r="I234" i="8"/>
  <c r="M235" i="8"/>
  <c r="L235" i="8"/>
  <c r="K235" i="8"/>
  <c r="J235" i="8"/>
  <c r="I235" i="8"/>
  <c r="M236" i="8"/>
  <c r="L236" i="8"/>
  <c r="K236" i="8"/>
  <c r="J236" i="8"/>
  <c r="I236" i="8"/>
  <c r="M237" i="8"/>
  <c r="L237" i="8"/>
  <c r="K237" i="8"/>
  <c r="J237" i="8"/>
  <c r="I237" i="8"/>
  <c r="M238" i="8"/>
  <c r="L238" i="8"/>
  <c r="K238" i="8"/>
  <c r="J238" i="8"/>
  <c r="I238" i="8"/>
  <c r="M239" i="8"/>
  <c r="L239" i="8"/>
  <c r="K239" i="8"/>
  <c r="J239" i="8"/>
  <c r="I239" i="8"/>
  <c r="M240" i="8"/>
  <c r="L240" i="8"/>
  <c r="K240" i="8"/>
  <c r="J240" i="8"/>
  <c r="I240" i="8"/>
  <c r="M241" i="8"/>
  <c r="L241" i="8"/>
  <c r="K241" i="8"/>
  <c r="J241" i="8"/>
  <c r="I241" i="8"/>
  <c r="M242" i="8"/>
  <c r="L242" i="8"/>
  <c r="K242" i="8"/>
  <c r="J242" i="8"/>
  <c r="I242" i="8"/>
  <c r="M243" i="8"/>
  <c r="L243" i="8"/>
  <c r="K243" i="8"/>
  <c r="J243" i="8"/>
  <c r="I243" i="8"/>
  <c r="M244" i="8"/>
  <c r="L244" i="8"/>
  <c r="K244" i="8"/>
  <c r="J244" i="8"/>
  <c r="I244" i="8"/>
  <c r="M245" i="8"/>
  <c r="L245" i="8"/>
  <c r="K245" i="8"/>
  <c r="J245" i="8"/>
  <c r="I245" i="8"/>
  <c r="M246" i="8"/>
  <c r="L246" i="8"/>
  <c r="K246" i="8"/>
  <c r="J246" i="8"/>
  <c r="I246" i="8"/>
  <c r="M247" i="8"/>
  <c r="L247" i="8"/>
  <c r="K247" i="8"/>
  <c r="J247" i="8"/>
  <c r="I247" i="8"/>
  <c r="M248" i="8"/>
  <c r="L248" i="8"/>
  <c r="K248" i="8"/>
  <c r="J248" i="8"/>
  <c r="I248" i="8"/>
  <c r="M249" i="8"/>
  <c r="L249" i="8"/>
  <c r="K249" i="8"/>
  <c r="J249" i="8"/>
  <c r="I249" i="8"/>
  <c r="M250" i="8"/>
  <c r="L250" i="8"/>
  <c r="K250" i="8"/>
  <c r="J250" i="8"/>
  <c r="I250" i="8"/>
  <c r="M251" i="8"/>
  <c r="L251" i="8"/>
  <c r="K251" i="8"/>
  <c r="J251" i="8"/>
  <c r="I251" i="8"/>
  <c r="M252" i="8"/>
  <c r="L252" i="8"/>
  <c r="K252" i="8"/>
  <c r="J252" i="8"/>
  <c r="I252" i="8"/>
  <c r="M253" i="8"/>
  <c r="L253" i="8"/>
  <c r="K253" i="8"/>
  <c r="J253" i="8"/>
  <c r="I253" i="8"/>
  <c r="M254" i="8"/>
  <c r="L254" i="8"/>
  <c r="K254" i="8"/>
  <c r="J254" i="8"/>
  <c r="I254" i="8"/>
  <c r="M255" i="8"/>
  <c r="L255" i="8"/>
  <c r="K255" i="8"/>
  <c r="J255" i="8"/>
  <c r="I255" i="8"/>
  <c r="M256" i="8"/>
  <c r="L256" i="8"/>
  <c r="K256" i="8"/>
  <c r="J256" i="8"/>
  <c r="I256" i="8"/>
  <c r="M257" i="8"/>
  <c r="L257" i="8"/>
  <c r="K257" i="8"/>
  <c r="J257" i="8"/>
  <c r="I257" i="8"/>
  <c r="M258" i="8"/>
  <c r="L258" i="8"/>
  <c r="K258" i="8"/>
  <c r="J258" i="8"/>
  <c r="I258" i="8"/>
  <c r="M259" i="8"/>
  <c r="L259" i="8"/>
  <c r="K259" i="8"/>
  <c r="J259" i="8"/>
  <c r="I259" i="8"/>
  <c r="M260" i="8"/>
  <c r="L260" i="8"/>
  <c r="K260" i="8"/>
  <c r="J260" i="8"/>
  <c r="I260" i="8"/>
  <c r="M261" i="8"/>
  <c r="L261" i="8"/>
  <c r="K261" i="8"/>
  <c r="J261" i="8"/>
  <c r="I261" i="8"/>
  <c r="M262" i="8"/>
  <c r="L262" i="8"/>
  <c r="K262" i="8"/>
  <c r="J262" i="8"/>
  <c r="I262" i="8"/>
  <c r="M263" i="8"/>
  <c r="L263" i="8"/>
  <c r="K263" i="8"/>
  <c r="J263" i="8"/>
  <c r="I263" i="8"/>
  <c r="M264" i="8"/>
  <c r="L264" i="8"/>
  <c r="K264" i="8"/>
  <c r="J264" i="8"/>
  <c r="I264" i="8"/>
  <c r="M265" i="8"/>
  <c r="L265" i="8"/>
  <c r="K265" i="8"/>
  <c r="J265" i="8"/>
  <c r="I265" i="8"/>
  <c r="M266" i="8"/>
  <c r="L266" i="8"/>
  <c r="K266" i="8"/>
  <c r="J266" i="8"/>
  <c r="I266" i="8"/>
  <c r="M267" i="8"/>
  <c r="L267" i="8"/>
  <c r="K267" i="8"/>
  <c r="J267" i="8"/>
  <c r="I267" i="8"/>
  <c r="M268" i="8"/>
  <c r="L268" i="8"/>
  <c r="K268" i="8"/>
  <c r="J268" i="8"/>
  <c r="I268" i="8"/>
  <c r="M269" i="8"/>
  <c r="L269" i="8"/>
  <c r="K269" i="8"/>
  <c r="J269" i="8"/>
  <c r="I269" i="8"/>
  <c r="M270" i="8"/>
  <c r="L270" i="8"/>
  <c r="K270" i="8"/>
  <c r="J270" i="8"/>
  <c r="I270" i="8"/>
  <c r="M271" i="8"/>
  <c r="L271" i="8"/>
  <c r="K271" i="8"/>
  <c r="J271" i="8"/>
  <c r="I271" i="8"/>
  <c r="M272" i="8"/>
  <c r="L272" i="8"/>
  <c r="K272" i="8"/>
  <c r="J272" i="8"/>
  <c r="I272" i="8"/>
  <c r="M273" i="8"/>
  <c r="L273" i="8"/>
  <c r="K273" i="8"/>
  <c r="J273" i="8"/>
  <c r="I273" i="8"/>
  <c r="M274" i="8"/>
  <c r="L274" i="8"/>
  <c r="K274" i="8"/>
  <c r="J274" i="8"/>
  <c r="I274" i="8"/>
  <c r="M275" i="8"/>
  <c r="L275" i="8"/>
  <c r="K275" i="8"/>
  <c r="J275" i="8"/>
  <c r="I275" i="8"/>
  <c r="M276" i="8"/>
  <c r="L276" i="8"/>
  <c r="K276" i="8"/>
  <c r="J276" i="8"/>
  <c r="I276" i="8"/>
  <c r="M277" i="8"/>
  <c r="L277" i="8"/>
  <c r="K277" i="8"/>
  <c r="J277" i="8"/>
  <c r="I277" i="8"/>
  <c r="M278" i="8"/>
  <c r="L278" i="8"/>
  <c r="K278" i="8"/>
  <c r="J278" i="8"/>
  <c r="I278" i="8"/>
  <c r="M279" i="8"/>
  <c r="L279" i="8"/>
  <c r="K279" i="8"/>
  <c r="J279" i="8"/>
  <c r="I279" i="8"/>
  <c r="M280" i="8"/>
  <c r="L280" i="8"/>
  <c r="K280" i="8"/>
  <c r="J280" i="8"/>
  <c r="I280" i="8"/>
  <c r="M281" i="8"/>
  <c r="L281" i="8"/>
  <c r="K281" i="8"/>
  <c r="J281" i="8"/>
  <c r="I281" i="8"/>
  <c r="M282" i="8"/>
  <c r="L282" i="8"/>
  <c r="K282" i="8"/>
  <c r="J282" i="8"/>
  <c r="I282" i="8"/>
  <c r="M283" i="8"/>
  <c r="L283" i="8"/>
  <c r="K283" i="8"/>
  <c r="J283" i="8"/>
  <c r="I283" i="8"/>
  <c r="M284" i="8"/>
  <c r="L284" i="8"/>
  <c r="K284" i="8"/>
  <c r="J284" i="8"/>
  <c r="I284" i="8"/>
  <c r="M285" i="8"/>
  <c r="L285" i="8"/>
  <c r="K285" i="8"/>
  <c r="J285" i="8"/>
  <c r="I285" i="8"/>
  <c r="M286" i="8"/>
  <c r="L286" i="8"/>
  <c r="K286" i="8"/>
  <c r="J286" i="8"/>
  <c r="I286" i="8"/>
  <c r="M287" i="8"/>
  <c r="L287" i="8"/>
  <c r="K287" i="8"/>
  <c r="J287" i="8"/>
  <c r="I287" i="8"/>
  <c r="M288" i="8"/>
  <c r="L288" i="8"/>
  <c r="K288" i="8"/>
  <c r="J288" i="8"/>
  <c r="I288" i="8"/>
  <c r="M289" i="8"/>
  <c r="L289" i="8"/>
  <c r="K289" i="8"/>
  <c r="J289" i="8"/>
  <c r="I289" i="8"/>
  <c r="M290" i="8"/>
  <c r="L290" i="8"/>
  <c r="K290" i="8"/>
  <c r="J290" i="8"/>
  <c r="I290" i="8"/>
  <c r="M291" i="8"/>
  <c r="L291" i="8"/>
  <c r="K291" i="8"/>
  <c r="J291" i="8"/>
  <c r="I291" i="8"/>
  <c r="M292" i="8"/>
  <c r="L292" i="8"/>
  <c r="K292" i="8"/>
  <c r="J292" i="8"/>
  <c r="I292" i="8"/>
  <c r="M293" i="8"/>
  <c r="L293" i="8"/>
  <c r="K293" i="8"/>
  <c r="J293" i="8"/>
  <c r="I293" i="8"/>
  <c r="M294" i="8"/>
  <c r="L294" i="8"/>
  <c r="K294" i="8"/>
  <c r="J294" i="8"/>
  <c r="I294" i="8"/>
  <c r="M295" i="8"/>
  <c r="L295" i="8"/>
  <c r="K295" i="8"/>
  <c r="J295" i="8"/>
  <c r="I295" i="8"/>
  <c r="M296" i="8"/>
  <c r="L296" i="8"/>
  <c r="K296" i="8"/>
  <c r="J296" i="8"/>
  <c r="I296" i="8"/>
  <c r="M297" i="8"/>
  <c r="L297" i="8"/>
  <c r="K297" i="8"/>
  <c r="J297" i="8"/>
  <c r="I297" i="8"/>
  <c r="M298" i="8"/>
  <c r="L298" i="8"/>
  <c r="K298" i="8"/>
  <c r="J298" i="8"/>
  <c r="I298" i="8"/>
  <c r="M299" i="8"/>
  <c r="L299" i="8"/>
  <c r="K299" i="8"/>
  <c r="J299" i="8"/>
  <c r="I299" i="8"/>
  <c r="M300" i="8"/>
  <c r="L300" i="8"/>
  <c r="K300" i="8"/>
  <c r="J300" i="8"/>
  <c r="I300" i="8"/>
  <c r="M301" i="8"/>
  <c r="L301" i="8"/>
  <c r="K301" i="8"/>
  <c r="J301" i="8"/>
  <c r="I301" i="8"/>
  <c r="M302" i="8"/>
  <c r="L302" i="8"/>
  <c r="K302" i="8"/>
  <c r="J302" i="8"/>
  <c r="I302" i="8"/>
  <c r="M303" i="8"/>
  <c r="L303" i="8"/>
  <c r="K303" i="8"/>
  <c r="J303" i="8"/>
  <c r="I303" i="8"/>
  <c r="M304" i="8"/>
  <c r="L304" i="8"/>
  <c r="K304" i="8"/>
  <c r="J304" i="8"/>
  <c r="I304" i="8"/>
  <c r="M305" i="8"/>
  <c r="L305" i="8"/>
  <c r="K305" i="8"/>
  <c r="J305" i="8"/>
  <c r="I305" i="8"/>
  <c r="M306" i="8"/>
  <c r="L306" i="8"/>
  <c r="K306" i="8"/>
  <c r="J306" i="8"/>
  <c r="I306" i="8"/>
  <c r="M307" i="8"/>
  <c r="L307" i="8"/>
  <c r="K307" i="8"/>
  <c r="J307" i="8"/>
  <c r="I307" i="8"/>
  <c r="M308" i="8"/>
  <c r="L308" i="8"/>
  <c r="K308" i="8"/>
  <c r="J308" i="8"/>
  <c r="I308" i="8"/>
  <c r="M309" i="8"/>
  <c r="L309" i="8"/>
  <c r="K309" i="8"/>
  <c r="J309" i="8"/>
  <c r="I309" i="8"/>
  <c r="M310" i="8"/>
  <c r="L310" i="8"/>
  <c r="K310" i="8"/>
  <c r="J310" i="8"/>
  <c r="I310" i="8"/>
  <c r="M311" i="8"/>
  <c r="L311" i="8"/>
  <c r="K311" i="8"/>
  <c r="J311" i="8"/>
  <c r="I311" i="8"/>
  <c r="M312" i="8"/>
  <c r="L312" i="8"/>
  <c r="K312" i="8"/>
  <c r="J312" i="8"/>
  <c r="I312" i="8"/>
  <c r="M313" i="8"/>
  <c r="L313" i="8"/>
  <c r="K313" i="8"/>
  <c r="J313" i="8"/>
  <c r="I313" i="8"/>
  <c r="M314" i="8"/>
  <c r="L314" i="8"/>
  <c r="K314" i="8"/>
  <c r="J314" i="8"/>
  <c r="I314" i="8"/>
  <c r="M315" i="8"/>
  <c r="L315" i="8"/>
  <c r="K315" i="8"/>
  <c r="J315" i="8"/>
  <c r="I315" i="8"/>
  <c r="M316" i="8"/>
  <c r="L316" i="8"/>
  <c r="K316" i="8"/>
  <c r="J316" i="8"/>
  <c r="I316" i="8"/>
  <c r="M317" i="8"/>
  <c r="L317" i="8"/>
  <c r="K317" i="8"/>
  <c r="J317" i="8"/>
  <c r="I317" i="8"/>
  <c r="M318" i="8"/>
  <c r="L318" i="8"/>
  <c r="K318" i="8"/>
  <c r="J318" i="8"/>
  <c r="I318" i="8"/>
  <c r="M319" i="8"/>
  <c r="L319" i="8"/>
  <c r="K319" i="8"/>
  <c r="J319" i="8"/>
  <c r="I319" i="8"/>
  <c r="M320" i="8"/>
  <c r="L320" i="8"/>
  <c r="K320" i="8"/>
  <c r="J320" i="8"/>
  <c r="I320" i="8"/>
  <c r="M321" i="8"/>
  <c r="L321" i="8"/>
  <c r="K321" i="8"/>
  <c r="J321" i="8"/>
  <c r="I321" i="8"/>
  <c r="M322" i="8"/>
  <c r="L322" i="8"/>
  <c r="K322" i="8"/>
  <c r="J322" i="8"/>
  <c r="I322" i="8"/>
  <c r="M323" i="8"/>
  <c r="L323" i="8"/>
  <c r="K323" i="8"/>
  <c r="J323" i="8"/>
  <c r="I323" i="8"/>
  <c r="M324" i="8"/>
  <c r="L324" i="8"/>
  <c r="K324" i="8"/>
  <c r="J324" i="8"/>
  <c r="I324" i="8"/>
  <c r="M325" i="8"/>
  <c r="L325" i="8"/>
  <c r="K325" i="8"/>
  <c r="J325" i="8"/>
  <c r="I325" i="8"/>
  <c r="M326" i="8"/>
  <c r="L326" i="8"/>
  <c r="K326" i="8"/>
  <c r="J326" i="8"/>
  <c r="I326" i="8"/>
  <c r="M327" i="8"/>
  <c r="L327" i="8"/>
  <c r="K327" i="8"/>
  <c r="J327" i="8"/>
  <c r="I327" i="8"/>
  <c r="M328" i="8"/>
  <c r="L328" i="8"/>
  <c r="K328" i="8"/>
  <c r="J328" i="8"/>
  <c r="I328" i="8"/>
  <c r="M329" i="8"/>
  <c r="L329" i="8"/>
  <c r="K329" i="8"/>
  <c r="J329" i="8"/>
  <c r="I329" i="8"/>
  <c r="M330" i="8"/>
  <c r="L330" i="8"/>
  <c r="K330" i="8"/>
  <c r="J330" i="8"/>
  <c r="I330" i="8"/>
  <c r="M331" i="8"/>
  <c r="L331" i="8"/>
  <c r="K331" i="8"/>
  <c r="J331" i="8"/>
  <c r="I331" i="8"/>
  <c r="M332" i="8"/>
  <c r="L332" i="8"/>
  <c r="K332" i="8"/>
  <c r="J332" i="8"/>
  <c r="I332" i="8"/>
  <c r="M333" i="8"/>
  <c r="L333" i="8"/>
  <c r="K333" i="8"/>
  <c r="J333" i="8"/>
  <c r="I333" i="8"/>
  <c r="M334" i="8"/>
  <c r="L334" i="8"/>
  <c r="K334" i="8"/>
  <c r="J334" i="8"/>
  <c r="I334" i="8"/>
  <c r="M335" i="8"/>
  <c r="L335" i="8"/>
  <c r="K335" i="8"/>
  <c r="J335" i="8"/>
  <c r="I335" i="8"/>
  <c r="M336" i="8"/>
  <c r="L336" i="8"/>
  <c r="K336" i="8"/>
  <c r="J336" i="8"/>
  <c r="I336" i="8"/>
  <c r="M337" i="8"/>
  <c r="L337" i="8"/>
  <c r="K337" i="8"/>
  <c r="J337" i="8"/>
  <c r="I337" i="8"/>
  <c r="M338" i="8"/>
  <c r="L338" i="8"/>
  <c r="K338" i="8"/>
  <c r="J338" i="8"/>
  <c r="I338" i="8"/>
  <c r="M339" i="8"/>
  <c r="L339" i="8"/>
  <c r="K339" i="8"/>
  <c r="J339" i="8"/>
  <c r="I339" i="8"/>
  <c r="M340" i="8"/>
  <c r="L340" i="8"/>
  <c r="K340" i="8"/>
  <c r="J340" i="8"/>
  <c r="I340" i="8"/>
  <c r="M341" i="8"/>
  <c r="L341" i="8"/>
  <c r="K341" i="8"/>
  <c r="J341" i="8"/>
  <c r="I341" i="8"/>
  <c r="M342" i="8"/>
  <c r="L342" i="8"/>
  <c r="K342" i="8"/>
  <c r="J342" i="8"/>
  <c r="I342" i="8"/>
  <c r="M343" i="8"/>
  <c r="L343" i="8"/>
  <c r="K343" i="8"/>
  <c r="J343" i="8"/>
  <c r="I343" i="8"/>
  <c r="M344" i="8"/>
  <c r="L344" i="8"/>
  <c r="K344" i="8"/>
  <c r="J344" i="8"/>
  <c r="I344" i="8"/>
  <c r="M345" i="8"/>
  <c r="L345" i="8"/>
  <c r="K345" i="8"/>
  <c r="J345" i="8"/>
  <c r="I345" i="8"/>
  <c r="M346" i="8"/>
  <c r="L346" i="8"/>
  <c r="K346" i="8"/>
  <c r="J346" i="8"/>
  <c r="I346" i="8"/>
  <c r="M347" i="8"/>
  <c r="L347" i="8"/>
  <c r="K347" i="8"/>
  <c r="J347" i="8"/>
  <c r="I347" i="8"/>
  <c r="M348" i="8"/>
  <c r="L348" i="8"/>
  <c r="K348" i="8"/>
  <c r="J348" i="8"/>
  <c r="I348" i="8"/>
  <c r="M349" i="8"/>
  <c r="L349" i="8"/>
  <c r="K349" i="8"/>
  <c r="J349" i="8"/>
  <c r="I349" i="8"/>
  <c r="M350" i="8"/>
  <c r="L350" i="8"/>
  <c r="K350" i="8"/>
  <c r="J350" i="8"/>
  <c r="I350" i="8"/>
  <c r="M351" i="8"/>
  <c r="L351" i="8"/>
  <c r="K351" i="8"/>
  <c r="J351" i="8"/>
  <c r="I351" i="8"/>
  <c r="M352" i="8"/>
  <c r="L352" i="8"/>
  <c r="K352" i="8"/>
  <c r="J352" i="8"/>
  <c r="I352" i="8"/>
  <c r="M353" i="8"/>
  <c r="L353" i="8"/>
  <c r="K353" i="8"/>
  <c r="J353" i="8"/>
  <c r="I353" i="8"/>
  <c r="M354" i="8"/>
  <c r="L354" i="8"/>
  <c r="K354" i="8"/>
  <c r="J354" i="8"/>
  <c r="I354" i="8"/>
  <c r="M355" i="8"/>
  <c r="L355" i="8"/>
  <c r="K355" i="8"/>
  <c r="J355" i="8"/>
  <c r="I355" i="8"/>
  <c r="M356" i="8"/>
  <c r="L356" i="8"/>
  <c r="K356" i="8"/>
  <c r="J356" i="8"/>
  <c r="I356" i="8"/>
  <c r="M357" i="8"/>
  <c r="L357" i="8"/>
  <c r="K357" i="8"/>
  <c r="J357" i="8"/>
  <c r="I357" i="8"/>
  <c r="M358" i="8"/>
  <c r="L358" i="8"/>
  <c r="K358" i="8"/>
  <c r="J358" i="8"/>
  <c r="I358" i="8"/>
  <c r="M359" i="8"/>
  <c r="L359" i="8"/>
  <c r="K359" i="8"/>
  <c r="J359" i="8"/>
  <c r="I359" i="8"/>
  <c r="M360" i="8"/>
  <c r="L360" i="8"/>
  <c r="K360" i="8"/>
  <c r="J360" i="8"/>
  <c r="I360" i="8"/>
  <c r="M361" i="8"/>
  <c r="L361" i="8"/>
  <c r="K361" i="8"/>
  <c r="J361" i="8"/>
  <c r="I361" i="8"/>
  <c r="M362" i="8"/>
  <c r="L362" i="8"/>
  <c r="K362" i="8"/>
  <c r="J362" i="8"/>
  <c r="I362" i="8"/>
  <c r="M363" i="8"/>
  <c r="L363" i="8"/>
  <c r="K363" i="8"/>
  <c r="J363" i="8"/>
  <c r="I363" i="8"/>
  <c r="M364" i="8"/>
  <c r="L364" i="8"/>
  <c r="K364" i="8"/>
  <c r="J364" i="8"/>
  <c r="I364" i="8"/>
  <c r="M365" i="8"/>
  <c r="L365" i="8"/>
  <c r="K365" i="8"/>
  <c r="J365" i="8"/>
  <c r="I365" i="8"/>
  <c r="M366" i="8"/>
  <c r="L366" i="8"/>
  <c r="K366" i="8"/>
  <c r="J366" i="8"/>
  <c r="I366" i="8"/>
  <c r="M367" i="8"/>
  <c r="L367" i="8"/>
  <c r="K367" i="8"/>
  <c r="J367" i="8"/>
  <c r="I367" i="8"/>
  <c r="M368" i="8"/>
  <c r="L368" i="8"/>
  <c r="K368" i="8"/>
  <c r="J368" i="8"/>
  <c r="I368" i="8"/>
  <c r="M369" i="8"/>
  <c r="L369" i="8"/>
  <c r="K369" i="8"/>
  <c r="J369" i="8"/>
  <c r="I369" i="8"/>
  <c r="M370" i="8"/>
  <c r="L370" i="8"/>
  <c r="K370" i="8"/>
  <c r="J370" i="8"/>
  <c r="I370" i="8"/>
  <c r="M371" i="8"/>
  <c r="L371" i="8"/>
  <c r="K371" i="8"/>
  <c r="J371" i="8"/>
  <c r="I371" i="8"/>
  <c r="M372" i="8"/>
  <c r="L372" i="8"/>
  <c r="K372" i="8"/>
  <c r="J372" i="8"/>
  <c r="I372" i="8"/>
  <c r="M373" i="8"/>
  <c r="L373" i="8"/>
  <c r="K373" i="8"/>
  <c r="J373" i="8"/>
  <c r="I373" i="8"/>
  <c r="M374" i="8"/>
  <c r="L374" i="8"/>
  <c r="K374" i="8"/>
  <c r="J374" i="8"/>
  <c r="I374" i="8"/>
  <c r="M375" i="8"/>
  <c r="L375" i="8"/>
  <c r="K375" i="8"/>
  <c r="J375" i="8"/>
  <c r="I375" i="8"/>
  <c r="M376" i="8"/>
  <c r="L376" i="8"/>
  <c r="K376" i="8"/>
  <c r="J376" i="8"/>
  <c r="I376" i="8"/>
  <c r="M377" i="8"/>
  <c r="L377" i="8"/>
  <c r="K377" i="8"/>
  <c r="J377" i="8"/>
  <c r="I377" i="8"/>
  <c r="M378" i="8"/>
  <c r="L378" i="8"/>
  <c r="K378" i="8"/>
  <c r="J378" i="8"/>
  <c r="I378" i="8"/>
  <c r="M379" i="8"/>
  <c r="L379" i="8"/>
  <c r="K379" i="8"/>
  <c r="J379" i="8"/>
  <c r="I379" i="8"/>
  <c r="M380" i="8"/>
  <c r="L380" i="8"/>
  <c r="K380" i="8"/>
  <c r="J380" i="8"/>
  <c r="I380" i="8"/>
  <c r="M381" i="8"/>
  <c r="L381" i="8"/>
  <c r="K381" i="8"/>
  <c r="J381" i="8"/>
  <c r="I381" i="8"/>
  <c r="M382" i="8"/>
  <c r="L382" i="8"/>
  <c r="K382" i="8"/>
  <c r="J382" i="8"/>
  <c r="I382" i="8"/>
  <c r="M383" i="8"/>
  <c r="L383" i="8"/>
  <c r="K383" i="8"/>
  <c r="J383" i="8"/>
  <c r="I383" i="8"/>
  <c r="M384" i="8"/>
  <c r="L384" i="8"/>
  <c r="K384" i="8"/>
  <c r="J384" i="8"/>
  <c r="I384" i="8"/>
  <c r="M385" i="8"/>
  <c r="L385" i="8"/>
  <c r="K385" i="8"/>
  <c r="J385" i="8"/>
  <c r="I385" i="8"/>
  <c r="M386" i="8"/>
  <c r="L386" i="8"/>
  <c r="K386" i="8"/>
  <c r="J386" i="8"/>
  <c r="I386" i="8"/>
  <c r="M387" i="8"/>
  <c r="L387" i="8"/>
  <c r="K387" i="8"/>
  <c r="J387" i="8"/>
  <c r="I387" i="8"/>
  <c r="M388" i="8"/>
  <c r="L388" i="8"/>
  <c r="K388" i="8"/>
  <c r="J388" i="8"/>
  <c r="I388" i="8"/>
  <c r="M389" i="8"/>
  <c r="L389" i="8"/>
  <c r="K389" i="8"/>
  <c r="J389" i="8"/>
  <c r="I389" i="8"/>
  <c r="M390" i="8"/>
  <c r="L390" i="8"/>
  <c r="K390" i="8"/>
  <c r="J390" i="8"/>
  <c r="I390" i="8"/>
  <c r="M391" i="8"/>
  <c r="L391" i="8"/>
  <c r="K391" i="8"/>
  <c r="J391" i="8"/>
  <c r="I391" i="8"/>
  <c r="M392" i="8"/>
  <c r="L392" i="8"/>
  <c r="K392" i="8"/>
  <c r="J392" i="8"/>
  <c r="I392" i="8"/>
  <c r="M393" i="8"/>
  <c r="L393" i="8"/>
  <c r="K393" i="8"/>
  <c r="J393" i="8"/>
  <c r="I393" i="8"/>
  <c r="M394" i="8"/>
  <c r="L394" i="8"/>
  <c r="K394" i="8"/>
  <c r="J394" i="8"/>
  <c r="I394" i="8"/>
  <c r="M395" i="8"/>
  <c r="L395" i="8"/>
  <c r="K395" i="8"/>
  <c r="J395" i="8"/>
  <c r="I395" i="8"/>
  <c r="M396" i="8"/>
  <c r="L396" i="8"/>
  <c r="K396" i="8"/>
  <c r="J396" i="8"/>
  <c r="I396" i="8"/>
  <c r="M397" i="8"/>
  <c r="L397" i="8"/>
  <c r="K397" i="8"/>
  <c r="J397" i="8"/>
  <c r="I397" i="8"/>
  <c r="M398" i="8"/>
  <c r="L398" i="8"/>
  <c r="K398" i="8"/>
  <c r="J398" i="8"/>
  <c r="I398" i="8"/>
  <c r="M399" i="8"/>
  <c r="L399" i="8"/>
  <c r="K399" i="8"/>
  <c r="J399" i="8"/>
  <c r="I399" i="8"/>
  <c r="M400" i="8"/>
  <c r="L400" i="8"/>
  <c r="K400" i="8"/>
  <c r="J400" i="8"/>
  <c r="I400" i="8"/>
  <c r="M401" i="8"/>
  <c r="L401" i="8"/>
  <c r="K401" i="8"/>
  <c r="J401" i="8"/>
  <c r="I401" i="8"/>
  <c r="B16" i="10"/>
  <c r="D15" i="9"/>
  <c r="D14" i="9"/>
  <c r="D13" i="9"/>
  <c r="D12" i="9"/>
  <c r="D11" i="9"/>
  <c r="D10" i="9"/>
  <c r="D9" i="9"/>
  <c r="D8" i="9"/>
  <c r="C16" i="10"/>
  <c r="H15" i="9"/>
  <c r="H14" i="9"/>
  <c r="H13" i="9"/>
  <c r="H12" i="9"/>
  <c r="H11" i="9"/>
  <c r="H10" i="9"/>
  <c r="H9" i="9"/>
  <c r="H8" i="9"/>
  <c r="D16" i="10"/>
  <c r="L15" i="9"/>
  <c r="L14" i="9"/>
  <c r="L13" i="9"/>
  <c r="L12" i="9"/>
  <c r="L11" i="9"/>
  <c r="L10" i="9"/>
  <c r="L9" i="9"/>
  <c r="L8" i="9"/>
  <c r="E16" i="10"/>
  <c r="P15" i="9"/>
  <c r="P14" i="9"/>
  <c r="P13" i="9"/>
  <c r="P12" i="9"/>
  <c r="P11" i="9"/>
  <c r="P10" i="9"/>
  <c r="P9" i="9"/>
  <c r="P8" i="9"/>
  <c r="B11" i="10"/>
  <c r="B6" i="10"/>
  <c r="C11" i="10"/>
  <c r="C6" i="10"/>
  <c r="D11" i="10"/>
  <c r="D6" i="10"/>
  <c r="E11" i="10"/>
  <c r="E6" i="10"/>
  <c r="F11" i="10"/>
  <c r="F6" i="10"/>
  <c r="B10" i="10"/>
  <c r="C10" i="10"/>
  <c r="D10" i="10"/>
  <c r="E10" i="10"/>
  <c r="F10" i="10"/>
  <c r="B26" i="10"/>
  <c r="B27" i="10" s="1"/>
  <c r="C26" i="10"/>
  <c r="C27" i="10" s="1"/>
  <c r="D26" i="10"/>
  <c r="D27" i="10" s="1"/>
  <c r="E26" i="10"/>
  <c r="E27" i="10" s="1"/>
  <c r="M2" i="16"/>
  <c r="L2" i="16"/>
  <c r="K2" i="16"/>
  <c r="J2" i="16"/>
  <c r="I2" i="16"/>
  <c r="M3" i="16"/>
  <c r="L3" i="16"/>
  <c r="K3" i="16"/>
  <c r="J3" i="16"/>
  <c r="I3" i="16"/>
  <c r="M4" i="16"/>
  <c r="L4" i="16"/>
  <c r="K4" i="16"/>
  <c r="J4" i="16"/>
  <c r="I4" i="16"/>
  <c r="M5" i="16"/>
  <c r="L5" i="16"/>
  <c r="K5" i="16"/>
  <c r="J5" i="16"/>
  <c r="I5" i="16"/>
  <c r="M6" i="16"/>
  <c r="L6" i="16"/>
  <c r="K6" i="16"/>
  <c r="J6" i="16"/>
  <c r="I6" i="16"/>
  <c r="M7" i="16"/>
  <c r="L7" i="16"/>
  <c r="K7" i="16"/>
  <c r="J7" i="16"/>
  <c r="I7" i="16"/>
  <c r="M8" i="16"/>
  <c r="L8" i="16"/>
  <c r="K8" i="16"/>
  <c r="J8" i="16"/>
  <c r="I8" i="16"/>
  <c r="M9" i="16"/>
  <c r="L9" i="16"/>
  <c r="K9" i="16"/>
  <c r="J9" i="16"/>
  <c r="I9" i="16"/>
  <c r="M10" i="16"/>
  <c r="L10" i="16"/>
  <c r="K10" i="16"/>
  <c r="J10" i="16"/>
  <c r="I10" i="16"/>
  <c r="M11" i="16"/>
  <c r="L11" i="16"/>
  <c r="K11" i="16"/>
  <c r="J11" i="16"/>
  <c r="I11" i="16"/>
  <c r="M12" i="16"/>
  <c r="L12" i="16"/>
  <c r="K12" i="16"/>
  <c r="J12" i="16"/>
  <c r="I12" i="16"/>
  <c r="M13" i="16"/>
  <c r="L13" i="16"/>
  <c r="K13" i="16"/>
  <c r="J13" i="16"/>
  <c r="I13" i="16"/>
  <c r="M14" i="16"/>
  <c r="L14" i="16"/>
  <c r="K14" i="16"/>
  <c r="J14" i="16"/>
  <c r="I14" i="16"/>
  <c r="M15" i="16"/>
  <c r="L15" i="16"/>
  <c r="K15" i="16"/>
  <c r="J15" i="16"/>
  <c r="I15" i="16"/>
  <c r="M16" i="16"/>
  <c r="L16" i="16"/>
  <c r="K16" i="16"/>
  <c r="J16" i="16"/>
  <c r="I16" i="16"/>
  <c r="M17" i="16"/>
  <c r="L17" i="16"/>
  <c r="K17" i="16"/>
  <c r="J17" i="16"/>
  <c r="I17" i="16"/>
  <c r="M18" i="16"/>
  <c r="L18" i="16"/>
  <c r="K18" i="16"/>
  <c r="J18" i="16"/>
  <c r="I18" i="16"/>
  <c r="M19" i="16"/>
  <c r="L19" i="16"/>
  <c r="K19" i="16"/>
  <c r="J19" i="16"/>
  <c r="I19" i="16"/>
  <c r="M20" i="16"/>
  <c r="L20" i="16"/>
  <c r="K20" i="16"/>
  <c r="J20" i="16"/>
  <c r="I20" i="16"/>
  <c r="M21" i="16"/>
  <c r="L21" i="16"/>
  <c r="K21" i="16"/>
  <c r="J21" i="16"/>
  <c r="I21" i="16"/>
  <c r="M22" i="16"/>
  <c r="L22" i="16"/>
  <c r="K22" i="16"/>
  <c r="J22" i="16"/>
  <c r="I22" i="16"/>
  <c r="M23" i="16"/>
  <c r="L23" i="16"/>
  <c r="K23" i="16"/>
  <c r="J23" i="16"/>
  <c r="I23" i="16"/>
  <c r="M24" i="16"/>
  <c r="L24" i="16"/>
  <c r="K24" i="16"/>
  <c r="J24" i="16"/>
  <c r="I24" i="16"/>
  <c r="M25" i="16"/>
  <c r="L25" i="16"/>
  <c r="K25" i="16"/>
  <c r="J25" i="16"/>
  <c r="I25" i="16"/>
  <c r="M26" i="16"/>
  <c r="L26" i="16"/>
  <c r="K26" i="16"/>
  <c r="J26" i="16"/>
  <c r="I26" i="16"/>
  <c r="M27" i="16"/>
  <c r="L27" i="16"/>
  <c r="K27" i="16"/>
  <c r="J27" i="16"/>
  <c r="I27" i="16"/>
  <c r="M28" i="16"/>
  <c r="L28" i="16"/>
  <c r="K28" i="16"/>
  <c r="J28" i="16"/>
  <c r="I28" i="16"/>
  <c r="M29" i="16"/>
  <c r="L29" i="16"/>
  <c r="K29" i="16"/>
  <c r="J29" i="16"/>
  <c r="I29" i="16"/>
  <c r="M30" i="16"/>
  <c r="L30" i="16"/>
  <c r="K30" i="16"/>
  <c r="J30" i="16"/>
  <c r="I30" i="16"/>
  <c r="M31" i="16"/>
  <c r="L31" i="16"/>
  <c r="K31" i="16"/>
  <c r="J31" i="16"/>
  <c r="I31" i="16"/>
  <c r="M32" i="16"/>
  <c r="L32" i="16"/>
  <c r="K32" i="16"/>
  <c r="J32" i="16"/>
  <c r="I32" i="16"/>
  <c r="M33" i="16"/>
  <c r="L33" i="16"/>
  <c r="K33" i="16"/>
  <c r="J33" i="16"/>
  <c r="I33" i="16"/>
  <c r="M34" i="16"/>
  <c r="L34" i="16"/>
  <c r="K34" i="16"/>
  <c r="J34" i="16"/>
  <c r="I34" i="16"/>
  <c r="M35" i="16"/>
  <c r="L35" i="16"/>
  <c r="K35" i="16"/>
  <c r="J35" i="16"/>
  <c r="I35" i="16"/>
  <c r="M36" i="16"/>
  <c r="L36" i="16"/>
  <c r="K36" i="16"/>
  <c r="J36" i="16"/>
  <c r="I36" i="16"/>
  <c r="M37" i="16"/>
  <c r="L37" i="16"/>
  <c r="K37" i="16"/>
  <c r="J37" i="16"/>
  <c r="I37" i="16"/>
  <c r="M38" i="16"/>
  <c r="L38" i="16"/>
  <c r="K38" i="16"/>
  <c r="J38" i="16"/>
  <c r="I38" i="16"/>
  <c r="M39" i="16"/>
  <c r="L39" i="16"/>
  <c r="K39" i="16"/>
  <c r="J39" i="16"/>
  <c r="I39" i="16"/>
  <c r="M40" i="16"/>
  <c r="L40" i="16"/>
  <c r="K40" i="16"/>
  <c r="J40" i="16"/>
  <c r="I40" i="16"/>
  <c r="M41" i="16"/>
  <c r="L41" i="16"/>
  <c r="K41" i="16"/>
  <c r="J41" i="16"/>
  <c r="I41" i="16"/>
  <c r="M42" i="16"/>
  <c r="L42" i="16"/>
  <c r="K42" i="16"/>
  <c r="J42" i="16"/>
  <c r="I42" i="16"/>
  <c r="M43" i="16"/>
  <c r="L43" i="16"/>
  <c r="K43" i="16"/>
  <c r="J43" i="16"/>
  <c r="I43" i="16"/>
  <c r="M44" i="16"/>
  <c r="L44" i="16"/>
  <c r="K44" i="16"/>
  <c r="J44" i="16"/>
  <c r="I44" i="16"/>
  <c r="M45" i="16"/>
  <c r="L45" i="16"/>
  <c r="K45" i="16"/>
  <c r="J45" i="16"/>
  <c r="I45" i="16"/>
  <c r="M46" i="16"/>
  <c r="L46" i="16"/>
  <c r="K46" i="16"/>
  <c r="J46" i="16"/>
  <c r="I46" i="16"/>
  <c r="M47" i="16"/>
  <c r="L47" i="16"/>
  <c r="K47" i="16"/>
  <c r="J47" i="16"/>
  <c r="I47" i="16"/>
  <c r="M48" i="16"/>
  <c r="L48" i="16"/>
  <c r="K48" i="16"/>
  <c r="J48" i="16"/>
  <c r="I48" i="16"/>
  <c r="M49" i="16"/>
  <c r="L49" i="16"/>
  <c r="K49" i="16"/>
  <c r="J49" i="16"/>
  <c r="I49" i="16"/>
  <c r="M50" i="16"/>
  <c r="L50" i="16"/>
  <c r="K50" i="16"/>
  <c r="J50" i="16"/>
  <c r="I50" i="16"/>
  <c r="M51" i="16"/>
  <c r="L51" i="16"/>
  <c r="K51" i="16"/>
  <c r="J51" i="16"/>
  <c r="I51" i="16"/>
  <c r="M52" i="16"/>
  <c r="L52" i="16"/>
  <c r="K52" i="16"/>
  <c r="J52" i="16"/>
  <c r="I52" i="16"/>
  <c r="M53" i="16"/>
  <c r="L53" i="16"/>
  <c r="K53" i="16"/>
  <c r="J53" i="16"/>
  <c r="I53" i="16"/>
  <c r="M54" i="16"/>
  <c r="L54" i="16"/>
  <c r="K54" i="16"/>
  <c r="J54" i="16"/>
  <c r="I54" i="16"/>
  <c r="M55" i="16"/>
  <c r="L55" i="16"/>
  <c r="K55" i="16"/>
  <c r="J55" i="16"/>
  <c r="I55" i="16"/>
  <c r="M56" i="16"/>
  <c r="L56" i="16"/>
  <c r="K56" i="16"/>
  <c r="J56" i="16"/>
  <c r="I56" i="16"/>
  <c r="M57" i="16"/>
  <c r="L57" i="16"/>
  <c r="K57" i="16"/>
  <c r="J57" i="16"/>
  <c r="I57" i="16"/>
  <c r="M58" i="16"/>
  <c r="L58" i="16"/>
  <c r="K58" i="16"/>
  <c r="J58" i="16"/>
  <c r="I58" i="16"/>
  <c r="M59" i="16"/>
  <c r="L59" i="16"/>
  <c r="K59" i="16"/>
  <c r="J59" i="16"/>
  <c r="I59" i="16"/>
  <c r="M60" i="16"/>
  <c r="L60" i="16"/>
  <c r="K60" i="16"/>
  <c r="J60" i="16"/>
  <c r="I60" i="16"/>
  <c r="M61" i="16"/>
  <c r="L61" i="16"/>
  <c r="K61" i="16"/>
  <c r="J61" i="16"/>
  <c r="I61" i="16"/>
  <c r="M62" i="16"/>
  <c r="L62" i="16"/>
  <c r="K62" i="16"/>
  <c r="J62" i="16"/>
  <c r="I62" i="16"/>
  <c r="M63" i="16"/>
  <c r="L63" i="16"/>
  <c r="K63" i="16"/>
  <c r="J63" i="16"/>
  <c r="I63" i="16"/>
  <c r="M64" i="16"/>
  <c r="L64" i="16"/>
  <c r="K64" i="16"/>
  <c r="J64" i="16"/>
  <c r="I64" i="16"/>
  <c r="M65" i="16"/>
  <c r="L65" i="16"/>
  <c r="K65" i="16"/>
  <c r="J65" i="16"/>
  <c r="I65" i="16"/>
  <c r="M66" i="16"/>
  <c r="L66" i="16"/>
  <c r="K66" i="16"/>
  <c r="J66" i="16"/>
  <c r="I66" i="16"/>
  <c r="M67" i="16"/>
  <c r="L67" i="16"/>
  <c r="K67" i="16"/>
  <c r="J67" i="16"/>
  <c r="I67" i="16"/>
  <c r="M68" i="16"/>
  <c r="L68" i="16"/>
  <c r="K68" i="16"/>
  <c r="J68" i="16"/>
  <c r="I68" i="16"/>
  <c r="M69" i="16"/>
  <c r="L69" i="16"/>
  <c r="K69" i="16"/>
  <c r="J69" i="16"/>
  <c r="I69" i="16"/>
  <c r="M70" i="16"/>
  <c r="L70" i="16"/>
  <c r="K70" i="16"/>
  <c r="J70" i="16"/>
  <c r="I70" i="16"/>
  <c r="M71" i="16"/>
  <c r="L71" i="16"/>
  <c r="K71" i="16"/>
  <c r="J71" i="16"/>
  <c r="I71" i="16"/>
  <c r="M72" i="16"/>
  <c r="L72" i="16"/>
  <c r="K72" i="16"/>
  <c r="J72" i="16"/>
  <c r="I72" i="16"/>
  <c r="M73" i="16"/>
  <c r="L73" i="16"/>
  <c r="K73" i="16"/>
  <c r="J73" i="16"/>
  <c r="I73" i="16"/>
  <c r="M74" i="16"/>
  <c r="L74" i="16"/>
  <c r="K74" i="16"/>
  <c r="J74" i="16"/>
  <c r="I74" i="16"/>
  <c r="M75" i="16"/>
  <c r="L75" i="16"/>
  <c r="K75" i="16"/>
  <c r="J75" i="16"/>
  <c r="I75" i="16"/>
  <c r="M76" i="16"/>
  <c r="L76" i="16"/>
  <c r="K76" i="16"/>
  <c r="J76" i="16"/>
  <c r="I76" i="16"/>
  <c r="M77" i="16"/>
  <c r="L77" i="16"/>
  <c r="K77" i="16"/>
  <c r="J77" i="16"/>
  <c r="I77" i="16"/>
  <c r="M78" i="16"/>
  <c r="L78" i="16"/>
  <c r="K78" i="16"/>
  <c r="J78" i="16"/>
  <c r="I78" i="16"/>
  <c r="M79" i="16"/>
  <c r="L79" i="16"/>
  <c r="K79" i="16"/>
  <c r="J79" i="16"/>
  <c r="I79" i="16"/>
  <c r="M80" i="16"/>
  <c r="L80" i="16"/>
  <c r="K80" i="16"/>
  <c r="J80" i="16"/>
  <c r="I80" i="16"/>
  <c r="M81" i="16"/>
  <c r="L81" i="16"/>
  <c r="K81" i="16"/>
  <c r="J81" i="16"/>
  <c r="I81" i="16"/>
  <c r="M82" i="16"/>
  <c r="L82" i="16"/>
  <c r="K82" i="16"/>
  <c r="J82" i="16"/>
  <c r="I82" i="16"/>
  <c r="M83" i="16"/>
  <c r="L83" i="16"/>
  <c r="K83" i="16"/>
  <c r="J83" i="16"/>
  <c r="I83" i="16"/>
  <c r="M84" i="16"/>
  <c r="L84" i="16"/>
  <c r="K84" i="16"/>
  <c r="J84" i="16"/>
  <c r="I84" i="16"/>
  <c r="M85" i="16"/>
  <c r="L85" i="16"/>
  <c r="K85" i="16"/>
  <c r="J85" i="16"/>
  <c r="I85" i="16"/>
  <c r="M86" i="16"/>
  <c r="L86" i="16"/>
  <c r="K86" i="16"/>
  <c r="J86" i="16"/>
  <c r="I86" i="16"/>
  <c r="M87" i="16"/>
  <c r="L87" i="16"/>
  <c r="K87" i="16"/>
  <c r="J87" i="16"/>
  <c r="I87" i="16"/>
  <c r="M88" i="16"/>
  <c r="L88" i="16"/>
  <c r="K88" i="16"/>
  <c r="J88" i="16"/>
  <c r="I88" i="16"/>
  <c r="M89" i="16"/>
  <c r="L89" i="16"/>
  <c r="K89" i="16"/>
  <c r="J89" i="16"/>
  <c r="I89" i="16"/>
  <c r="M90" i="16"/>
  <c r="L90" i="16"/>
  <c r="K90" i="16"/>
  <c r="J90" i="16"/>
  <c r="I90" i="16"/>
  <c r="M91" i="16"/>
  <c r="L91" i="16"/>
  <c r="K91" i="16"/>
  <c r="J91" i="16"/>
  <c r="I91" i="16"/>
  <c r="M92" i="16"/>
  <c r="L92" i="16"/>
  <c r="K92" i="16"/>
  <c r="J92" i="16"/>
  <c r="I92" i="16"/>
  <c r="M93" i="16"/>
  <c r="L93" i="16"/>
  <c r="K93" i="16"/>
  <c r="J93" i="16"/>
  <c r="I93" i="16"/>
  <c r="M94" i="16"/>
  <c r="L94" i="16"/>
  <c r="K94" i="16"/>
  <c r="J94" i="16"/>
  <c r="I94" i="16"/>
  <c r="M95" i="16"/>
  <c r="L95" i="16"/>
  <c r="K95" i="16"/>
  <c r="J95" i="16"/>
  <c r="I95" i="16"/>
  <c r="M96" i="16"/>
  <c r="L96" i="16"/>
  <c r="K96" i="16"/>
  <c r="J96" i="16"/>
  <c r="I96" i="16"/>
  <c r="M97" i="16"/>
  <c r="L97" i="16"/>
  <c r="K97" i="16"/>
  <c r="J97" i="16"/>
  <c r="I97" i="16"/>
  <c r="M98" i="16"/>
  <c r="L98" i="16"/>
  <c r="K98" i="16"/>
  <c r="J98" i="16"/>
  <c r="I98" i="16"/>
  <c r="M99" i="16"/>
  <c r="L99" i="16"/>
  <c r="K99" i="16"/>
  <c r="J99" i="16"/>
  <c r="I99" i="16"/>
  <c r="M100" i="16"/>
  <c r="L100" i="16"/>
  <c r="K100" i="16"/>
  <c r="J100" i="16"/>
  <c r="I100" i="16"/>
  <c r="M101" i="16"/>
  <c r="L101" i="16"/>
  <c r="K101" i="16"/>
  <c r="J101" i="16"/>
  <c r="I101" i="16"/>
  <c r="M102" i="16"/>
  <c r="L102" i="16"/>
  <c r="K102" i="16"/>
  <c r="J102" i="16"/>
  <c r="I102" i="16"/>
  <c r="M103" i="16"/>
  <c r="L103" i="16"/>
  <c r="K103" i="16"/>
  <c r="J103" i="16"/>
  <c r="I103" i="16"/>
  <c r="M104" i="16"/>
  <c r="L104" i="16"/>
  <c r="K104" i="16"/>
  <c r="J104" i="16"/>
  <c r="I104" i="16"/>
  <c r="M105" i="16"/>
  <c r="L105" i="16"/>
  <c r="K105" i="16"/>
  <c r="J105" i="16"/>
  <c r="I105" i="16"/>
  <c r="M106" i="16"/>
  <c r="L106" i="16"/>
  <c r="K106" i="16"/>
  <c r="J106" i="16"/>
  <c r="I106" i="16"/>
  <c r="M107" i="16"/>
  <c r="L107" i="16"/>
  <c r="K107" i="16"/>
  <c r="J107" i="16"/>
  <c r="I107" i="16"/>
  <c r="M108" i="16"/>
  <c r="L108" i="16"/>
  <c r="K108" i="16"/>
  <c r="J108" i="16"/>
  <c r="I108" i="16"/>
  <c r="M109" i="16"/>
  <c r="L109" i="16"/>
  <c r="K109" i="16"/>
  <c r="J109" i="16"/>
  <c r="I109" i="16"/>
  <c r="M110" i="16"/>
  <c r="L110" i="16"/>
  <c r="K110" i="16"/>
  <c r="J110" i="16"/>
  <c r="I110" i="16"/>
  <c r="M111" i="16"/>
  <c r="L111" i="16"/>
  <c r="K111" i="16"/>
  <c r="J111" i="16"/>
  <c r="I111" i="16"/>
  <c r="M112" i="16"/>
  <c r="L112" i="16"/>
  <c r="K112" i="16"/>
  <c r="J112" i="16"/>
  <c r="I112" i="16"/>
  <c r="M113" i="16"/>
  <c r="L113" i="16"/>
  <c r="K113" i="16"/>
  <c r="J113" i="16"/>
  <c r="I113" i="16"/>
  <c r="M114" i="16"/>
  <c r="L114" i="16"/>
  <c r="K114" i="16"/>
  <c r="J114" i="16"/>
  <c r="I114" i="16"/>
  <c r="M115" i="16"/>
  <c r="L115" i="16"/>
  <c r="K115" i="16"/>
  <c r="J115" i="16"/>
  <c r="I115" i="16"/>
  <c r="M116" i="16"/>
  <c r="L116" i="16"/>
  <c r="K116" i="16"/>
  <c r="J116" i="16"/>
  <c r="I116" i="16"/>
  <c r="M117" i="16"/>
  <c r="L117" i="16"/>
  <c r="K117" i="16"/>
  <c r="J117" i="16"/>
  <c r="I117" i="16"/>
  <c r="M118" i="16"/>
  <c r="L118" i="16"/>
  <c r="K118" i="16"/>
  <c r="J118" i="16"/>
  <c r="I118" i="16"/>
  <c r="M119" i="16"/>
  <c r="L119" i="16"/>
  <c r="K119" i="16"/>
  <c r="J119" i="16"/>
  <c r="I119" i="16"/>
  <c r="M120" i="16"/>
  <c r="L120" i="16"/>
  <c r="K120" i="16"/>
  <c r="J120" i="16"/>
  <c r="I120" i="16"/>
  <c r="M121" i="16"/>
  <c r="L121" i="16"/>
  <c r="K121" i="16"/>
  <c r="J121" i="16"/>
  <c r="I121" i="16"/>
  <c r="M122" i="16"/>
  <c r="L122" i="16"/>
  <c r="K122" i="16"/>
  <c r="J122" i="16"/>
  <c r="I122" i="16"/>
  <c r="M123" i="16"/>
  <c r="L123" i="16"/>
  <c r="K123" i="16"/>
  <c r="J123" i="16"/>
  <c r="I123" i="16"/>
  <c r="M124" i="16"/>
  <c r="L124" i="16"/>
  <c r="K124" i="16"/>
  <c r="J124" i="16"/>
  <c r="I124" i="16"/>
  <c r="M125" i="16"/>
  <c r="L125" i="16"/>
  <c r="K125" i="16"/>
  <c r="J125" i="16"/>
  <c r="I125" i="16"/>
  <c r="M126" i="16"/>
  <c r="L126" i="16"/>
  <c r="K126" i="16"/>
  <c r="J126" i="16"/>
  <c r="I126" i="16"/>
  <c r="M127" i="16"/>
  <c r="L127" i="16"/>
  <c r="K127" i="16"/>
  <c r="J127" i="16"/>
  <c r="I127" i="16"/>
  <c r="M128" i="16"/>
  <c r="L128" i="16"/>
  <c r="K128" i="16"/>
  <c r="J128" i="16"/>
  <c r="I128" i="16"/>
  <c r="M129" i="16"/>
  <c r="L129" i="16"/>
  <c r="K129" i="16"/>
  <c r="J129" i="16"/>
  <c r="I129" i="16"/>
  <c r="M130" i="16"/>
  <c r="L130" i="16"/>
  <c r="K130" i="16"/>
  <c r="J130" i="16"/>
  <c r="I130" i="16"/>
  <c r="M131" i="16"/>
  <c r="L131" i="16"/>
  <c r="K131" i="16"/>
  <c r="J131" i="16"/>
  <c r="I131" i="16"/>
  <c r="M132" i="16"/>
  <c r="L132" i="16"/>
  <c r="K132" i="16"/>
  <c r="J132" i="16"/>
  <c r="I132" i="16"/>
  <c r="M133" i="16"/>
  <c r="L133" i="16"/>
  <c r="K133" i="16"/>
  <c r="J133" i="16"/>
  <c r="I133" i="16"/>
  <c r="M134" i="16"/>
  <c r="L134" i="16"/>
  <c r="K134" i="16"/>
  <c r="J134" i="16"/>
  <c r="I134" i="16"/>
  <c r="M135" i="16"/>
  <c r="L135" i="16"/>
  <c r="K135" i="16"/>
  <c r="J135" i="16"/>
  <c r="I135" i="16"/>
  <c r="M136" i="16"/>
  <c r="L136" i="16"/>
  <c r="K136" i="16"/>
  <c r="J136" i="16"/>
  <c r="I136" i="16"/>
  <c r="M137" i="16"/>
  <c r="L137" i="16"/>
  <c r="K137" i="16"/>
  <c r="J137" i="16"/>
  <c r="I137" i="16"/>
  <c r="M138" i="16"/>
  <c r="L138" i="16"/>
  <c r="K138" i="16"/>
  <c r="J138" i="16"/>
  <c r="I138" i="16"/>
  <c r="M139" i="16"/>
  <c r="L139" i="16"/>
  <c r="K139" i="16"/>
  <c r="J139" i="16"/>
  <c r="I139" i="16"/>
  <c r="M140" i="16"/>
  <c r="L140" i="16"/>
  <c r="K140" i="16"/>
  <c r="J140" i="16"/>
  <c r="I140" i="16"/>
  <c r="M141" i="16"/>
  <c r="L141" i="16"/>
  <c r="K141" i="16"/>
  <c r="J141" i="16"/>
  <c r="I141" i="16"/>
  <c r="M142" i="16"/>
  <c r="L142" i="16"/>
  <c r="K142" i="16"/>
  <c r="J142" i="16"/>
  <c r="I142" i="16"/>
  <c r="M143" i="16"/>
  <c r="L143" i="16"/>
  <c r="K143" i="16"/>
  <c r="J143" i="16"/>
  <c r="I143" i="16"/>
  <c r="M144" i="16"/>
  <c r="L144" i="16"/>
  <c r="K144" i="16"/>
  <c r="J144" i="16"/>
  <c r="I144" i="16"/>
  <c r="M145" i="16"/>
  <c r="L145" i="16"/>
  <c r="K145" i="16"/>
  <c r="J145" i="16"/>
  <c r="I145" i="16"/>
  <c r="M146" i="16"/>
  <c r="L146" i="16"/>
  <c r="K146" i="16"/>
  <c r="J146" i="16"/>
  <c r="I146" i="16"/>
  <c r="M147" i="16"/>
  <c r="L147" i="16"/>
  <c r="K147" i="16"/>
  <c r="J147" i="16"/>
  <c r="I147" i="16"/>
  <c r="M148" i="16"/>
  <c r="L148" i="16"/>
  <c r="K148" i="16"/>
  <c r="J148" i="16"/>
  <c r="I148" i="16"/>
  <c r="M149" i="16"/>
  <c r="L149" i="16"/>
  <c r="K149" i="16"/>
  <c r="J149" i="16"/>
  <c r="I149" i="16"/>
  <c r="M150" i="16"/>
  <c r="L150" i="16"/>
  <c r="K150" i="16"/>
  <c r="J150" i="16"/>
  <c r="I150" i="16"/>
  <c r="M151" i="16"/>
  <c r="L151" i="16"/>
  <c r="K151" i="16"/>
  <c r="J151" i="16"/>
  <c r="I151" i="16"/>
  <c r="M152" i="16"/>
  <c r="L152" i="16"/>
  <c r="K152" i="16"/>
  <c r="J152" i="16"/>
  <c r="I152" i="16"/>
  <c r="M153" i="16"/>
  <c r="L153" i="16"/>
  <c r="K153" i="16"/>
  <c r="J153" i="16"/>
  <c r="I153" i="16"/>
  <c r="M154" i="16"/>
  <c r="L154" i="16"/>
  <c r="K154" i="16"/>
  <c r="J154" i="16"/>
  <c r="I154" i="16"/>
  <c r="M155" i="16"/>
  <c r="L155" i="16"/>
  <c r="K155" i="16"/>
  <c r="J155" i="16"/>
  <c r="I155" i="16"/>
  <c r="M156" i="16"/>
  <c r="L156" i="16"/>
  <c r="K156" i="16"/>
  <c r="J156" i="16"/>
  <c r="I156" i="16"/>
  <c r="M157" i="16"/>
  <c r="L157" i="16"/>
  <c r="K157" i="16"/>
  <c r="J157" i="16"/>
  <c r="I157" i="16"/>
  <c r="M158" i="16"/>
  <c r="L158" i="16"/>
  <c r="K158" i="16"/>
  <c r="J158" i="16"/>
  <c r="I158" i="16"/>
  <c r="M159" i="16"/>
  <c r="L159" i="16"/>
  <c r="K159" i="16"/>
  <c r="J159" i="16"/>
  <c r="I159" i="16"/>
  <c r="M160" i="16"/>
  <c r="L160" i="16"/>
  <c r="K160" i="16"/>
  <c r="J160" i="16"/>
  <c r="I160" i="16"/>
  <c r="M161" i="16"/>
  <c r="L161" i="16"/>
  <c r="K161" i="16"/>
  <c r="J161" i="16"/>
  <c r="I161" i="16"/>
  <c r="M162" i="16"/>
  <c r="L162" i="16"/>
  <c r="K162" i="16"/>
  <c r="J162" i="16"/>
  <c r="I162" i="16"/>
  <c r="M163" i="16"/>
  <c r="L163" i="16"/>
  <c r="K163" i="16"/>
  <c r="J163" i="16"/>
  <c r="I163" i="16"/>
  <c r="M164" i="16"/>
  <c r="L164" i="16"/>
  <c r="K164" i="16"/>
  <c r="J164" i="16"/>
  <c r="I164" i="16"/>
  <c r="M165" i="16"/>
  <c r="L165" i="16"/>
  <c r="K165" i="16"/>
  <c r="J165" i="16"/>
  <c r="I165" i="16"/>
  <c r="M166" i="16"/>
  <c r="L166" i="16"/>
  <c r="K166" i="16"/>
  <c r="J166" i="16"/>
  <c r="I166" i="16"/>
  <c r="M167" i="16"/>
  <c r="L167" i="16"/>
  <c r="K167" i="16"/>
  <c r="J167" i="16"/>
  <c r="I167" i="16"/>
  <c r="M168" i="16"/>
  <c r="L168" i="16"/>
  <c r="K168" i="16"/>
  <c r="J168" i="16"/>
  <c r="I168" i="16"/>
  <c r="M169" i="16"/>
  <c r="L169" i="16"/>
  <c r="K169" i="16"/>
  <c r="J169" i="16"/>
  <c r="I169" i="16"/>
  <c r="M170" i="16"/>
  <c r="L170" i="16"/>
  <c r="K170" i="16"/>
  <c r="J170" i="16"/>
  <c r="I170" i="16"/>
  <c r="M171" i="16"/>
  <c r="L171" i="16"/>
  <c r="K171" i="16"/>
  <c r="J171" i="16"/>
  <c r="I171" i="16"/>
  <c r="M172" i="16"/>
  <c r="L172" i="16"/>
  <c r="K172" i="16"/>
  <c r="J172" i="16"/>
  <c r="I172" i="16"/>
  <c r="M173" i="16"/>
  <c r="L173" i="16"/>
  <c r="K173" i="16"/>
  <c r="J173" i="16"/>
  <c r="I173" i="16"/>
  <c r="M174" i="16"/>
  <c r="L174" i="16"/>
  <c r="K174" i="16"/>
  <c r="J174" i="16"/>
  <c r="I174" i="16"/>
  <c r="M175" i="16"/>
  <c r="L175" i="16"/>
  <c r="K175" i="16"/>
  <c r="J175" i="16"/>
  <c r="I175" i="16"/>
  <c r="M176" i="16"/>
  <c r="L176" i="16"/>
  <c r="K176" i="16"/>
  <c r="J176" i="16"/>
  <c r="I176" i="16"/>
  <c r="M177" i="16"/>
  <c r="L177" i="16"/>
  <c r="K177" i="16"/>
  <c r="J177" i="16"/>
  <c r="I177" i="16"/>
  <c r="M178" i="16"/>
  <c r="L178" i="16"/>
  <c r="K178" i="16"/>
  <c r="J178" i="16"/>
  <c r="I178" i="16"/>
  <c r="M179" i="16"/>
  <c r="L179" i="16"/>
  <c r="K179" i="16"/>
  <c r="J179" i="16"/>
  <c r="I179" i="16"/>
  <c r="M180" i="16"/>
  <c r="L180" i="16"/>
  <c r="K180" i="16"/>
  <c r="J180" i="16"/>
  <c r="I180" i="16"/>
  <c r="M181" i="16"/>
  <c r="L181" i="16"/>
  <c r="K181" i="16"/>
  <c r="J181" i="16"/>
  <c r="I181" i="16"/>
  <c r="M182" i="16"/>
  <c r="L182" i="16"/>
  <c r="K182" i="16"/>
  <c r="J182" i="16"/>
  <c r="I182" i="16"/>
  <c r="M183" i="16"/>
  <c r="L183" i="16"/>
  <c r="K183" i="16"/>
  <c r="J183" i="16"/>
  <c r="I183" i="16"/>
  <c r="M184" i="16"/>
  <c r="L184" i="16"/>
  <c r="K184" i="16"/>
  <c r="J184" i="16"/>
  <c r="I184" i="16"/>
  <c r="M185" i="16"/>
  <c r="L185" i="16"/>
  <c r="K185" i="16"/>
  <c r="J185" i="16"/>
  <c r="I185" i="16"/>
  <c r="M186" i="16"/>
  <c r="L186" i="16"/>
  <c r="K186" i="16"/>
  <c r="J186" i="16"/>
  <c r="I186" i="16"/>
  <c r="M187" i="16"/>
  <c r="L187" i="16"/>
  <c r="K187" i="16"/>
  <c r="J187" i="16"/>
  <c r="I187" i="16"/>
  <c r="M188" i="16"/>
  <c r="L188" i="16"/>
  <c r="K188" i="16"/>
  <c r="J188" i="16"/>
  <c r="I188" i="16"/>
  <c r="M189" i="16"/>
  <c r="L189" i="16"/>
  <c r="K189" i="16"/>
  <c r="J189" i="16"/>
  <c r="I189" i="16"/>
  <c r="M190" i="16"/>
  <c r="L190" i="16"/>
  <c r="K190" i="16"/>
  <c r="J190" i="16"/>
  <c r="I190" i="16"/>
  <c r="M191" i="16"/>
  <c r="L191" i="16"/>
  <c r="K191" i="16"/>
  <c r="J191" i="16"/>
  <c r="I191" i="16"/>
  <c r="M192" i="16"/>
  <c r="L192" i="16"/>
  <c r="K192" i="16"/>
  <c r="J192" i="16"/>
  <c r="I192" i="16"/>
  <c r="M193" i="16"/>
  <c r="L193" i="16"/>
  <c r="K193" i="16"/>
  <c r="J193" i="16"/>
  <c r="I193" i="16"/>
  <c r="M194" i="16"/>
  <c r="L194" i="16"/>
  <c r="K194" i="16"/>
  <c r="J194" i="16"/>
  <c r="I194" i="16"/>
  <c r="M195" i="16"/>
  <c r="L195" i="16"/>
  <c r="K195" i="16"/>
  <c r="J195" i="16"/>
  <c r="I195" i="16"/>
  <c r="M196" i="16"/>
  <c r="L196" i="16"/>
  <c r="K196" i="16"/>
  <c r="J196" i="16"/>
  <c r="I196" i="16"/>
  <c r="M197" i="16"/>
  <c r="L197" i="16"/>
  <c r="K197" i="16"/>
  <c r="J197" i="16"/>
  <c r="I197" i="16"/>
  <c r="M198" i="16"/>
  <c r="L198" i="16"/>
  <c r="K198" i="16"/>
  <c r="J198" i="16"/>
  <c r="I198" i="16"/>
  <c r="M199" i="16"/>
  <c r="L199" i="16"/>
  <c r="K199" i="16"/>
  <c r="J199" i="16"/>
  <c r="I199" i="16"/>
  <c r="M200" i="16"/>
  <c r="L200" i="16"/>
  <c r="K200" i="16"/>
  <c r="J200" i="16"/>
  <c r="I200" i="16"/>
  <c r="M201" i="16"/>
  <c r="L201" i="16"/>
  <c r="K201" i="16"/>
  <c r="J201" i="16"/>
  <c r="I201" i="16"/>
  <c r="M202" i="16"/>
  <c r="L202" i="16"/>
  <c r="K202" i="16"/>
  <c r="J202" i="16"/>
  <c r="I202" i="16"/>
  <c r="M203" i="16"/>
  <c r="L203" i="16"/>
  <c r="K203" i="16"/>
  <c r="J203" i="16"/>
  <c r="I203" i="16"/>
  <c r="M204" i="16"/>
  <c r="L204" i="16"/>
  <c r="K204" i="16"/>
  <c r="J204" i="16"/>
  <c r="I204" i="16"/>
  <c r="M205" i="16"/>
  <c r="L205" i="16"/>
  <c r="K205" i="16"/>
  <c r="J205" i="16"/>
  <c r="I205" i="16"/>
  <c r="M206" i="16"/>
  <c r="L206" i="16"/>
  <c r="K206" i="16"/>
  <c r="J206" i="16"/>
  <c r="I206" i="16"/>
  <c r="M207" i="16"/>
  <c r="L207" i="16"/>
  <c r="K207" i="16"/>
  <c r="J207" i="16"/>
  <c r="I207" i="16"/>
  <c r="M208" i="16"/>
  <c r="L208" i="16"/>
  <c r="K208" i="16"/>
  <c r="J208" i="16"/>
  <c r="I208" i="16"/>
  <c r="M209" i="16"/>
  <c r="L209" i="16"/>
  <c r="K209" i="16"/>
  <c r="J209" i="16"/>
  <c r="I209" i="16"/>
  <c r="M210" i="16"/>
  <c r="L210" i="16"/>
  <c r="K210" i="16"/>
  <c r="J210" i="16"/>
  <c r="I210" i="16"/>
  <c r="M211" i="16"/>
  <c r="L211" i="16"/>
  <c r="K211" i="16"/>
  <c r="J211" i="16"/>
  <c r="I211" i="16"/>
  <c r="M212" i="16"/>
  <c r="L212" i="16"/>
  <c r="K212" i="16"/>
  <c r="J212" i="16"/>
  <c r="I212" i="16"/>
  <c r="M213" i="16"/>
  <c r="L213" i="16"/>
  <c r="K213" i="16"/>
  <c r="J213" i="16"/>
  <c r="I213" i="16"/>
  <c r="M214" i="16"/>
  <c r="L214" i="16"/>
  <c r="K214" i="16"/>
  <c r="J214" i="16"/>
  <c r="I214" i="16"/>
  <c r="M215" i="16"/>
  <c r="L215" i="16"/>
  <c r="K215" i="16"/>
  <c r="J215" i="16"/>
  <c r="I215" i="16"/>
  <c r="M216" i="16"/>
  <c r="L216" i="16"/>
  <c r="K216" i="16"/>
  <c r="J216" i="16"/>
  <c r="I216" i="16"/>
  <c r="M217" i="16"/>
  <c r="L217" i="16"/>
  <c r="K217" i="16"/>
  <c r="J217" i="16"/>
  <c r="I217" i="16"/>
  <c r="M218" i="16"/>
  <c r="L218" i="16"/>
  <c r="K218" i="16"/>
  <c r="J218" i="16"/>
  <c r="I218" i="16"/>
  <c r="M219" i="16"/>
  <c r="L219" i="16"/>
  <c r="K219" i="16"/>
  <c r="J219" i="16"/>
  <c r="I219" i="16"/>
  <c r="M220" i="16"/>
  <c r="L220" i="16"/>
  <c r="K220" i="16"/>
  <c r="J220" i="16"/>
  <c r="I220" i="16"/>
  <c r="M221" i="16"/>
  <c r="L221" i="16"/>
  <c r="K221" i="16"/>
  <c r="J221" i="16"/>
  <c r="I221" i="16"/>
  <c r="M222" i="16"/>
  <c r="L222" i="16"/>
  <c r="K222" i="16"/>
  <c r="J222" i="16"/>
  <c r="I222" i="16"/>
  <c r="M223" i="16"/>
  <c r="L223" i="16"/>
  <c r="K223" i="16"/>
  <c r="J223" i="16"/>
  <c r="I223" i="16"/>
  <c r="M224" i="16"/>
  <c r="L224" i="16"/>
  <c r="K224" i="16"/>
  <c r="J224" i="16"/>
  <c r="I224" i="16"/>
  <c r="M225" i="16"/>
  <c r="L225" i="16"/>
  <c r="K225" i="16"/>
  <c r="J225" i="16"/>
  <c r="I225" i="16"/>
  <c r="M226" i="16"/>
  <c r="L226" i="16"/>
  <c r="K226" i="16"/>
  <c r="J226" i="16"/>
  <c r="I226" i="16"/>
  <c r="M227" i="16"/>
  <c r="L227" i="16"/>
  <c r="K227" i="16"/>
  <c r="J227" i="16"/>
  <c r="I227" i="16"/>
  <c r="M228" i="16"/>
  <c r="L228" i="16"/>
  <c r="K228" i="16"/>
  <c r="J228" i="16"/>
  <c r="I228" i="16"/>
  <c r="M229" i="16"/>
  <c r="L229" i="16"/>
  <c r="K229" i="16"/>
  <c r="J229" i="16"/>
  <c r="I229" i="16"/>
  <c r="M230" i="16"/>
  <c r="L230" i="16"/>
  <c r="K230" i="16"/>
  <c r="J230" i="16"/>
  <c r="I230" i="16"/>
  <c r="M231" i="16"/>
  <c r="L231" i="16"/>
  <c r="K231" i="16"/>
  <c r="J231" i="16"/>
  <c r="I231" i="16"/>
  <c r="M232" i="16"/>
  <c r="L232" i="16"/>
  <c r="K232" i="16"/>
  <c r="J232" i="16"/>
  <c r="I232" i="16"/>
  <c r="M233" i="16"/>
  <c r="L233" i="16"/>
  <c r="K233" i="16"/>
  <c r="J233" i="16"/>
  <c r="I233" i="16"/>
  <c r="M234" i="16"/>
  <c r="L234" i="16"/>
  <c r="K234" i="16"/>
  <c r="J234" i="16"/>
  <c r="I234" i="16"/>
  <c r="M235" i="16"/>
  <c r="L235" i="16"/>
  <c r="K235" i="16"/>
  <c r="J235" i="16"/>
  <c r="I235" i="16"/>
  <c r="M236" i="16"/>
  <c r="L236" i="16"/>
  <c r="K236" i="16"/>
  <c r="J236" i="16"/>
  <c r="I236" i="16"/>
  <c r="M237" i="16"/>
  <c r="L237" i="16"/>
  <c r="K237" i="16"/>
  <c r="J237" i="16"/>
  <c r="I237" i="16"/>
  <c r="M238" i="16"/>
  <c r="L238" i="16"/>
  <c r="K238" i="16"/>
  <c r="J238" i="16"/>
  <c r="I238" i="16"/>
  <c r="M239" i="16"/>
  <c r="L239" i="16"/>
  <c r="K239" i="16"/>
  <c r="J239" i="16"/>
  <c r="I239" i="16"/>
  <c r="M240" i="16"/>
  <c r="L240" i="16"/>
  <c r="K240" i="16"/>
  <c r="J240" i="16"/>
  <c r="I240" i="16"/>
  <c r="M241" i="16"/>
  <c r="L241" i="16"/>
  <c r="K241" i="16"/>
  <c r="J241" i="16"/>
  <c r="I241" i="16"/>
  <c r="M242" i="16"/>
  <c r="L242" i="16"/>
  <c r="K242" i="16"/>
  <c r="J242" i="16"/>
  <c r="I242" i="16"/>
  <c r="M243" i="16"/>
  <c r="L243" i="16"/>
  <c r="K243" i="16"/>
  <c r="J243" i="16"/>
  <c r="I243" i="16"/>
  <c r="M244" i="16"/>
  <c r="L244" i="16"/>
  <c r="K244" i="16"/>
  <c r="J244" i="16"/>
  <c r="I244" i="16"/>
  <c r="M245" i="16"/>
  <c r="L245" i="16"/>
  <c r="K245" i="16"/>
  <c r="J245" i="16"/>
  <c r="I245" i="16"/>
  <c r="M246" i="16"/>
  <c r="L246" i="16"/>
  <c r="K246" i="16"/>
  <c r="J246" i="16"/>
  <c r="I246" i="16"/>
  <c r="M247" i="16"/>
  <c r="L247" i="16"/>
  <c r="K247" i="16"/>
  <c r="J247" i="16"/>
  <c r="I247" i="16"/>
  <c r="M248" i="16"/>
  <c r="L248" i="16"/>
  <c r="K248" i="16"/>
  <c r="J248" i="16"/>
  <c r="I248" i="16"/>
  <c r="M249" i="16"/>
  <c r="L249" i="16"/>
  <c r="K249" i="16"/>
  <c r="J249" i="16"/>
  <c r="I249" i="16"/>
  <c r="M250" i="16"/>
  <c r="L250" i="16"/>
  <c r="K250" i="16"/>
  <c r="J250" i="16"/>
  <c r="I250" i="16"/>
  <c r="M251" i="16"/>
  <c r="L251" i="16"/>
  <c r="K251" i="16"/>
  <c r="J251" i="16"/>
  <c r="I251" i="16"/>
  <c r="M252" i="16"/>
  <c r="L252" i="16"/>
  <c r="K252" i="16"/>
  <c r="J252" i="16"/>
  <c r="I252" i="16"/>
  <c r="M253" i="16"/>
  <c r="L253" i="16"/>
  <c r="K253" i="16"/>
  <c r="J253" i="16"/>
  <c r="I253" i="16"/>
  <c r="M254" i="16"/>
  <c r="L254" i="16"/>
  <c r="K254" i="16"/>
  <c r="J254" i="16"/>
  <c r="I254" i="16"/>
  <c r="M255" i="16"/>
  <c r="L255" i="16"/>
  <c r="K255" i="16"/>
  <c r="J255" i="16"/>
  <c r="I255" i="16"/>
  <c r="M256" i="16"/>
  <c r="L256" i="16"/>
  <c r="K256" i="16"/>
  <c r="J256" i="16"/>
  <c r="I256" i="16"/>
  <c r="M257" i="16"/>
  <c r="L257" i="16"/>
  <c r="K257" i="16"/>
  <c r="J257" i="16"/>
  <c r="I257" i="16"/>
  <c r="M258" i="16"/>
  <c r="L258" i="16"/>
  <c r="K258" i="16"/>
  <c r="J258" i="16"/>
  <c r="I258" i="16"/>
  <c r="M259" i="16"/>
  <c r="L259" i="16"/>
  <c r="K259" i="16"/>
  <c r="J259" i="16"/>
  <c r="I259" i="16"/>
  <c r="M260" i="16"/>
  <c r="L260" i="16"/>
  <c r="K260" i="16"/>
  <c r="J260" i="16"/>
  <c r="I260" i="16"/>
  <c r="M261" i="16"/>
  <c r="L261" i="16"/>
  <c r="K261" i="16"/>
  <c r="J261" i="16"/>
  <c r="I261" i="16"/>
  <c r="M262" i="16"/>
  <c r="L262" i="16"/>
  <c r="K262" i="16"/>
  <c r="J262" i="16"/>
  <c r="I262" i="16"/>
  <c r="M263" i="16"/>
  <c r="L263" i="16"/>
  <c r="K263" i="16"/>
  <c r="J263" i="16"/>
  <c r="I263" i="16"/>
  <c r="M264" i="16"/>
  <c r="L264" i="16"/>
  <c r="K264" i="16"/>
  <c r="J264" i="16"/>
  <c r="I264" i="16"/>
  <c r="M265" i="16"/>
  <c r="L265" i="16"/>
  <c r="K265" i="16"/>
  <c r="J265" i="16"/>
  <c r="I265" i="16"/>
  <c r="M266" i="16"/>
  <c r="L266" i="16"/>
  <c r="K266" i="16"/>
  <c r="J266" i="16"/>
  <c r="I266" i="16"/>
  <c r="M267" i="16"/>
  <c r="L267" i="16"/>
  <c r="K267" i="16"/>
  <c r="J267" i="16"/>
  <c r="I267" i="16"/>
  <c r="M268" i="16"/>
  <c r="L268" i="16"/>
  <c r="K268" i="16"/>
  <c r="J268" i="16"/>
  <c r="I268" i="16"/>
  <c r="M269" i="16"/>
  <c r="L269" i="16"/>
  <c r="K269" i="16"/>
  <c r="J269" i="16"/>
  <c r="I269" i="16"/>
  <c r="M270" i="16"/>
  <c r="L270" i="16"/>
  <c r="K270" i="16"/>
  <c r="J270" i="16"/>
  <c r="I270" i="16"/>
  <c r="M271" i="16"/>
  <c r="L271" i="16"/>
  <c r="K271" i="16"/>
  <c r="J271" i="16"/>
  <c r="I271" i="16"/>
  <c r="M272" i="16"/>
  <c r="L272" i="16"/>
  <c r="K272" i="16"/>
  <c r="J272" i="16"/>
  <c r="I272" i="16"/>
  <c r="M273" i="16"/>
  <c r="L273" i="16"/>
  <c r="K273" i="16"/>
  <c r="J273" i="16"/>
  <c r="I273" i="16"/>
  <c r="M274" i="16"/>
  <c r="L274" i="16"/>
  <c r="K274" i="16"/>
  <c r="J274" i="16"/>
  <c r="I274" i="16"/>
  <c r="M275" i="16"/>
  <c r="L275" i="16"/>
  <c r="K275" i="16"/>
  <c r="J275" i="16"/>
  <c r="I275" i="16"/>
  <c r="M276" i="16"/>
  <c r="L276" i="16"/>
  <c r="K276" i="16"/>
  <c r="J276" i="16"/>
  <c r="I276" i="16"/>
  <c r="M277" i="16"/>
  <c r="L277" i="16"/>
  <c r="K277" i="16"/>
  <c r="J277" i="16"/>
  <c r="I277" i="16"/>
  <c r="M278" i="16"/>
  <c r="L278" i="16"/>
  <c r="K278" i="16"/>
  <c r="J278" i="16"/>
  <c r="I278" i="16"/>
  <c r="M279" i="16"/>
  <c r="L279" i="16"/>
  <c r="K279" i="16"/>
  <c r="J279" i="16"/>
  <c r="I279" i="16"/>
  <c r="M280" i="16"/>
  <c r="L280" i="16"/>
  <c r="K280" i="16"/>
  <c r="J280" i="16"/>
  <c r="I280" i="16"/>
  <c r="M281" i="16"/>
  <c r="L281" i="16"/>
  <c r="K281" i="16"/>
  <c r="J281" i="16"/>
  <c r="I281" i="16"/>
  <c r="M282" i="16"/>
  <c r="L282" i="16"/>
  <c r="K282" i="16"/>
  <c r="J282" i="16"/>
  <c r="I282" i="16"/>
  <c r="M283" i="16"/>
  <c r="L283" i="16"/>
  <c r="K283" i="16"/>
  <c r="J283" i="16"/>
  <c r="I283" i="16"/>
  <c r="M284" i="16"/>
  <c r="L284" i="16"/>
  <c r="K284" i="16"/>
  <c r="J284" i="16"/>
  <c r="I284" i="16"/>
  <c r="M285" i="16"/>
  <c r="L285" i="16"/>
  <c r="K285" i="16"/>
  <c r="J285" i="16"/>
  <c r="I285" i="16"/>
  <c r="M286" i="16"/>
  <c r="L286" i="16"/>
  <c r="K286" i="16"/>
  <c r="J286" i="16"/>
  <c r="I286" i="16"/>
  <c r="M287" i="16"/>
  <c r="L287" i="16"/>
  <c r="K287" i="16"/>
  <c r="J287" i="16"/>
  <c r="I287" i="16"/>
  <c r="M288" i="16"/>
  <c r="L288" i="16"/>
  <c r="K288" i="16"/>
  <c r="J288" i="16"/>
  <c r="I288" i="16"/>
  <c r="M289" i="16"/>
  <c r="L289" i="16"/>
  <c r="K289" i="16"/>
  <c r="J289" i="16"/>
  <c r="I289" i="16"/>
  <c r="M290" i="16"/>
  <c r="L290" i="16"/>
  <c r="K290" i="16"/>
  <c r="J290" i="16"/>
  <c r="I290" i="16"/>
  <c r="M291" i="16"/>
  <c r="L291" i="16"/>
  <c r="K291" i="16"/>
  <c r="J291" i="16"/>
  <c r="I291" i="16"/>
  <c r="M292" i="16"/>
  <c r="L292" i="16"/>
  <c r="K292" i="16"/>
  <c r="J292" i="16"/>
  <c r="I292" i="16"/>
  <c r="M293" i="16"/>
  <c r="L293" i="16"/>
  <c r="K293" i="16"/>
  <c r="J293" i="16"/>
  <c r="I293" i="16"/>
  <c r="M294" i="16"/>
  <c r="L294" i="16"/>
  <c r="K294" i="16"/>
  <c r="J294" i="16"/>
  <c r="I294" i="16"/>
  <c r="M295" i="16"/>
  <c r="L295" i="16"/>
  <c r="K295" i="16"/>
  <c r="J295" i="16"/>
  <c r="I295" i="16"/>
  <c r="M296" i="16"/>
  <c r="L296" i="16"/>
  <c r="K296" i="16"/>
  <c r="J296" i="16"/>
  <c r="I296" i="16"/>
  <c r="M297" i="16"/>
  <c r="L297" i="16"/>
  <c r="K297" i="16"/>
  <c r="J297" i="16"/>
  <c r="I297" i="16"/>
  <c r="M298" i="16"/>
  <c r="L298" i="16"/>
  <c r="K298" i="16"/>
  <c r="J298" i="16"/>
  <c r="I298" i="16"/>
  <c r="M299" i="16"/>
  <c r="L299" i="16"/>
  <c r="K299" i="16"/>
  <c r="J299" i="16"/>
  <c r="I299" i="16"/>
  <c r="M300" i="16"/>
  <c r="L300" i="16"/>
  <c r="K300" i="16"/>
  <c r="J300" i="16"/>
  <c r="I300" i="16"/>
  <c r="M301" i="16"/>
  <c r="L301" i="16"/>
  <c r="K301" i="16"/>
  <c r="J301" i="16"/>
  <c r="I301" i="16"/>
  <c r="M302" i="16"/>
  <c r="L302" i="16"/>
  <c r="K302" i="16"/>
  <c r="J302" i="16"/>
  <c r="I302" i="16"/>
  <c r="M303" i="16"/>
  <c r="L303" i="16"/>
  <c r="K303" i="16"/>
  <c r="J303" i="16"/>
  <c r="I303" i="16"/>
  <c r="M304" i="16"/>
  <c r="L304" i="16"/>
  <c r="K304" i="16"/>
  <c r="J304" i="16"/>
  <c r="I304" i="16"/>
  <c r="M305" i="16"/>
  <c r="L305" i="16"/>
  <c r="K305" i="16"/>
  <c r="J305" i="16"/>
  <c r="I305" i="16"/>
  <c r="M306" i="16"/>
  <c r="L306" i="16"/>
  <c r="K306" i="16"/>
  <c r="J306" i="16"/>
  <c r="I306" i="16"/>
  <c r="M307" i="16"/>
  <c r="L307" i="16"/>
  <c r="K307" i="16"/>
  <c r="J307" i="16"/>
  <c r="I307" i="16"/>
  <c r="M308" i="16"/>
  <c r="L308" i="16"/>
  <c r="K308" i="16"/>
  <c r="J308" i="16"/>
  <c r="I308" i="16"/>
  <c r="M309" i="16"/>
  <c r="L309" i="16"/>
  <c r="K309" i="16"/>
  <c r="J309" i="16"/>
  <c r="I309" i="16"/>
  <c r="M310" i="16"/>
  <c r="L310" i="16"/>
  <c r="K310" i="16"/>
  <c r="J310" i="16"/>
  <c r="I310" i="16"/>
  <c r="M311" i="16"/>
  <c r="L311" i="16"/>
  <c r="K311" i="16"/>
  <c r="J311" i="16"/>
  <c r="I311" i="16"/>
  <c r="M312" i="16"/>
  <c r="L312" i="16"/>
  <c r="K312" i="16"/>
  <c r="J312" i="16"/>
  <c r="I312" i="16"/>
  <c r="M313" i="16"/>
  <c r="L313" i="16"/>
  <c r="K313" i="16"/>
  <c r="J313" i="16"/>
  <c r="I313" i="16"/>
  <c r="M314" i="16"/>
  <c r="L314" i="16"/>
  <c r="K314" i="16"/>
  <c r="J314" i="16"/>
  <c r="I314" i="16"/>
  <c r="M315" i="16"/>
  <c r="L315" i="16"/>
  <c r="K315" i="16"/>
  <c r="J315" i="16"/>
  <c r="I315" i="16"/>
  <c r="M316" i="16"/>
  <c r="L316" i="16"/>
  <c r="K316" i="16"/>
  <c r="J316" i="16"/>
  <c r="I316" i="16"/>
  <c r="M317" i="16"/>
  <c r="L317" i="16"/>
  <c r="K317" i="16"/>
  <c r="J317" i="16"/>
  <c r="I317" i="16"/>
  <c r="M318" i="16"/>
  <c r="L318" i="16"/>
  <c r="K318" i="16"/>
  <c r="J318" i="16"/>
  <c r="I318" i="16"/>
  <c r="M319" i="16"/>
  <c r="L319" i="16"/>
  <c r="K319" i="16"/>
  <c r="J319" i="16"/>
  <c r="I319" i="16"/>
  <c r="M320" i="16"/>
  <c r="L320" i="16"/>
  <c r="K320" i="16"/>
  <c r="J320" i="16"/>
  <c r="I320" i="16"/>
  <c r="M321" i="16"/>
  <c r="L321" i="16"/>
  <c r="K321" i="16"/>
  <c r="J321" i="16"/>
  <c r="I321" i="16"/>
  <c r="M322" i="16"/>
  <c r="L322" i="16"/>
  <c r="K322" i="16"/>
  <c r="J322" i="16"/>
  <c r="I322" i="16"/>
  <c r="M323" i="16"/>
  <c r="L323" i="16"/>
  <c r="K323" i="16"/>
  <c r="J323" i="16"/>
  <c r="I323" i="16"/>
  <c r="M324" i="16"/>
  <c r="L324" i="16"/>
  <c r="K324" i="16"/>
  <c r="J324" i="16"/>
  <c r="I324" i="16"/>
  <c r="M325" i="16"/>
  <c r="L325" i="16"/>
  <c r="K325" i="16"/>
  <c r="J325" i="16"/>
  <c r="I325" i="16"/>
  <c r="M326" i="16"/>
  <c r="L326" i="16"/>
  <c r="K326" i="16"/>
  <c r="J326" i="16"/>
  <c r="I326" i="16"/>
  <c r="M327" i="16"/>
  <c r="L327" i="16"/>
  <c r="K327" i="16"/>
  <c r="J327" i="16"/>
  <c r="I327" i="16"/>
  <c r="M328" i="16"/>
  <c r="L328" i="16"/>
  <c r="K328" i="16"/>
  <c r="J328" i="16"/>
  <c r="I328" i="16"/>
  <c r="M329" i="16"/>
  <c r="L329" i="16"/>
  <c r="K329" i="16"/>
  <c r="J329" i="16"/>
  <c r="I329" i="16"/>
  <c r="M330" i="16"/>
  <c r="L330" i="16"/>
  <c r="K330" i="16"/>
  <c r="J330" i="16"/>
  <c r="I330" i="16"/>
  <c r="M331" i="16"/>
  <c r="L331" i="16"/>
  <c r="K331" i="16"/>
  <c r="J331" i="16"/>
  <c r="I331" i="16"/>
  <c r="M332" i="16"/>
  <c r="L332" i="16"/>
  <c r="K332" i="16"/>
  <c r="J332" i="16"/>
  <c r="I332" i="16"/>
  <c r="M333" i="16"/>
  <c r="L333" i="16"/>
  <c r="K333" i="16"/>
  <c r="J333" i="16"/>
  <c r="I333" i="16"/>
  <c r="M334" i="16"/>
  <c r="L334" i="16"/>
  <c r="K334" i="16"/>
  <c r="J334" i="16"/>
  <c r="I334" i="16"/>
  <c r="M335" i="16"/>
  <c r="L335" i="16"/>
  <c r="K335" i="16"/>
  <c r="J335" i="16"/>
  <c r="I335" i="16"/>
  <c r="M336" i="16"/>
  <c r="L336" i="16"/>
  <c r="K336" i="16"/>
  <c r="J336" i="16"/>
  <c r="I336" i="16"/>
  <c r="M337" i="16"/>
  <c r="L337" i="16"/>
  <c r="K337" i="16"/>
  <c r="J337" i="16"/>
  <c r="I337" i="16"/>
  <c r="M338" i="16"/>
  <c r="L338" i="16"/>
  <c r="K338" i="16"/>
  <c r="J338" i="16"/>
  <c r="I338" i="16"/>
  <c r="M339" i="16"/>
  <c r="L339" i="16"/>
  <c r="K339" i="16"/>
  <c r="J339" i="16"/>
  <c r="I339" i="16"/>
  <c r="M340" i="16"/>
  <c r="L340" i="16"/>
  <c r="K340" i="16"/>
  <c r="J340" i="16"/>
  <c r="I340" i="16"/>
  <c r="M341" i="16"/>
  <c r="L341" i="16"/>
  <c r="K341" i="16"/>
  <c r="J341" i="16"/>
  <c r="I341" i="16"/>
  <c r="M342" i="16"/>
  <c r="L342" i="16"/>
  <c r="K342" i="16"/>
  <c r="J342" i="16"/>
  <c r="I342" i="16"/>
  <c r="M343" i="16"/>
  <c r="L343" i="16"/>
  <c r="K343" i="16"/>
  <c r="J343" i="16"/>
  <c r="I343" i="16"/>
  <c r="M344" i="16"/>
  <c r="L344" i="16"/>
  <c r="K344" i="16"/>
  <c r="J344" i="16"/>
  <c r="I344" i="16"/>
  <c r="M345" i="16"/>
  <c r="L345" i="16"/>
  <c r="K345" i="16"/>
  <c r="J345" i="16"/>
  <c r="I345" i="16"/>
  <c r="M346" i="16"/>
  <c r="L346" i="16"/>
  <c r="K346" i="16"/>
  <c r="J346" i="16"/>
  <c r="I346" i="16"/>
  <c r="M347" i="16"/>
  <c r="L347" i="16"/>
  <c r="K347" i="16"/>
  <c r="J347" i="16"/>
  <c r="I347" i="16"/>
  <c r="M348" i="16"/>
  <c r="L348" i="16"/>
  <c r="K348" i="16"/>
  <c r="J348" i="16"/>
  <c r="I348" i="16"/>
  <c r="M349" i="16"/>
  <c r="L349" i="16"/>
  <c r="K349" i="16"/>
  <c r="J349" i="16"/>
  <c r="I349" i="16"/>
  <c r="M350" i="16"/>
  <c r="L350" i="16"/>
  <c r="K350" i="16"/>
  <c r="J350" i="16"/>
  <c r="I350" i="16"/>
  <c r="M351" i="16"/>
  <c r="L351" i="16"/>
  <c r="K351" i="16"/>
  <c r="J351" i="16"/>
  <c r="I351" i="16"/>
  <c r="M352" i="16"/>
  <c r="L352" i="16"/>
  <c r="K352" i="16"/>
  <c r="J352" i="16"/>
  <c r="I352" i="16"/>
  <c r="M353" i="16"/>
  <c r="L353" i="16"/>
  <c r="K353" i="16"/>
  <c r="J353" i="16"/>
  <c r="I353" i="16"/>
  <c r="M354" i="16"/>
  <c r="L354" i="16"/>
  <c r="K354" i="16"/>
  <c r="J354" i="16"/>
  <c r="I354" i="16"/>
  <c r="M355" i="16"/>
  <c r="L355" i="16"/>
  <c r="K355" i="16"/>
  <c r="J355" i="16"/>
  <c r="I355" i="16"/>
  <c r="M356" i="16"/>
  <c r="L356" i="16"/>
  <c r="K356" i="16"/>
  <c r="J356" i="16"/>
  <c r="I356" i="16"/>
  <c r="M357" i="16"/>
  <c r="L357" i="16"/>
  <c r="K357" i="16"/>
  <c r="J357" i="16"/>
  <c r="I357" i="16"/>
  <c r="M358" i="16"/>
  <c r="L358" i="16"/>
  <c r="K358" i="16"/>
  <c r="J358" i="16"/>
  <c r="I358" i="16"/>
  <c r="M359" i="16"/>
  <c r="L359" i="16"/>
  <c r="K359" i="16"/>
  <c r="J359" i="16"/>
  <c r="I359" i="16"/>
  <c r="M360" i="16"/>
  <c r="L360" i="16"/>
  <c r="K360" i="16"/>
  <c r="J360" i="16"/>
  <c r="I360" i="16"/>
  <c r="M361" i="16"/>
  <c r="L361" i="16"/>
  <c r="K361" i="16"/>
  <c r="J361" i="16"/>
  <c r="I361" i="16"/>
  <c r="M362" i="16"/>
  <c r="L362" i="16"/>
  <c r="K362" i="16"/>
  <c r="J362" i="16"/>
  <c r="I362" i="16"/>
  <c r="M363" i="16"/>
  <c r="L363" i="16"/>
  <c r="K363" i="16"/>
  <c r="J363" i="16"/>
  <c r="I363" i="16"/>
  <c r="M364" i="16"/>
  <c r="L364" i="16"/>
  <c r="K364" i="16"/>
  <c r="J364" i="16"/>
  <c r="I364" i="16"/>
  <c r="M365" i="16"/>
  <c r="L365" i="16"/>
  <c r="K365" i="16"/>
  <c r="J365" i="16"/>
  <c r="I365" i="16"/>
  <c r="M366" i="16"/>
  <c r="L366" i="16"/>
  <c r="K366" i="16"/>
  <c r="J366" i="16"/>
  <c r="I366" i="16"/>
  <c r="M367" i="16"/>
  <c r="L367" i="16"/>
  <c r="K367" i="16"/>
  <c r="J367" i="16"/>
  <c r="I367" i="16"/>
  <c r="M368" i="16"/>
  <c r="L368" i="16"/>
  <c r="K368" i="16"/>
  <c r="J368" i="16"/>
  <c r="I368" i="16"/>
  <c r="M369" i="16"/>
  <c r="L369" i="16"/>
  <c r="K369" i="16"/>
  <c r="J369" i="16"/>
  <c r="I369" i="16"/>
  <c r="M370" i="16"/>
  <c r="L370" i="16"/>
  <c r="K370" i="16"/>
  <c r="J370" i="16"/>
  <c r="I370" i="16"/>
  <c r="M371" i="16"/>
  <c r="L371" i="16"/>
  <c r="K371" i="16"/>
  <c r="J371" i="16"/>
  <c r="I371" i="16"/>
  <c r="M372" i="16"/>
  <c r="L372" i="16"/>
  <c r="K372" i="16"/>
  <c r="J372" i="16"/>
  <c r="I372" i="16"/>
  <c r="M373" i="16"/>
  <c r="L373" i="16"/>
  <c r="K373" i="16"/>
  <c r="J373" i="16"/>
  <c r="I373" i="16"/>
  <c r="M374" i="16"/>
  <c r="L374" i="16"/>
  <c r="K374" i="16"/>
  <c r="J374" i="16"/>
  <c r="I374" i="16"/>
  <c r="M375" i="16"/>
  <c r="L375" i="16"/>
  <c r="K375" i="16"/>
  <c r="J375" i="16"/>
  <c r="I375" i="16"/>
  <c r="M376" i="16"/>
  <c r="L376" i="16"/>
  <c r="K376" i="16"/>
  <c r="J376" i="16"/>
  <c r="I376" i="16"/>
  <c r="M377" i="16"/>
  <c r="L377" i="16"/>
  <c r="K377" i="16"/>
  <c r="J377" i="16"/>
  <c r="I377" i="16"/>
  <c r="M378" i="16"/>
  <c r="L378" i="16"/>
  <c r="K378" i="16"/>
  <c r="J378" i="16"/>
  <c r="I378" i="16"/>
  <c r="M379" i="16"/>
  <c r="L379" i="16"/>
  <c r="K379" i="16"/>
  <c r="J379" i="16"/>
  <c r="I379" i="16"/>
  <c r="M380" i="16"/>
  <c r="L380" i="16"/>
  <c r="K380" i="16"/>
  <c r="J380" i="16"/>
  <c r="I380" i="16"/>
  <c r="M381" i="16"/>
  <c r="L381" i="16"/>
  <c r="K381" i="16"/>
  <c r="J381" i="16"/>
  <c r="I381" i="16"/>
  <c r="M382" i="16"/>
  <c r="L382" i="16"/>
  <c r="K382" i="16"/>
  <c r="J382" i="16"/>
  <c r="I382" i="16"/>
  <c r="M383" i="16"/>
  <c r="L383" i="16"/>
  <c r="K383" i="16"/>
  <c r="J383" i="16"/>
  <c r="I383" i="16"/>
  <c r="M384" i="16"/>
  <c r="L384" i="16"/>
  <c r="K384" i="16"/>
  <c r="J384" i="16"/>
  <c r="I384" i="16"/>
  <c r="M385" i="16"/>
  <c r="L385" i="16"/>
  <c r="K385" i="16"/>
  <c r="J385" i="16"/>
  <c r="I385" i="16"/>
  <c r="M386" i="16"/>
  <c r="L386" i="16"/>
  <c r="K386" i="16"/>
  <c r="J386" i="16"/>
  <c r="I386" i="16"/>
  <c r="M387" i="16"/>
  <c r="L387" i="16"/>
  <c r="K387" i="16"/>
  <c r="J387" i="16"/>
  <c r="I387" i="16"/>
  <c r="M388" i="16"/>
  <c r="L388" i="16"/>
  <c r="K388" i="16"/>
  <c r="J388" i="16"/>
  <c r="I388" i="16"/>
  <c r="M389" i="16"/>
  <c r="L389" i="16"/>
  <c r="K389" i="16"/>
  <c r="J389" i="16"/>
  <c r="I389" i="16"/>
  <c r="M390" i="16"/>
  <c r="L390" i="16"/>
  <c r="K390" i="16"/>
  <c r="J390" i="16"/>
  <c r="I390" i="16"/>
  <c r="M391" i="16"/>
  <c r="L391" i="16"/>
  <c r="K391" i="16"/>
  <c r="J391" i="16"/>
  <c r="I391" i="16"/>
  <c r="M392" i="16"/>
  <c r="L392" i="16"/>
  <c r="K392" i="16"/>
  <c r="J392" i="16"/>
  <c r="I392" i="16"/>
  <c r="M393" i="16"/>
  <c r="L393" i="16"/>
  <c r="K393" i="16"/>
  <c r="J393" i="16"/>
  <c r="I393" i="16"/>
  <c r="M394" i="16"/>
  <c r="L394" i="16"/>
  <c r="K394" i="16"/>
  <c r="J394" i="16"/>
  <c r="I394" i="16"/>
  <c r="M395" i="16"/>
  <c r="L395" i="16"/>
  <c r="K395" i="16"/>
  <c r="J395" i="16"/>
  <c r="I395" i="16"/>
  <c r="M396" i="16"/>
  <c r="L396" i="16"/>
  <c r="K396" i="16"/>
  <c r="J396" i="16"/>
  <c r="I396" i="16"/>
  <c r="M397" i="16"/>
  <c r="L397" i="16"/>
  <c r="K397" i="16"/>
  <c r="J397" i="16"/>
  <c r="I397" i="16"/>
  <c r="M398" i="16"/>
  <c r="L398" i="16"/>
  <c r="K398" i="16"/>
  <c r="J398" i="16"/>
  <c r="I398" i="16"/>
  <c r="M399" i="16"/>
  <c r="L399" i="16"/>
  <c r="K399" i="16"/>
  <c r="J399" i="16"/>
  <c r="I399" i="16"/>
  <c r="M400" i="16"/>
  <c r="L400" i="16"/>
  <c r="K400" i="16"/>
  <c r="J400" i="16"/>
  <c r="I400" i="16"/>
  <c r="M401" i="16"/>
  <c r="L401" i="16"/>
  <c r="K401" i="16"/>
  <c r="J401" i="16"/>
  <c r="I401" i="16"/>
  <c r="B16" i="18"/>
  <c r="D15" i="17"/>
  <c r="D14" i="17"/>
  <c r="D13" i="17"/>
  <c r="D12" i="17"/>
  <c r="D11" i="17"/>
  <c r="D10" i="17"/>
  <c r="D9" i="17"/>
  <c r="D8" i="17"/>
  <c r="C16" i="18"/>
  <c r="H15" i="17"/>
  <c r="H14" i="17"/>
  <c r="H13" i="17"/>
  <c r="H12" i="17"/>
  <c r="H11" i="17"/>
  <c r="H10" i="17"/>
  <c r="H9" i="17"/>
  <c r="H8" i="17"/>
  <c r="D16" i="18"/>
  <c r="L15" i="17"/>
  <c r="L14" i="17"/>
  <c r="L13" i="17"/>
  <c r="L12" i="17"/>
  <c r="L11" i="17"/>
  <c r="L10" i="17"/>
  <c r="L9" i="17"/>
  <c r="L8" i="17"/>
  <c r="E16" i="18"/>
  <c r="P15" i="17"/>
  <c r="P14" i="17"/>
  <c r="P13" i="17"/>
  <c r="P12" i="17"/>
  <c r="P11" i="17"/>
  <c r="P10" i="17"/>
  <c r="P9" i="17"/>
  <c r="P8" i="17"/>
  <c r="B11" i="18"/>
  <c r="B6" i="18"/>
  <c r="C11" i="18"/>
  <c r="C6" i="18"/>
  <c r="D11" i="18"/>
  <c r="D6" i="18"/>
  <c r="E11" i="18"/>
  <c r="E6" i="18"/>
  <c r="F11" i="18"/>
  <c r="F6" i="18"/>
  <c r="B10" i="18"/>
  <c r="C10" i="18"/>
  <c r="D10" i="18"/>
  <c r="E10" i="18"/>
  <c r="F10" i="18"/>
  <c r="B26" i="18"/>
  <c r="B27" i="18" s="1"/>
  <c r="C26" i="18"/>
  <c r="C27" i="18" s="1"/>
  <c r="D26" i="18"/>
  <c r="D27" i="18" s="1"/>
  <c r="E26" i="18"/>
  <c r="E27" i="18" s="1"/>
  <c r="M2" i="24"/>
  <c r="L2" i="24"/>
  <c r="K2" i="24"/>
  <c r="J2" i="24"/>
  <c r="I2" i="24"/>
  <c r="M3" i="24"/>
  <c r="L3" i="24"/>
  <c r="K3" i="24"/>
  <c r="J3" i="24"/>
  <c r="I3" i="24"/>
  <c r="M4" i="24"/>
  <c r="L4" i="24"/>
  <c r="K4" i="24"/>
  <c r="J4" i="24"/>
  <c r="I4" i="24"/>
  <c r="M5" i="24"/>
  <c r="L5" i="24"/>
  <c r="K5" i="24"/>
  <c r="J5" i="24"/>
  <c r="I5" i="24"/>
  <c r="M6" i="24"/>
  <c r="L6" i="24"/>
  <c r="K6" i="24"/>
  <c r="J6" i="24"/>
  <c r="I6" i="24"/>
  <c r="M7" i="24"/>
  <c r="L7" i="24"/>
  <c r="K7" i="24"/>
  <c r="J7" i="24"/>
  <c r="I7" i="24"/>
  <c r="M8" i="24"/>
  <c r="L8" i="24"/>
  <c r="K8" i="24"/>
  <c r="J8" i="24"/>
  <c r="I8" i="24"/>
  <c r="M9" i="24"/>
  <c r="L9" i="24"/>
  <c r="K9" i="24"/>
  <c r="J9" i="24"/>
  <c r="I9" i="24"/>
  <c r="M10" i="24"/>
  <c r="L10" i="24"/>
  <c r="K10" i="24"/>
  <c r="J10" i="24"/>
  <c r="I10" i="24"/>
  <c r="M11" i="24"/>
  <c r="L11" i="24"/>
  <c r="K11" i="24"/>
  <c r="J11" i="24"/>
  <c r="I11" i="24"/>
  <c r="M12" i="24"/>
  <c r="L12" i="24"/>
  <c r="K12" i="24"/>
  <c r="J12" i="24"/>
  <c r="I12" i="24"/>
  <c r="M13" i="24"/>
  <c r="L13" i="24"/>
  <c r="K13" i="24"/>
  <c r="J13" i="24"/>
  <c r="I13" i="24"/>
  <c r="M14" i="24"/>
  <c r="L14" i="24"/>
  <c r="K14" i="24"/>
  <c r="J14" i="24"/>
  <c r="I14" i="24"/>
  <c r="M15" i="24"/>
  <c r="L15" i="24"/>
  <c r="K15" i="24"/>
  <c r="J15" i="24"/>
  <c r="I15" i="24"/>
  <c r="M16" i="24"/>
  <c r="L16" i="24"/>
  <c r="K16" i="24"/>
  <c r="J16" i="24"/>
  <c r="I16" i="24"/>
  <c r="M17" i="24"/>
  <c r="L17" i="24"/>
  <c r="K17" i="24"/>
  <c r="J17" i="24"/>
  <c r="I17" i="24"/>
  <c r="M18" i="24"/>
  <c r="L18" i="24"/>
  <c r="K18" i="24"/>
  <c r="J18" i="24"/>
  <c r="I18" i="24"/>
  <c r="M19" i="24"/>
  <c r="L19" i="24"/>
  <c r="K19" i="24"/>
  <c r="J19" i="24"/>
  <c r="I19" i="24"/>
  <c r="M20" i="24"/>
  <c r="L20" i="24"/>
  <c r="K20" i="24"/>
  <c r="J20" i="24"/>
  <c r="I20" i="24"/>
  <c r="M21" i="24"/>
  <c r="L21" i="24"/>
  <c r="K21" i="24"/>
  <c r="J21" i="24"/>
  <c r="I21" i="24"/>
  <c r="M22" i="24"/>
  <c r="L22" i="24"/>
  <c r="K22" i="24"/>
  <c r="J22" i="24"/>
  <c r="I22" i="24"/>
  <c r="M23" i="24"/>
  <c r="L23" i="24"/>
  <c r="K23" i="24"/>
  <c r="J23" i="24"/>
  <c r="I23" i="24"/>
  <c r="M24" i="24"/>
  <c r="L24" i="24"/>
  <c r="K24" i="24"/>
  <c r="J24" i="24"/>
  <c r="I24" i="24"/>
  <c r="M25" i="24"/>
  <c r="L25" i="24"/>
  <c r="K25" i="24"/>
  <c r="J25" i="24"/>
  <c r="I25" i="24"/>
  <c r="M26" i="24"/>
  <c r="L26" i="24"/>
  <c r="K26" i="24"/>
  <c r="J26" i="24"/>
  <c r="I26" i="24"/>
  <c r="M27" i="24"/>
  <c r="L27" i="24"/>
  <c r="K27" i="24"/>
  <c r="J27" i="24"/>
  <c r="I27" i="24"/>
  <c r="M28" i="24"/>
  <c r="L28" i="24"/>
  <c r="K28" i="24"/>
  <c r="J28" i="24"/>
  <c r="I28" i="24"/>
  <c r="M29" i="24"/>
  <c r="L29" i="24"/>
  <c r="K29" i="24"/>
  <c r="J29" i="24"/>
  <c r="I29" i="24"/>
  <c r="M30" i="24"/>
  <c r="L30" i="24"/>
  <c r="K30" i="24"/>
  <c r="J30" i="24"/>
  <c r="I30" i="24"/>
  <c r="M31" i="24"/>
  <c r="L31" i="24"/>
  <c r="K31" i="24"/>
  <c r="J31" i="24"/>
  <c r="I31" i="24"/>
  <c r="M32" i="24"/>
  <c r="L32" i="24"/>
  <c r="K32" i="24"/>
  <c r="J32" i="24"/>
  <c r="I32" i="24"/>
  <c r="M33" i="24"/>
  <c r="L33" i="24"/>
  <c r="K33" i="24"/>
  <c r="J33" i="24"/>
  <c r="I33" i="24"/>
  <c r="M34" i="24"/>
  <c r="L34" i="24"/>
  <c r="K34" i="24"/>
  <c r="J34" i="24"/>
  <c r="I34" i="24"/>
  <c r="M35" i="24"/>
  <c r="L35" i="24"/>
  <c r="K35" i="24"/>
  <c r="J35" i="24"/>
  <c r="I35" i="24"/>
  <c r="M36" i="24"/>
  <c r="L36" i="24"/>
  <c r="K36" i="24"/>
  <c r="J36" i="24"/>
  <c r="I36" i="24"/>
  <c r="M37" i="24"/>
  <c r="L37" i="24"/>
  <c r="K37" i="24"/>
  <c r="J37" i="24"/>
  <c r="I37" i="24"/>
  <c r="M38" i="24"/>
  <c r="L38" i="24"/>
  <c r="K38" i="24"/>
  <c r="J38" i="24"/>
  <c r="I38" i="24"/>
  <c r="M39" i="24"/>
  <c r="L39" i="24"/>
  <c r="K39" i="24"/>
  <c r="J39" i="24"/>
  <c r="I39" i="24"/>
  <c r="M40" i="24"/>
  <c r="L40" i="24"/>
  <c r="K40" i="24"/>
  <c r="J40" i="24"/>
  <c r="I40" i="24"/>
  <c r="M41" i="24"/>
  <c r="L41" i="24"/>
  <c r="K41" i="24"/>
  <c r="J41" i="24"/>
  <c r="I41" i="24"/>
  <c r="M42" i="24"/>
  <c r="L42" i="24"/>
  <c r="K42" i="24"/>
  <c r="J42" i="24"/>
  <c r="I42" i="24"/>
  <c r="M43" i="24"/>
  <c r="L43" i="24"/>
  <c r="K43" i="24"/>
  <c r="J43" i="24"/>
  <c r="I43" i="24"/>
  <c r="M44" i="24"/>
  <c r="L44" i="24"/>
  <c r="K44" i="24"/>
  <c r="J44" i="24"/>
  <c r="I44" i="24"/>
  <c r="M45" i="24"/>
  <c r="L45" i="24"/>
  <c r="K45" i="24"/>
  <c r="J45" i="24"/>
  <c r="I45" i="24"/>
  <c r="M46" i="24"/>
  <c r="L46" i="24"/>
  <c r="K46" i="24"/>
  <c r="J46" i="24"/>
  <c r="I46" i="24"/>
  <c r="M47" i="24"/>
  <c r="L47" i="24"/>
  <c r="K47" i="24"/>
  <c r="J47" i="24"/>
  <c r="I47" i="24"/>
  <c r="M48" i="24"/>
  <c r="L48" i="24"/>
  <c r="K48" i="24"/>
  <c r="J48" i="24"/>
  <c r="I48" i="24"/>
  <c r="M49" i="24"/>
  <c r="L49" i="24"/>
  <c r="K49" i="24"/>
  <c r="J49" i="24"/>
  <c r="I49" i="24"/>
  <c r="M50" i="24"/>
  <c r="L50" i="24"/>
  <c r="K50" i="24"/>
  <c r="J50" i="24"/>
  <c r="I50" i="24"/>
  <c r="M51" i="24"/>
  <c r="L51" i="24"/>
  <c r="K51" i="24"/>
  <c r="J51" i="24"/>
  <c r="I51" i="24"/>
  <c r="M52" i="24"/>
  <c r="L52" i="24"/>
  <c r="K52" i="24"/>
  <c r="J52" i="24"/>
  <c r="I52" i="24"/>
  <c r="M53" i="24"/>
  <c r="L53" i="24"/>
  <c r="K53" i="24"/>
  <c r="J53" i="24"/>
  <c r="I53" i="24"/>
  <c r="M54" i="24"/>
  <c r="L54" i="24"/>
  <c r="K54" i="24"/>
  <c r="J54" i="24"/>
  <c r="I54" i="24"/>
  <c r="M55" i="24"/>
  <c r="L55" i="24"/>
  <c r="K55" i="24"/>
  <c r="J55" i="24"/>
  <c r="I55" i="24"/>
  <c r="M56" i="24"/>
  <c r="L56" i="24"/>
  <c r="K56" i="24"/>
  <c r="J56" i="24"/>
  <c r="I56" i="24"/>
  <c r="M57" i="24"/>
  <c r="L57" i="24"/>
  <c r="K57" i="24"/>
  <c r="J57" i="24"/>
  <c r="I57" i="24"/>
  <c r="M58" i="24"/>
  <c r="L58" i="24"/>
  <c r="K58" i="24"/>
  <c r="J58" i="24"/>
  <c r="I58" i="24"/>
  <c r="M59" i="24"/>
  <c r="L59" i="24"/>
  <c r="K59" i="24"/>
  <c r="J59" i="24"/>
  <c r="I59" i="24"/>
  <c r="M60" i="24"/>
  <c r="L60" i="24"/>
  <c r="K60" i="24"/>
  <c r="J60" i="24"/>
  <c r="I60" i="24"/>
  <c r="M61" i="24"/>
  <c r="L61" i="24"/>
  <c r="K61" i="24"/>
  <c r="J61" i="24"/>
  <c r="I61" i="24"/>
  <c r="M62" i="24"/>
  <c r="L62" i="24"/>
  <c r="K62" i="24"/>
  <c r="J62" i="24"/>
  <c r="I62" i="24"/>
  <c r="M63" i="24"/>
  <c r="L63" i="24"/>
  <c r="K63" i="24"/>
  <c r="J63" i="24"/>
  <c r="I63" i="24"/>
  <c r="M64" i="24"/>
  <c r="L64" i="24"/>
  <c r="K64" i="24"/>
  <c r="J64" i="24"/>
  <c r="I64" i="24"/>
  <c r="M65" i="24"/>
  <c r="L65" i="24"/>
  <c r="K65" i="24"/>
  <c r="J65" i="24"/>
  <c r="I65" i="24"/>
  <c r="M66" i="24"/>
  <c r="L66" i="24"/>
  <c r="K66" i="24"/>
  <c r="J66" i="24"/>
  <c r="I66" i="24"/>
  <c r="M67" i="24"/>
  <c r="L67" i="24"/>
  <c r="K67" i="24"/>
  <c r="J67" i="24"/>
  <c r="I67" i="24"/>
  <c r="M68" i="24"/>
  <c r="L68" i="24"/>
  <c r="K68" i="24"/>
  <c r="J68" i="24"/>
  <c r="I68" i="24"/>
  <c r="M69" i="24"/>
  <c r="L69" i="24"/>
  <c r="K69" i="24"/>
  <c r="J69" i="24"/>
  <c r="I69" i="24"/>
  <c r="M70" i="24"/>
  <c r="L70" i="24"/>
  <c r="K70" i="24"/>
  <c r="J70" i="24"/>
  <c r="I70" i="24"/>
  <c r="M71" i="24"/>
  <c r="L71" i="24"/>
  <c r="K71" i="24"/>
  <c r="J71" i="24"/>
  <c r="I71" i="24"/>
  <c r="M72" i="24"/>
  <c r="L72" i="24"/>
  <c r="K72" i="24"/>
  <c r="J72" i="24"/>
  <c r="I72" i="24"/>
  <c r="M73" i="24"/>
  <c r="L73" i="24"/>
  <c r="K73" i="24"/>
  <c r="J73" i="24"/>
  <c r="I73" i="24"/>
  <c r="M74" i="24"/>
  <c r="L74" i="24"/>
  <c r="K74" i="24"/>
  <c r="J74" i="24"/>
  <c r="I74" i="24"/>
  <c r="M75" i="24"/>
  <c r="L75" i="24"/>
  <c r="K75" i="24"/>
  <c r="J75" i="24"/>
  <c r="I75" i="24"/>
  <c r="M76" i="24"/>
  <c r="L76" i="24"/>
  <c r="K76" i="24"/>
  <c r="J76" i="24"/>
  <c r="I76" i="24"/>
  <c r="M77" i="24"/>
  <c r="L77" i="24"/>
  <c r="K77" i="24"/>
  <c r="J77" i="24"/>
  <c r="I77" i="24"/>
  <c r="M78" i="24"/>
  <c r="L78" i="24"/>
  <c r="K78" i="24"/>
  <c r="J78" i="24"/>
  <c r="I78" i="24"/>
  <c r="M79" i="24"/>
  <c r="L79" i="24"/>
  <c r="K79" i="24"/>
  <c r="J79" i="24"/>
  <c r="I79" i="24"/>
  <c r="M80" i="24"/>
  <c r="L80" i="24"/>
  <c r="K80" i="24"/>
  <c r="J80" i="24"/>
  <c r="I80" i="24"/>
  <c r="M81" i="24"/>
  <c r="L81" i="24"/>
  <c r="K81" i="24"/>
  <c r="J81" i="24"/>
  <c r="I81" i="24"/>
  <c r="M82" i="24"/>
  <c r="L82" i="24"/>
  <c r="K82" i="24"/>
  <c r="J82" i="24"/>
  <c r="I82" i="24"/>
  <c r="M83" i="24"/>
  <c r="L83" i="24"/>
  <c r="K83" i="24"/>
  <c r="J83" i="24"/>
  <c r="I83" i="24"/>
  <c r="M84" i="24"/>
  <c r="L84" i="24"/>
  <c r="K84" i="24"/>
  <c r="J84" i="24"/>
  <c r="I84" i="24"/>
  <c r="M85" i="24"/>
  <c r="L85" i="24"/>
  <c r="K85" i="24"/>
  <c r="J85" i="24"/>
  <c r="I85" i="24"/>
  <c r="M86" i="24"/>
  <c r="L86" i="24"/>
  <c r="K86" i="24"/>
  <c r="J86" i="24"/>
  <c r="I86" i="24"/>
  <c r="M87" i="24"/>
  <c r="L87" i="24"/>
  <c r="K87" i="24"/>
  <c r="J87" i="24"/>
  <c r="I87" i="24"/>
  <c r="M88" i="24"/>
  <c r="L88" i="24"/>
  <c r="K88" i="24"/>
  <c r="J88" i="24"/>
  <c r="I88" i="24"/>
  <c r="M89" i="24"/>
  <c r="L89" i="24"/>
  <c r="K89" i="24"/>
  <c r="J89" i="24"/>
  <c r="I89" i="24"/>
  <c r="M90" i="24"/>
  <c r="L90" i="24"/>
  <c r="K90" i="24"/>
  <c r="J90" i="24"/>
  <c r="I90" i="24"/>
  <c r="M91" i="24"/>
  <c r="L91" i="24"/>
  <c r="K91" i="24"/>
  <c r="J91" i="24"/>
  <c r="I91" i="24"/>
  <c r="M92" i="24"/>
  <c r="L92" i="24"/>
  <c r="K92" i="24"/>
  <c r="J92" i="24"/>
  <c r="I92" i="24"/>
  <c r="M93" i="24"/>
  <c r="L93" i="24"/>
  <c r="K93" i="24"/>
  <c r="J93" i="24"/>
  <c r="I93" i="24"/>
  <c r="M94" i="24"/>
  <c r="L94" i="24"/>
  <c r="K94" i="24"/>
  <c r="J94" i="24"/>
  <c r="I94" i="24"/>
  <c r="M95" i="24"/>
  <c r="L95" i="24"/>
  <c r="K95" i="24"/>
  <c r="J95" i="24"/>
  <c r="I95" i="24"/>
  <c r="M96" i="24"/>
  <c r="L96" i="24"/>
  <c r="K96" i="24"/>
  <c r="J96" i="24"/>
  <c r="I96" i="24"/>
  <c r="M97" i="24"/>
  <c r="L97" i="24"/>
  <c r="K97" i="24"/>
  <c r="J97" i="24"/>
  <c r="I97" i="24"/>
  <c r="M98" i="24"/>
  <c r="L98" i="24"/>
  <c r="K98" i="24"/>
  <c r="J98" i="24"/>
  <c r="I98" i="24"/>
  <c r="M99" i="24"/>
  <c r="L99" i="24"/>
  <c r="K99" i="24"/>
  <c r="J99" i="24"/>
  <c r="I99" i="24"/>
  <c r="M100" i="24"/>
  <c r="L100" i="24"/>
  <c r="K100" i="24"/>
  <c r="J100" i="24"/>
  <c r="I100" i="24"/>
  <c r="M101" i="24"/>
  <c r="L101" i="24"/>
  <c r="K101" i="24"/>
  <c r="J101" i="24"/>
  <c r="I101" i="24"/>
  <c r="M102" i="24"/>
  <c r="L102" i="24"/>
  <c r="K102" i="24"/>
  <c r="J102" i="24"/>
  <c r="I102" i="24"/>
  <c r="M103" i="24"/>
  <c r="L103" i="24"/>
  <c r="K103" i="24"/>
  <c r="J103" i="24"/>
  <c r="I103" i="24"/>
  <c r="M104" i="24"/>
  <c r="L104" i="24"/>
  <c r="K104" i="24"/>
  <c r="J104" i="24"/>
  <c r="I104" i="24"/>
  <c r="M105" i="24"/>
  <c r="L105" i="24"/>
  <c r="K105" i="24"/>
  <c r="J105" i="24"/>
  <c r="I105" i="24"/>
  <c r="M106" i="24"/>
  <c r="L106" i="24"/>
  <c r="K106" i="24"/>
  <c r="J106" i="24"/>
  <c r="I106" i="24"/>
  <c r="M107" i="24"/>
  <c r="L107" i="24"/>
  <c r="K107" i="24"/>
  <c r="J107" i="24"/>
  <c r="I107" i="24"/>
  <c r="M108" i="24"/>
  <c r="L108" i="24"/>
  <c r="K108" i="24"/>
  <c r="J108" i="24"/>
  <c r="I108" i="24"/>
  <c r="M109" i="24"/>
  <c r="L109" i="24"/>
  <c r="K109" i="24"/>
  <c r="J109" i="24"/>
  <c r="I109" i="24"/>
  <c r="M110" i="24"/>
  <c r="L110" i="24"/>
  <c r="K110" i="24"/>
  <c r="J110" i="24"/>
  <c r="I110" i="24"/>
  <c r="M111" i="24"/>
  <c r="L111" i="24"/>
  <c r="K111" i="24"/>
  <c r="J111" i="24"/>
  <c r="I111" i="24"/>
  <c r="M112" i="24"/>
  <c r="L112" i="24"/>
  <c r="K112" i="24"/>
  <c r="J112" i="24"/>
  <c r="I112" i="24"/>
  <c r="M113" i="24"/>
  <c r="L113" i="24"/>
  <c r="K113" i="24"/>
  <c r="J113" i="24"/>
  <c r="I113" i="24"/>
  <c r="M114" i="24"/>
  <c r="L114" i="24"/>
  <c r="K114" i="24"/>
  <c r="J114" i="24"/>
  <c r="I114" i="24"/>
  <c r="M115" i="24"/>
  <c r="L115" i="24"/>
  <c r="K115" i="24"/>
  <c r="J115" i="24"/>
  <c r="I115" i="24"/>
  <c r="M116" i="24"/>
  <c r="L116" i="24"/>
  <c r="K116" i="24"/>
  <c r="J116" i="24"/>
  <c r="I116" i="24"/>
  <c r="M117" i="24"/>
  <c r="L117" i="24"/>
  <c r="K117" i="24"/>
  <c r="J117" i="24"/>
  <c r="I117" i="24"/>
  <c r="M118" i="24"/>
  <c r="L118" i="24"/>
  <c r="K118" i="24"/>
  <c r="J118" i="24"/>
  <c r="I118" i="24"/>
  <c r="M119" i="24"/>
  <c r="L119" i="24"/>
  <c r="K119" i="24"/>
  <c r="J119" i="24"/>
  <c r="I119" i="24"/>
  <c r="M120" i="24"/>
  <c r="L120" i="24"/>
  <c r="K120" i="24"/>
  <c r="J120" i="24"/>
  <c r="I120" i="24"/>
  <c r="M121" i="24"/>
  <c r="L121" i="24"/>
  <c r="K121" i="24"/>
  <c r="J121" i="24"/>
  <c r="I121" i="24"/>
  <c r="M122" i="24"/>
  <c r="L122" i="24"/>
  <c r="K122" i="24"/>
  <c r="J122" i="24"/>
  <c r="I122" i="24"/>
  <c r="M123" i="24"/>
  <c r="L123" i="24"/>
  <c r="K123" i="24"/>
  <c r="J123" i="24"/>
  <c r="I123" i="24"/>
  <c r="M124" i="24"/>
  <c r="L124" i="24"/>
  <c r="K124" i="24"/>
  <c r="J124" i="24"/>
  <c r="I124" i="24"/>
  <c r="M125" i="24"/>
  <c r="L125" i="24"/>
  <c r="K125" i="24"/>
  <c r="J125" i="24"/>
  <c r="I125" i="24"/>
  <c r="M126" i="24"/>
  <c r="L126" i="24"/>
  <c r="K126" i="24"/>
  <c r="J126" i="24"/>
  <c r="I126" i="24"/>
  <c r="M127" i="24"/>
  <c r="L127" i="24"/>
  <c r="K127" i="24"/>
  <c r="J127" i="24"/>
  <c r="I127" i="24"/>
  <c r="M128" i="24"/>
  <c r="L128" i="24"/>
  <c r="K128" i="24"/>
  <c r="J128" i="24"/>
  <c r="I128" i="24"/>
  <c r="M129" i="24"/>
  <c r="L129" i="24"/>
  <c r="K129" i="24"/>
  <c r="J129" i="24"/>
  <c r="I129" i="24"/>
  <c r="M130" i="24"/>
  <c r="L130" i="24"/>
  <c r="K130" i="24"/>
  <c r="J130" i="24"/>
  <c r="I130" i="24"/>
  <c r="M131" i="24"/>
  <c r="L131" i="24"/>
  <c r="K131" i="24"/>
  <c r="J131" i="24"/>
  <c r="I131" i="24"/>
  <c r="M132" i="24"/>
  <c r="L132" i="24"/>
  <c r="K132" i="24"/>
  <c r="J132" i="24"/>
  <c r="I132" i="24"/>
  <c r="M133" i="24"/>
  <c r="L133" i="24"/>
  <c r="K133" i="24"/>
  <c r="J133" i="24"/>
  <c r="I133" i="24"/>
  <c r="M134" i="24"/>
  <c r="L134" i="24"/>
  <c r="K134" i="24"/>
  <c r="J134" i="24"/>
  <c r="I134" i="24"/>
  <c r="M135" i="24"/>
  <c r="L135" i="24"/>
  <c r="K135" i="24"/>
  <c r="J135" i="24"/>
  <c r="I135" i="24"/>
  <c r="M136" i="24"/>
  <c r="L136" i="24"/>
  <c r="K136" i="24"/>
  <c r="J136" i="24"/>
  <c r="I136" i="24"/>
  <c r="M137" i="24"/>
  <c r="L137" i="24"/>
  <c r="K137" i="24"/>
  <c r="J137" i="24"/>
  <c r="I137" i="24"/>
  <c r="M138" i="24"/>
  <c r="L138" i="24"/>
  <c r="K138" i="24"/>
  <c r="J138" i="24"/>
  <c r="I138" i="24"/>
  <c r="M139" i="24"/>
  <c r="L139" i="24"/>
  <c r="K139" i="24"/>
  <c r="J139" i="24"/>
  <c r="I139" i="24"/>
  <c r="M140" i="24"/>
  <c r="L140" i="24"/>
  <c r="K140" i="24"/>
  <c r="J140" i="24"/>
  <c r="I140" i="24"/>
  <c r="M141" i="24"/>
  <c r="L141" i="24"/>
  <c r="K141" i="24"/>
  <c r="J141" i="24"/>
  <c r="I141" i="24"/>
  <c r="M142" i="24"/>
  <c r="L142" i="24"/>
  <c r="K142" i="24"/>
  <c r="J142" i="24"/>
  <c r="I142" i="24"/>
  <c r="M143" i="24"/>
  <c r="L143" i="24"/>
  <c r="K143" i="24"/>
  <c r="J143" i="24"/>
  <c r="I143" i="24"/>
  <c r="M144" i="24"/>
  <c r="L144" i="24"/>
  <c r="K144" i="24"/>
  <c r="J144" i="24"/>
  <c r="I144" i="24"/>
  <c r="M145" i="24"/>
  <c r="L145" i="24"/>
  <c r="K145" i="24"/>
  <c r="J145" i="24"/>
  <c r="I145" i="24"/>
  <c r="M146" i="24"/>
  <c r="L146" i="24"/>
  <c r="K146" i="24"/>
  <c r="J146" i="24"/>
  <c r="I146" i="24"/>
  <c r="M147" i="24"/>
  <c r="L147" i="24"/>
  <c r="K147" i="24"/>
  <c r="J147" i="24"/>
  <c r="I147" i="24"/>
  <c r="M148" i="24"/>
  <c r="L148" i="24"/>
  <c r="K148" i="24"/>
  <c r="J148" i="24"/>
  <c r="I148" i="24"/>
  <c r="M149" i="24"/>
  <c r="L149" i="24"/>
  <c r="K149" i="24"/>
  <c r="J149" i="24"/>
  <c r="I149" i="24"/>
  <c r="M150" i="24"/>
  <c r="L150" i="24"/>
  <c r="K150" i="24"/>
  <c r="J150" i="24"/>
  <c r="I150" i="24"/>
  <c r="M151" i="24"/>
  <c r="L151" i="24"/>
  <c r="K151" i="24"/>
  <c r="J151" i="24"/>
  <c r="I151" i="24"/>
  <c r="M152" i="24"/>
  <c r="L152" i="24"/>
  <c r="K152" i="24"/>
  <c r="J152" i="24"/>
  <c r="I152" i="24"/>
  <c r="M153" i="24"/>
  <c r="L153" i="24"/>
  <c r="K153" i="24"/>
  <c r="J153" i="24"/>
  <c r="I153" i="24"/>
  <c r="M154" i="24"/>
  <c r="L154" i="24"/>
  <c r="K154" i="24"/>
  <c r="J154" i="24"/>
  <c r="I154" i="24"/>
  <c r="M155" i="24"/>
  <c r="L155" i="24"/>
  <c r="K155" i="24"/>
  <c r="J155" i="24"/>
  <c r="I155" i="24"/>
  <c r="M156" i="24"/>
  <c r="L156" i="24"/>
  <c r="K156" i="24"/>
  <c r="J156" i="24"/>
  <c r="I156" i="24"/>
  <c r="M157" i="24"/>
  <c r="L157" i="24"/>
  <c r="K157" i="24"/>
  <c r="J157" i="24"/>
  <c r="I157" i="24"/>
  <c r="M158" i="24"/>
  <c r="L158" i="24"/>
  <c r="K158" i="24"/>
  <c r="J158" i="24"/>
  <c r="I158" i="24"/>
  <c r="M159" i="24"/>
  <c r="L159" i="24"/>
  <c r="K159" i="24"/>
  <c r="J159" i="24"/>
  <c r="I159" i="24"/>
  <c r="M160" i="24"/>
  <c r="L160" i="24"/>
  <c r="K160" i="24"/>
  <c r="J160" i="24"/>
  <c r="I160" i="24"/>
  <c r="M161" i="24"/>
  <c r="L161" i="24"/>
  <c r="K161" i="24"/>
  <c r="J161" i="24"/>
  <c r="I161" i="24"/>
  <c r="M162" i="24"/>
  <c r="L162" i="24"/>
  <c r="K162" i="24"/>
  <c r="J162" i="24"/>
  <c r="I162" i="24"/>
  <c r="M163" i="24"/>
  <c r="L163" i="24"/>
  <c r="K163" i="24"/>
  <c r="J163" i="24"/>
  <c r="I163" i="24"/>
  <c r="M164" i="24"/>
  <c r="L164" i="24"/>
  <c r="K164" i="24"/>
  <c r="J164" i="24"/>
  <c r="I164" i="24"/>
  <c r="M165" i="24"/>
  <c r="L165" i="24"/>
  <c r="K165" i="24"/>
  <c r="J165" i="24"/>
  <c r="I165" i="24"/>
  <c r="M166" i="24"/>
  <c r="L166" i="24"/>
  <c r="K166" i="24"/>
  <c r="J166" i="24"/>
  <c r="I166" i="24"/>
  <c r="M167" i="24"/>
  <c r="L167" i="24"/>
  <c r="K167" i="24"/>
  <c r="J167" i="24"/>
  <c r="I167" i="24"/>
  <c r="M168" i="24"/>
  <c r="L168" i="24"/>
  <c r="K168" i="24"/>
  <c r="J168" i="24"/>
  <c r="I168" i="24"/>
  <c r="M169" i="24"/>
  <c r="L169" i="24"/>
  <c r="K169" i="24"/>
  <c r="J169" i="24"/>
  <c r="I169" i="24"/>
  <c r="M170" i="24"/>
  <c r="L170" i="24"/>
  <c r="K170" i="24"/>
  <c r="J170" i="24"/>
  <c r="I170" i="24"/>
  <c r="M171" i="24"/>
  <c r="L171" i="24"/>
  <c r="K171" i="24"/>
  <c r="J171" i="24"/>
  <c r="I171" i="24"/>
  <c r="M172" i="24"/>
  <c r="L172" i="24"/>
  <c r="K172" i="24"/>
  <c r="J172" i="24"/>
  <c r="I172" i="24"/>
  <c r="M173" i="24"/>
  <c r="L173" i="24"/>
  <c r="K173" i="24"/>
  <c r="J173" i="24"/>
  <c r="I173" i="24"/>
  <c r="M174" i="24"/>
  <c r="L174" i="24"/>
  <c r="K174" i="24"/>
  <c r="J174" i="24"/>
  <c r="I174" i="24"/>
  <c r="M175" i="24"/>
  <c r="L175" i="24"/>
  <c r="K175" i="24"/>
  <c r="J175" i="24"/>
  <c r="I175" i="24"/>
  <c r="M176" i="24"/>
  <c r="L176" i="24"/>
  <c r="K176" i="24"/>
  <c r="J176" i="24"/>
  <c r="I176" i="24"/>
  <c r="M177" i="24"/>
  <c r="L177" i="24"/>
  <c r="K177" i="24"/>
  <c r="J177" i="24"/>
  <c r="I177" i="24"/>
  <c r="M178" i="24"/>
  <c r="L178" i="24"/>
  <c r="K178" i="24"/>
  <c r="J178" i="24"/>
  <c r="I178" i="24"/>
  <c r="M179" i="24"/>
  <c r="L179" i="24"/>
  <c r="K179" i="24"/>
  <c r="J179" i="24"/>
  <c r="I179" i="24"/>
  <c r="M180" i="24"/>
  <c r="L180" i="24"/>
  <c r="K180" i="24"/>
  <c r="J180" i="24"/>
  <c r="I180" i="24"/>
  <c r="M181" i="24"/>
  <c r="L181" i="24"/>
  <c r="K181" i="24"/>
  <c r="J181" i="24"/>
  <c r="I181" i="24"/>
  <c r="M182" i="24"/>
  <c r="L182" i="24"/>
  <c r="K182" i="24"/>
  <c r="J182" i="24"/>
  <c r="I182" i="24"/>
  <c r="M183" i="24"/>
  <c r="L183" i="24"/>
  <c r="K183" i="24"/>
  <c r="J183" i="24"/>
  <c r="I183" i="24"/>
  <c r="M184" i="24"/>
  <c r="L184" i="24"/>
  <c r="K184" i="24"/>
  <c r="J184" i="24"/>
  <c r="I184" i="24"/>
  <c r="M185" i="24"/>
  <c r="L185" i="24"/>
  <c r="K185" i="24"/>
  <c r="J185" i="24"/>
  <c r="I185" i="24"/>
  <c r="M186" i="24"/>
  <c r="L186" i="24"/>
  <c r="K186" i="24"/>
  <c r="J186" i="24"/>
  <c r="I186" i="24"/>
  <c r="M187" i="24"/>
  <c r="L187" i="24"/>
  <c r="K187" i="24"/>
  <c r="J187" i="24"/>
  <c r="I187" i="24"/>
  <c r="M188" i="24"/>
  <c r="L188" i="24"/>
  <c r="K188" i="24"/>
  <c r="J188" i="24"/>
  <c r="I188" i="24"/>
  <c r="M189" i="24"/>
  <c r="L189" i="24"/>
  <c r="K189" i="24"/>
  <c r="J189" i="24"/>
  <c r="I189" i="24"/>
  <c r="M190" i="24"/>
  <c r="L190" i="24"/>
  <c r="K190" i="24"/>
  <c r="J190" i="24"/>
  <c r="I190" i="24"/>
  <c r="M191" i="24"/>
  <c r="L191" i="24"/>
  <c r="K191" i="24"/>
  <c r="J191" i="24"/>
  <c r="I191" i="24"/>
  <c r="M192" i="24"/>
  <c r="L192" i="24"/>
  <c r="K192" i="24"/>
  <c r="J192" i="24"/>
  <c r="I192" i="24"/>
  <c r="M193" i="24"/>
  <c r="L193" i="24"/>
  <c r="K193" i="24"/>
  <c r="J193" i="24"/>
  <c r="I193" i="24"/>
  <c r="M194" i="24"/>
  <c r="L194" i="24"/>
  <c r="K194" i="24"/>
  <c r="J194" i="24"/>
  <c r="I194" i="24"/>
  <c r="M195" i="24"/>
  <c r="L195" i="24"/>
  <c r="K195" i="24"/>
  <c r="J195" i="24"/>
  <c r="I195" i="24"/>
  <c r="M196" i="24"/>
  <c r="L196" i="24"/>
  <c r="K196" i="24"/>
  <c r="J196" i="24"/>
  <c r="I196" i="24"/>
  <c r="M197" i="24"/>
  <c r="L197" i="24"/>
  <c r="K197" i="24"/>
  <c r="J197" i="24"/>
  <c r="I197" i="24"/>
  <c r="M198" i="24"/>
  <c r="L198" i="24"/>
  <c r="K198" i="24"/>
  <c r="J198" i="24"/>
  <c r="I198" i="24"/>
  <c r="M199" i="24"/>
  <c r="L199" i="24"/>
  <c r="K199" i="24"/>
  <c r="J199" i="24"/>
  <c r="I199" i="24"/>
  <c r="M200" i="24"/>
  <c r="L200" i="24"/>
  <c r="K200" i="24"/>
  <c r="J200" i="24"/>
  <c r="I200" i="24"/>
  <c r="M201" i="24"/>
  <c r="L201" i="24"/>
  <c r="K201" i="24"/>
  <c r="J201" i="24"/>
  <c r="I201" i="24"/>
  <c r="M202" i="24"/>
  <c r="L202" i="24"/>
  <c r="K202" i="24"/>
  <c r="J202" i="24"/>
  <c r="I202" i="24"/>
  <c r="M203" i="24"/>
  <c r="L203" i="24"/>
  <c r="K203" i="24"/>
  <c r="J203" i="24"/>
  <c r="I203" i="24"/>
  <c r="M204" i="24"/>
  <c r="L204" i="24"/>
  <c r="K204" i="24"/>
  <c r="J204" i="24"/>
  <c r="I204" i="24"/>
  <c r="M205" i="24"/>
  <c r="L205" i="24"/>
  <c r="K205" i="24"/>
  <c r="J205" i="24"/>
  <c r="I205" i="24"/>
  <c r="M206" i="24"/>
  <c r="L206" i="24"/>
  <c r="K206" i="24"/>
  <c r="J206" i="24"/>
  <c r="I206" i="24"/>
  <c r="M207" i="24"/>
  <c r="L207" i="24"/>
  <c r="K207" i="24"/>
  <c r="J207" i="24"/>
  <c r="I207" i="24"/>
  <c r="M208" i="24"/>
  <c r="L208" i="24"/>
  <c r="K208" i="24"/>
  <c r="J208" i="24"/>
  <c r="I208" i="24"/>
  <c r="M209" i="24"/>
  <c r="L209" i="24"/>
  <c r="K209" i="24"/>
  <c r="J209" i="24"/>
  <c r="I209" i="24"/>
  <c r="M210" i="24"/>
  <c r="L210" i="24"/>
  <c r="K210" i="24"/>
  <c r="J210" i="24"/>
  <c r="I210" i="24"/>
  <c r="M211" i="24"/>
  <c r="L211" i="24"/>
  <c r="K211" i="24"/>
  <c r="J211" i="24"/>
  <c r="I211" i="24"/>
  <c r="M212" i="24"/>
  <c r="L212" i="24"/>
  <c r="K212" i="24"/>
  <c r="J212" i="24"/>
  <c r="I212" i="24"/>
  <c r="M213" i="24"/>
  <c r="L213" i="24"/>
  <c r="K213" i="24"/>
  <c r="J213" i="24"/>
  <c r="I213" i="24"/>
  <c r="M214" i="24"/>
  <c r="L214" i="24"/>
  <c r="K214" i="24"/>
  <c r="J214" i="24"/>
  <c r="I214" i="24"/>
  <c r="M215" i="24"/>
  <c r="L215" i="24"/>
  <c r="K215" i="24"/>
  <c r="J215" i="24"/>
  <c r="I215" i="24"/>
  <c r="M216" i="24"/>
  <c r="L216" i="24"/>
  <c r="K216" i="24"/>
  <c r="J216" i="24"/>
  <c r="I216" i="24"/>
  <c r="M217" i="24"/>
  <c r="L217" i="24"/>
  <c r="K217" i="24"/>
  <c r="J217" i="24"/>
  <c r="I217" i="24"/>
  <c r="M218" i="24"/>
  <c r="L218" i="24"/>
  <c r="K218" i="24"/>
  <c r="J218" i="24"/>
  <c r="I218" i="24"/>
  <c r="M219" i="24"/>
  <c r="L219" i="24"/>
  <c r="K219" i="24"/>
  <c r="J219" i="24"/>
  <c r="I219" i="24"/>
  <c r="M220" i="24"/>
  <c r="L220" i="24"/>
  <c r="K220" i="24"/>
  <c r="J220" i="24"/>
  <c r="I220" i="24"/>
  <c r="M221" i="24"/>
  <c r="L221" i="24"/>
  <c r="K221" i="24"/>
  <c r="J221" i="24"/>
  <c r="I221" i="24"/>
  <c r="M222" i="24"/>
  <c r="L222" i="24"/>
  <c r="K222" i="24"/>
  <c r="J222" i="24"/>
  <c r="I222" i="24"/>
  <c r="M223" i="24"/>
  <c r="L223" i="24"/>
  <c r="K223" i="24"/>
  <c r="J223" i="24"/>
  <c r="I223" i="24"/>
  <c r="M224" i="24"/>
  <c r="L224" i="24"/>
  <c r="K224" i="24"/>
  <c r="J224" i="24"/>
  <c r="I224" i="24"/>
  <c r="M225" i="24"/>
  <c r="L225" i="24"/>
  <c r="K225" i="24"/>
  <c r="J225" i="24"/>
  <c r="I225" i="24"/>
  <c r="M226" i="24"/>
  <c r="L226" i="24"/>
  <c r="K226" i="24"/>
  <c r="J226" i="24"/>
  <c r="I226" i="24"/>
  <c r="M227" i="24"/>
  <c r="L227" i="24"/>
  <c r="K227" i="24"/>
  <c r="J227" i="24"/>
  <c r="I227" i="24"/>
  <c r="M228" i="24"/>
  <c r="L228" i="24"/>
  <c r="K228" i="24"/>
  <c r="J228" i="24"/>
  <c r="I228" i="24"/>
  <c r="M229" i="24"/>
  <c r="L229" i="24"/>
  <c r="K229" i="24"/>
  <c r="J229" i="24"/>
  <c r="I229" i="24"/>
  <c r="M230" i="24"/>
  <c r="L230" i="24"/>
  <c r="K230" i="24"/>
  <c r="J230" i="24"/>
  <c r="I230" i="24"/>
  <c r="M231" i="24"/>
  <c r="L231" i="24"/>
  <c r="K231" i="24"/>
  <c r="J231" i="24"/>
  <c r="I231" i="24"/>
  <c r="M232" i="24"/>
  <c r="L232" i="24"/>
  <c r="K232" i="24"/>
  <c r="J232" i="24"/>
  <c r="I232" i="24"/>
  <c r="M233" i="24"/>
  <c r="L233" i="24"/>
  <c r="K233" i="24"/>
  <c r="J233" i="24"/>
  <c r="I233" i="24"/>
  <c r="M234" i="24"/>
  <c r="L234" i="24"/>
  <c r="K234" i="24"/>
  <c r="J234" i="24"/>
  <c r="I234" i="24"/>
  <c r="M235" i="24"/>
  <c r="L235" i="24"/>
  <c r="K235" i="24"/>
  <c r="J235" i="24"/>
  <c r="I235" i="24"/>
  <c r="M236" i="24"/>
  <c r="L236" i="24"/>
  <c r="K236" i="24"/>
  <c r="J236" i="24"/>
  <c r="I236" i="24"/>
  <c r="M237" i="24"/>
  <c r="L237" i="24"/>
  <c r="K237" i="24"/>
  <c r="J237" i="24"/>
  <c r="I237" i="24"/>
  <c r="M238" i="24"/>
  <c r="L238" i="24"/>
  <c r="K238" i="24"/>
  <c r="J238" i="24"/>
  <c r="I238" i="24"/>
  <c r="M239" i="24"/>
  <c r="L239" i="24"/>
  <c r="K239" i="24"/>
  <c r="J239" i="24"/>
  <c r="I239" i="24"/>
  <c r="M240" i="24"/>
  <c r="L240" i="24"/>
  <c r="K240" i="24"/>
  <c r="J240" i="24"/>
  <c r="I240" i="24"/>
  <c r="M241" i="24"/>
  <c r="L241" i="24"/>
  <c r="K241" i="24"/>
  <c r="J241" i="24"/>
  <c r="I241" i="24"/>
  <c r="M242" i="24"/>
  <c r="L242" i="24"/>
  <c r="K242" i="24"/>
  <c r="J242" i="24"/>
  <c r="I242" i="24"/>
  <c r="M243" i="24"/>
  <c r="L243" i="24"/>
  <c r="K243" i="24"/>
  <c r="J243" i="24"/>
  <c r="I243" i="24"/>
  <c r="M244" i="24"/>
  <c r="L244" i="24"/>
  <c r="K244" i="24"/>
  <c r="J244" i="24"/>
  <c r="I244" i="24"/>
  <c r="M245" i="24"/>
  <c r="L245" i="24"/>
  <c r="K245" i="24"/>
  <c r="J245" i="24"/>
  <c r="I245" i="24"/>
  <c r="M246" i="24"/>
  <c r="L246" i="24"/>
  <c r="K246" i="24"/>
  <c r="J246" i="24"/>
  <c r="I246" i="24"/>
  <c r="M247" i="24"/>
  <c r="L247" i="24"/>
  <c r="K247" i="24"/>
  <c r="J247" i="24"/>
  <c r="I247" i="24"/>
  <c r="M248" i="24"/>
  <c r="L248" i="24"/>
  <c r="K248" i="24"/>
  <c r="J248" i="24"/>
  <c r="I248" i="24"/>
  <c r="M249" i="24"/>
  <c r="L249" i="24"/>
  <c r="K249" i="24"/>
  <c r="J249" i="24"/>
  <c r="I249" i="24"/>
  <c r="M250" i="24"/>
  <c r="L250" i="24"/>
  <c r="K250" i="24"/>
  <c r="J250" i="24"/>
  <c r="I250" i="24"/>
  <c r="M251" i="24"/>
  <c r="L251" i="24"/>
  <c r="K251" i="24"/>
  <c r="J251" i="24"/>
  <c r="I251" i="24"/>
  <c r="M252" i="24"/>
  <c r="L252" i="24"/>
  <c r="K252" i="24"/>
  <c r="J252" i="24"/>
  <c r="I252" i="24"/>
  <c r="M253" i="24"/>
  <c r="L253" i="24"/>
  <c r="K253" i="24"/>
  <c r="J253" i="24"/>
  <c r="I253" i="24"/>
  <c r="M254" i="24"/>
  <c r="L254" i="24"/>
  <c r="K254" i="24"/>
  <c r="J254" i="24"/>
  <c r="I254" i="24"/>
  <c r="M255" i="24"/>
  <c r="L255" i="24"/>
  <c r="K255" i="24"/>
  <c r="J255" i="24"/>
  <c r="I255" i="24"/>
  <c r="M256" i="24"/>
  <c r="L256" i="24"/>
  <c r="K256" i="24"/>
  <c r="J256" i="24"/>
  <c r="I256" i="24"/>
  <c r="M257" i="24"/>
  <c r="L257" i="24"/>
  <c r="K257" i="24"/>
  <c r="J257" i="24"/>
  <c r="I257" i="24"/>
  <c r="M258" i="24"/>
  <c r="L258" i="24"/>
  <c r="K258" i="24"/>
  <c r="J258" i="24"/>
  <c r="I258" i="24"/>
  <c r="M259" i="24"/>
  <c r="L259" i="24"/>
  <c r="K259" i="24"/>
  <c r="J259" i="24"/>
  <c r="I259" i="24"/>
  <c r="M260" i="24"/>
  <c r="L260" i="24"/>
  <c r="K260" i="24"/>
  <c r="J260" i="24"/>
  <c r="I260" i="24"/>
  <c r="M261" i="24"/>
  <c r="L261" i="24"/>
  <c r="K261" i="24"/>
  <c r="J261" i="24"/>
  <c r="I261" i="24"/>
  <c r="M262" i="24"/>
  <c r="L262" i="24"/>
  <c r="K262" i="24"/>
  <c r="J262" i="24"/>
  <c r="I262" i="24"/>
  <c r="M263" i="24"/>
  <c r="L263" i="24"/>
  <c r="K263" i="24"/>
  <c r="J263" i="24"/>
  <c r="I263" i="24"/>
  <c r="M264" i="24"/>
  <c r="L264" i="24"/>
  <c r="K264" i="24"/>
  <c r="J264" i="24"/>
  <c r="I264" i="24"/>
  <c r="M265" i="24"/>
  <c r="L265" i="24"/>
  <c r="K265" i="24"/>
  <c r="J265" i="24"/>
  <c r="I265" i="24"/>
  <c r="M266" i="24"/>
  <c r="L266" i="24"/>
  <c r="K266" i="24"/>
  <c r="J266" i="24"/>
  <c r="I266" i="24"/>
  <c r="M267" i="24"/>
  <c r="L267" i="24"/>
  <c r="K267" i="24"/>
  <c r="J267" i="24"/>
  <c r="I267" i="24"/>
  <c r="M268" i="24"/>
  <c r="L268" i="24"/>
  <c r="K268" i="24"/>
  <c r="J268" i="24"/>
  <c r="I268" i="24"/>
  <c r="M269" i="24"/>
  <c r="L269" i="24"/>
  <c r="K269" i="24"/>
  <c r="J269" i="24"/>
  <c r="I269" i="24"/>
  <c r="M270" i="24"/>
  <c r="L270" i="24"/>
  <c r="K270" i="24"/>
  <c r="J270" i="24"/>
  <c r="I270" i="24"/>
  <c r="M271" i="24"/>
  <c r="L271" i="24"/>
  <c r="K271" i="24"/>
  <c r="J271" i="24"/>
  <c r="I271" i="24"/>
  <c r="M272" i="24"/>
  <c r="L272" i="24"/>
  <c r="K272" i="24"/>
  <c r="J272" i="24"/>
  <c r="I272" i="24"/>
  <c r="M273" i="24"/>
  <c r="L273" i="24"/>
  <c r="K273" i="24"/>
  <c r="J273" i="24"/>
  <c r="I273" i="24"/>
  <c r="M274" i="24"/>
  <c r="L274" i="24"/>
  <c r="K274" i="24"/>
  <c r="J274" i="24"/>
  <c r="I274" i="24"/>
  <c r="M275" i="24"/>
  <c r="L275" i="24"/>
  <c r="K275" i="24"/>
  <c r="J275" i="24"/>
  <c r="I275" i="24"/>
  <c r="M276" i="24"/>
  <c r="L276" i="24"/>
  <c r="K276" i="24"/>
  <c r="J276" i="24"/>
  <c r="I276" i="24"/>
  <c r="M277" i="24"/>
  <c r="L277" i="24"/>
  <c r="K277" i="24"/>
  <c r="J277" i="24"/>
  <c r="I277" i="24"/>
  <c r="M278" i="24"/>
  <c r="L278" i="24"/>
  <c r="K278" i="24"/>
  <c r="J278" i="24"/>
  <c r="I278" i="24"/>
  <c r="M279" i="24"/>
  <c r="L279" i="24"/>
  <c r="K279" i="24"/>
  <c r="J279" i="24"/>
  <c r="I279" i="24"/>
  <c r="M280" i="24"/>
  <c r="L280" i="24"/>
  <c r="K280" i="24"/>
  <c r="J280" i="24"/>
  <c r="I280" i="24"/>
  <c r="M281" i="24"/>
  <c r="L281" i="24"/>
  <c r="K281" i="24"/>
  <c r="J281" i="24"/>
  <c r="I281" i="24"/>
  <c r="M282" i="24"/>
  <c r="L282" i="24"/>
  <c r="K282" i="24"/>
  <c r="J282" i="24"/>
  <c r="I282" i="24"/>
  <c r="M283" i="24"/>
  <c r="L283" i="24"/>
  <c r="K283" i="24"/>
  <c r="J283" i="24"/>
  <c r="I283" i="24"/>
  <c r="M284" i="24"/>
  <c r="L284" i="24"/>
  <c r="K284" i="24"/>
  <c r="J284" i="24"/>
  <c r="I284" i="24"/>
  <c r="M285" i="24"/>
  <c r="L285" i="24"/>
  <c r="K285" i="24"/>
  <c r="J285" i="24"/>
  <c r="I285" i="24"/>
  <c r="M286" i="24"/>
  <c r="L286" i="24"/>
  <c r="K286" i="24"/>
  <c r="J286" i="24"/>
  <c r="I286" i="24"/>
  <c r="M287" i="24"/>
  <c r="L287" i="24"/>
  <c r="K287" i="24"/>
  <c r="J287" i="24"/>
  <c r="I287" i="24"/>
  <c r="M288" i="24"/>
  <c r="L288" i="24"/>
  <c r="K288" i="24"/>
  <c r="J288" i="24"/>
  <c r="I288" i="24"/>
  <c r="M289" i="24"/>
  <c r="L289" i="24"/>
  <c r="K289" i="24"/>
  <c r="J289" i="24"/>
  <c r="I289" i="24"/>
  <c r="M290" i="24"/>
  <c r="L290" i="24"/>
  <c r="K290" i="24"/>
  <c r="J290" i="24"/>
  <c r="I290" i="24"/>
  <c r="M291" i="24"/>
  <c r="L291" i="24"/>
  <c r="K291" i="24"/>
  <c r="J291" i="24"/>
  <c r="I291" i="24"/>
  <c r="M292" i="24"/>
  <c r="L292" i="24"/>
  <c r="K292" i="24"/>
  <c r="J292" i="24"/>
  <c r="I292" i="24"/>
  <c r="M293" i="24"/>
  <c r="L293" i="24"/>
  <c r="K293" i="24"/>
  <c r="J293" i="24"/>
  <c r="I293" i="24"/>
  <c r="M294" i="24"/>
  <c r="L294" i="24"/>
  <c r="K294" i="24"/>
  <c r="J294" i="24"/>
  <c r="I294" i="24"/>
  <c r="M295" i="24"/>
  <c r="L295" i="24"/>
  <c r="K295" i="24"/>
  <c r="J295" i="24"/>
  <c r="I295" i="24"/>
  <c r="M296" i="24"/>
  <c r="L296" i="24"/>
  <c r="K296" i="24"/>
  <c r="J296" i="24"/>
  <c r="I296" i="24"/>
  <c r="M297" i="24"/>
  <c r="L297" i="24"/>
  <c r="K297" i="24"/>
  <c r="J297" i="24"/>
  <c r="I297" i="24"/>
  <c r="M298" i="24"/>
  <c r="L298" i="24"/>
  <c r="K298" i="24"/>
  <c r="J298" i="24"/>
  <c r="I298" i="24"/>
  <c r="M299" i="24"/>
  <c r="L299" i="24"/>
  <c r="K299" i="24"/>
  <c r="J299" i="24"/>
  <c r="I299" i="24"/>
  <c r="M300" i="24"/>
  <c r="L300" i="24"/>
  <c r="K300" i="24"/>
  <c r="J300" i="24"/>
  <c r="I300" i="24"/>
  <c r="M301" i="24"/>
  <c r="L301" i="24"/>
  <c r="K301" i="24"/>
  <c r="J301" i="24"/>
  <c r="I301" i="24"/>
  <c r="M302" i="24"/>
  <c r="L302" i="24"/>
  <c r="K302" i="24"/>
  <c r="J302" i="24"/>
  <c r="I302" i="24"/>
  <c r="M303" i="24"/>
  <c r="L303" i="24"/>
  <c r="K303" i="24"/>
  <c r="J303" i="24"/>
  <c r="I303" i="24"/>
  <c r="M304" i="24"/>
  <c r="L304" i="24"/>
  <c r="K304" i="24"/>
  <c r="J304" i="24"/>
  <c r="I304" i="24"/>
  <c r="M305" i="24"/>
  <c r="L305" i="24"/>
  <c r="K305" i="24"/>
  <c r="J305" i="24"/>
  <c r="I305" i="24"/>
  <c r="M306" i="24"/>
  <c r="L306" i="24"/>
  <c r="K306" i="24"/>
  <c r="J306" i="24"/>
  <c r="I306" i="24"/>
  <c r="M307" i="24"/>
  <c r="L307" i="24"/>
  <c r="K307" i="24"/>
  <c r="J307" i="24"/>
  <c r="I307" i="24"/>
  <c r="M308" i="24"/>
  <c r="L308" i="24"/>
  <c r="K308" i="24"/>
  <c r="J308" i="24"/>
  <c r="I308" i="24"/>
  <c r="M309" i="24"/>
  <c r="L309" i="24"/>
  <c r="K309" i="24"/>
  <c r="J309" i="24"/>
  <c r="I309" i="24"/>
  <c r="M310" i="24"/>
  <c r="L310" i="24"/>
  <c r="K310" i="24"/>
  <c r="J310" i="24"/>
  <c r="I310" i="24"/>
  <c r="M311" i="24"/>
  <c r="L311" i="24"/>
  <c r="K311" i="24"/>
  <c r="J311" i="24"/>
  <c r="I311" i="24"/>
  <c r="M312" i="24"/>
  <c r="L312" i="24"/>
  <c r="K312" i="24"/>
  <c r="J312" i="24"/>
  <c r="I312" i="24"/>
  <c r="M313" i="24"/>
  <c r="L313" i="24"/>
  <c r="K313" i="24"/>
  <c r="J313" i="24"/>
  <c r="I313" i="24"/>
  <c r="M314" i="24"/>
  <c r="L314" i="24"/>
  <c r="K314" i="24"/>
  <c r="J314" i="24"/>
  <c r="I314" i="24"/>
  <c r="M315" i="24"/>
  <c r="L315" i="24"/>
  <c r="K315" i="24"/>
  <c r="J315" i="24"/>
  <c r="I315" i="24"/>
  <c r="M316" i="24"/>
  <c r="L316" i="24"/>
  <c r="K316" i="24"/>
  <c r="J316" i="24"/>
  <c r="I316" i="24"/>
  <c r="M317" i="24"/>
  <c r="L317" i="24"/>
  <c r="K317" i="24"/>
  <c r="J317" i="24"/>
  <c r="I317" i="24"/>
  <c r="M318" i="24"/>
  <c r="L318" i="24"/>
  <c r="K318" i="24"/>
  <c r="J318" i="24"/>
  <c r="I318" i="24"/>
  <c r="M319" i="24"/>
  <c r="L319" i="24"/>
  <c r="K319" i="24"/>
  <c r="J319" i="24"/>
  <c r="I319" i="24"/>
  <c r="M320" i="24"/>
  <c r="L320" i="24"/>
  <c r="K320" i="24"/>
  <c r="J320" i="24"/>
  <c r="I320" i="24"/>
  <c r="M321" i="24"/>
  <c r="L321" i="24"/>
  <c r="K321" i="24"/>
  <c r="J321" i="24"/>
  <c r="I321" i="24"/>
  <c r="M322" i="24"/>
  <c r="L322" i="24"/>
  <c r="K322" i="24"/>
  <c r="J322" i="24"/>
  <c r="I322" i="24"/>
  <c r="M323" i="24"/>
  <c r="L323" i="24"/>
  <c r="K323" i="24"/>
  <c r="J323" i="24"/>
  <c r="I323" i="24"/>
  <c r="M324" i="24"/>
  <c r="L324" i="24"/>
  <c r="K324" i="24"/>
  <c r="J324" i="24"/>
  <c r="I324" i="24"/>
  <c r="M325" i="24"/>
  <c r="L325" i="24"/>
  <c r="K325" i="24"/>
  <c r="J325" i="24"/>
  <c r="I325" i="24"/>
  <c r="M326" i="24"/>
  <c r="L326" i="24"/>
  <c r="K326" i="24"/>
  <c r="J326" i="24"/>
  <c r="I326" i="24"/>
  <c r="M327" i="24"/>
  <c r="L327" i="24"/>
  <c r="K327" i="24"/>
  <c r="J327" i="24"/>
  <c r="I327" i="24"/>
  <c r="M328" i="24"/>
  <c r="L328" i="24"/>
  <c r="K328" i="24"/>
  <c r="J328" i="24"/>
  <c r="I328" i="24"/>
  <c r="M329" i="24"/>
  <c r="L329" i="24"/>
  <c r="K329" i="24"/>
  <c r="J329" i="24"/>
  <c r="I329" i="24"/>
  <c r="M330" i="24"/>
  <c r="L330" i="24"/>
  <c r="K330" i="24"/>
  <c r="J330" i="24"/>
  <c r="I330" i="24"/>
  <c r="M331" i="24"/>
  <c r="L331" i="24"/>
  <c r="K331" i="24"/>
  <c r="J331" i="24"/>
  <c r="I331" i="24"/>
  <c r="M332" i="24"/>
  <c r="L332" i="24"/>
  <c r="K332" i="24"/>
  <c r="J332" i="24"/>
  <c r="I332" i="24"/>
  <c r="M333" i="24"/>
  <c r="L333" i="24"/>
  <c r="K333" i="24"/>
  <c r="J333" i="24"/>
  <c r="I333" i="24"/>
  <c r="M334" i="24"/>
  <c r="L334" i="24"/>
  <c r="K334" i="24"/>
  <c r="J334" i="24"/>
  <c r="I334" i="24"/>
  <c r="M335" i="24"/>
  <c r="L335" i="24"/>
  <c r="K335" i="24"/>
  <c r="J335" i="24"/>
  <c r="I335" i="24"/>
  <c r="M336" i="24"/>
  <c r="L336" i="24"/>
  <c r="K336" i="24"/>
  <c r="J336" i="24"/>
  <c r="I336" i="24"/>
  <c r="M337" i="24"/>
  <c r="L337" i="24"/>
  <c r="K337" i="24"/>
  <c r="J337" i="24"/>
  <c r="I337" i="24"/>
  <c r="M338" i="24"/>
  <c r="L338" i="24"/>
  <c r="K338" i="24"/>
  <c r="J338" i="24"/>
  <c r="I338" i="24"/>
  <c r="M339" i="24"/>
  <c r="L339" i="24"/>
  <c r="K339" i="24"/>
  <c r="J339" i="24"/>
  <c r="I339" i="24"/>
  <c r="M340" i="24"/>
  <c r="L340" i="24"/>
  <c r="K340" i="24"/>
  <c r="J340" i="24"/>
  <c r="I340" i="24"/>
  <c r="M341" i="24"/>
  <c r="L341" i="24"/>
  <c r="K341" i="24"/>
  <c r="J341" i="24"/>
  <c r="I341" i="24"/>
  <c r="M342" i="24"/>
  <c r="L342" i="24"/>
  <c r="K342" i="24"/>
  <c r="J342" i="24"/>
  <c r="I342" i="24"/>
  <c r="M343" i="24"/>
  <c r="L343" i="24"/>
  <c r="K343" i="24"/>
  <c r="J343" i="24"/>
  <c r="I343" i="24"/>
  <c r="M344" i="24"/>
  <c r="L344" i="24"/>
  <c r="K344" i="24"/>
  <c r="J344" i="24"/>
  <c r="I344" i="24"/>
  <c r="M345" i="24"/>
  <c r="L345" i="24"/>
  <c r="K345" i="24"/>
  <c r="J345" i="24"/>
  <c r="I345" i="24"/>
  <c r="M346" i="24"/>
  <c r="L346" i="24"/>
  <c r="K346" i="24"/>
  <c r="J346" i="24"/>
  <c r="I346" i="24"/>
  <c r="M347" i="24"/>
  <c r="L347" i="24"/>
  <c r="K347" i="24"/>
  <c r="J347" i="24"/>
  <c r="I347" i="24"/>
  <c r="M348" i="24"/>
  <c r="L348" i="24"/>
  <c r="K348" i="24"/>
  <c r="J348" i="24"/>
  <c r="I348" i="24"/>
  <c r="M349" i="24"/>
  <c r="L349" i="24"/>
  <c r="K349" i="24"/>
  <c r="J349" i="24"/>
  <c r="I349" i="24"/>
  <c r="M350" i="24"/>
  <c r="L350" i="24"/>
  <c r="K350" i="24"/>
  <c r="J350" i="24"/>
  <c r="I350" i="24"/>
  <c r="M351" i="24"/>
  <c r="L351" i="24"/>
  <c r="K351" i="24"/>
  <c r="J351" i="24"/>
  <c r="I351" i="24"/>
  <c r="M352" i="24"/>
  <c r="L352" i="24"/>
  <c r="K352" i="24"/>
  <c r="J352" i="24"/>
  <c r="I352" i="24"/>
  <c r="M353" i="24"/>
  <c r="L353" i="24"/>
  <c r="K353" i="24"/>
  <c r="J353" i="24"/>
  <c r="I353" i="24"/>
  <c r="M354" i="24"/>
  <c r="L354" i="24"/>
  <c r="K354" i="24"/>
  <c r="J354" i="24"/>
  <c r="I354" i="24"/>
  <c r="M355" i="24"/>
  <c r="L355" i="24"/>
  <c r="K355" i="24"/>
  <c r="J355" i="24"/>
  <c r="I355" i="24"/>
  <c r="M356" i="24"/>
  <c r="L356" i="24"/>
  <c r="K356" i="24"/>
  <c r="J356" i="24"/>
  <c r="I356" i="24"/>
  <c r="M357" i="24"/>
  <c r="L357" i="24"/>
  <c r="K357" i="24"/>
  <c r="J357" i="24"/>
  <c r="I357" i="24"/>
  <c r="M358" i="24"/>
  <c r="L358" i="24"/>
  <c r="K358" i="24"/>
  <c r="J358" i="24"/>
  <c r="I358" i="24"/>
  <c r="M359" i="24"/>
  <c r="L359" i="24"/>
  <c r="K359" i="24"/>
  <c r="J359" i="24"/>
  <c r="I359" i="24"/>
  <c r="M360" i="24"/>
  <c r="L360" i="24"/>
  <c r="K360" i="24"/>
  <c r="J360" i="24"/>
  <c r="I360" i="24"/>
  <c r="M361" i="24"/>
  <c r="L361" i="24"/>
  <c r="K361" i="24"/>
  <c r="J361" i="24"/>
  <c r="I361" i="24"/>
  <c r="M362" i="24"/>
  <c r="L362" i="24"/>
  <c r="K362" i="24"/>
  <c r="J362" i="24"/>
  <c r="I362" i="24"/>
  <c r="M363" i="24"/>
  <c r="L363" i="24"/>
  <c r="K363" i="24"/>
  <c r="J363" i="24"/>
  <c r="I363" i="24"/>
  <c r="M364" i="24"/>
  <c r="L364" i="24"/>
  <c r="K364" i="24"/>
  <c r="J364" i="24"/>
  <c r="I364" i="24"/>
  <c r="M365" i="24"/>
  <c r="L365" i="24"/>
  <c r="K365" i="24"/>
  <c r="J365" i="24"/>
  <c r="I365" i="24"/>
  <c r="M366" i="24"/>
  <c r="L366" i="24"/>
  <c r="K366" i="24"/>
  <c r="J366" i="24"/>
  <c r="I366" i="24"/>
  <c r="M367" i="24"/>
  <c r="L367" i="24"/>
  <c r="K367" i="24"/>
  <c r="J367" i="24"/>
  <c r="I367" i="24"/>
  <c r="M368" i="24"/>
  <c r="L368" i="24"/>
  <c r="K368" i="24"/>
  <c r="J368" i="24"/>
  <c r="I368" i="24"/>
  <c r="M369" i="24"/>
  <c r="L369" i="24"/>
  <c r="K369" i="24"/>
  <c r="J369" i="24"/>
  <c r="I369" i="24"/>
  <c r="M370" i="24"/>
  <c r="L370" i="24"/>
  <c r="K370" i="24"/>
  <c r="J370" i="24"/>
  <c r="I370" i="24"/>
  <c r="M371" i="24"/>
  <c r="L371" i="24"/>
  <c r="K371" i="24"/>
  <c r="J371" i="24"/>
  <c r="I371" i="24"/>
  <c r="M372" i="24"/>
  <c r="L372" i="24"/>
  <c r="K372" i="24"/>
  <c r="J372" i="24"/>
  <c r="I372" i="24"/>
  <c r="M373" i="24"/>
  <c r="L373" i="24"/>
  <c r="K373" i="24"/>
  <c r="J373" i="24"/>
  <c r="I373" i="24"/>
  <c r="M374" i="24"/>
  <c r="L374" i="24"/>
  <c r="K374" i="24"/>
  <c r="J374" i="24"/>
  <c r="I374" i="24"/>
  <c r="M375" i="24"/>
  <c r="L375" i="24"/>
  <c r="K375" i="24"/>
  <c r="J375" i="24"/>
  <c r="I375" i="24"/>
  <c r="M376" i="24"/>
  <c r="L376" i="24"/>
  <c r="K376" i="24"/>
  <c r="J376" i="24"/>
  <c r="I376" i="24"/>
  <c r="M377" i="24"/>
  <c r="L377" i="24"/>
  <c r="K377" i="24"/>
  <c r="J377" i="24"/>
  <c r="I377" i="24"/>
  <c r="M378" i="24"/>
  <c r="L378" i="24"/>
  <c r="K378" i="24"/>
  <c r="J378" i="24"/>
  <c r="I378" i="24"/>
  <c r="M379" i="24"/>
  <c r="L379" i="24"/>
  <c r="K379" i="24"/>
  <c r="J379" i="24"/>
  <c r="I379" i="24"/>
  <c r="M380" i="24"/>
  <c r="L380" i="24"/>
  <c r="K380" i="24"/>
  <c r="J380" i="24"/>
  <c r="I380" i="24"/>
  <c r="M381" i="24"/>
  <c r="L381" i="24"/>
  <c r="K381" i="24"/>
  <c r="J381" i="24"/>
  <c r="I381" i="24"/>
  <c r="M382" i="24"/>
  <c r="L382" i="24"/>
  <c r="K382" i="24"/>
  <c r="J382" i="24"/>
  <c r="I382" i="24"/>
  <c r="M383" i="24"/>
  <c r="L383" i="24"/>
  <c r="K383" i="24"/>
  <c r="J383" i="24"/>
  <c r="I383" i="24"/>
  <c r="M384" i="24"/>
  <c r="L384" i="24"/>
  <c r="K384" i="24"/>
  <c r="J384" i="24"/>
  <c r="I384" i="24"/>
  <c r="M385" i="24"/>
  <c r="L385" i="24"/>
  <c r="K385" i="24"/>
  <c r="J385" i="24"/>
  <c r="I385" i="24"/>
  <c r="M386" i="24"/>
  <c r="L386" i="24"/>
  <c r="K386" i="24"/>
  <c r="J386" i="24"/>
  <c r="I386" i="24"/>
  <c r="M387" i="24"/>
  <c r="L387" i="24"/>
  <c r="K387" i="24"/>
  <c r="J387" i="24"/>
  <c r="I387" i="24"/>
  <c r="M388" i="24"/>
  <c r="L388" i="24"/>
  <c r="K388" i="24"/>
  <c r="J388" i="24"/>
  <c r="I388" i="24"/>
  <c r="M389" i="24"/>
  <c r="L389" i="24"/>
  <c r="K389" i="24"/>
  <c r="J389" i="24"/>
  <c r="I389" i="24"/>
  <c r="M390" i="24"/>
  <c r="L390" i="24"/>
  <c r="K390" i="24"/>
  <c r="J390" i="24"/>
  <c r="I390" i="24"/>
  <c r="M391" i="24"/>
  <c r="L391" i="24"/>
  <c r="K391" i="24"/>
  <c r="J391" i="24"/>
  <c r="I391" i="24"/>
  <c r="M392" i="24"/>
  <c r="L392" i="24"/>
  <c r="K392" i="24"/>
  <c r="J392" i="24"/>
  <c r="I392" i="24"/>
  <c r="M393" i="24"/>
  <c r="L393" i="24"/>
  <c r="K393" i="24"/>
  <c r="J393" i="24"/>
  <c r="I393" i="24"/>
  <c r="M394" i="24"/>
  <c r="L394" i="24"/>
  <c r="K394" i="24"/>
  <c r="J394" i="24"/>
  <c r="I394" i="24"/>
  <c r="M395" i="24"/>
  <c r="L395" i="24"/>
  <c r="K395" i="24"/>
  <c r="J395" i="24"/>
  <c r="I395" i="24"/>
  <c r="M396" i="24"/>
  <c r="L396" i="24"/>
  <c r="K396" i="24"/>
  <c r="J396" i="24"/>
  <c r="I396" i="24"/>
  <c r="M397" i="24"/>
  <c r="L397" i="24"/>
  <c r="K397" i="24"/>
  <c r="J397" i="24"/>
  <c r="I397" i="24"/>
  <c r="M398" i="24"/>
  <c r="L398" i="24"/>
  <c r="K398" i="24"/>
  <c r="J398" i="24"/>
  <c r="I398" i="24"/>
  <c r="M399" i="24"/>
  <c r="L399" i="24"/>
  <c r="K399" i="24"/>
  <c r="J399" i="24"/>
  <c r="I399" i="24"/>
  <c r="M400" i="24"/>
  <c r="L400" i="24"/>
  <c r="K400" i="24"/>
  <c r="J400" i="24"/>
  <c r="I400" i="24"/>
  <c r="M401" i="24"/>
  <c r="L401" i="24"/>
  <c r="K401" i="24"/>
  <c r="J401" i="24"/>
  <c r="I401" i="24"/>
  <c r="F42" i="2" l="1"/>
  <c r="D42" i="2"/>
  <c r="D23" i="2"/>
  <c r="F41" i="2"/>
  <c r="D41" i="2"/>
  <c r="D22" i="2"/>
  <c r="D40" i="2"/>
  <c r="D20" i="2"/>
  <c r="D24" i="2" s="1"/>
  <c r="D26" i="2" s="1"/>
  <c r="F40" i="2"/>
  <c r="C40" i="2"/>
  <c r="C20" i="2"/>
  <c r="C24" i="2" s="1"/>
  <c r="C26" i="2" s="1"/>
  <c r="C27" i="2" s="1"/>
  <c r="C39" i="2"/>
  <c r="C21" i="2"/>
  <c r="C25" i="2" s="1"/>
  <c r="F6" i="2"/>
  <c r="F8" i="2"/>
  <c r="E6" i="2"/>
  <c r="E8" i="2"/>
  <c r="E10" i="2"/>
  <c r="D6" i="2"/>
  <c r="D8" i="2"/>
  <c r="C6" i="2"/>
  <c r="C8" i="2"/>
  <c r="B6" i="2"/>
  <c r="B8" i="2"/>
  <c r="F39" i="2"/>
  <c r="D39" i="2"/>
  <c r="D21" i="2"/>
  <c r="D25" i="2" s="1"/>
  <c r="D27" i="2" s="1"/>
  <c r="D19" i="2"/>
  <c r="L98" i="1"/>
  <c r="J23" i="1"/>
  <c r="C19" i="2"/>
  <c r="H98" i="1"/>
  <c r="D97" i="17"/>
  <c r="C97" i="17"/>
  <c r="B97" i="17"/>
  <c r="D96" i="17"/>
  <c r="C96" i="17"/>
  <c r="B96" i="17"/>
  <c r="D95" i="17"/>
  <c r="C95" i="17"/>
  <c r="B95" i="17"/>
  <c r="D94" i="17"/>
  <c r="C94" i="17"/>
  <c r="B94" i="17"/>
  <c r="D93" i="17"/>
  <c r="C93" i="17"/>
  <c r="B93" i="17"/>
  <c r="D92" i="17"/>
  <c r="C92" i="17"/>
  <c r="B92" i="17"/>
  <c r="D91" i="17"/>
  <c r="C91" i="17"/>
  <c r="B91" i="17"/>
  <c r="D90" i="17"/>
  <c r="C90" i="17"/>
  <c r="B90" i="17"/>
  <c r="D89" i="17"/>
  <c r="C89" i="17"/>
  <c r="B89" i="17"/>
  <c r="D88" i="17"/>
  <c r="C88" i="17"/>
  <c r="B88" i="17"/>
  <c r="D87" i="17"/>
  <c r="C87" i="17"/>
  <c r="B87" i="17"/>
  <c r="D86" i="17"/>
  <c r="C86" i="17"/>
  <c r="B86" i="17"/>
  <c r="D85" i="17"/>
  <c r="C85" i="17"/>
  <c r="B85" i="17"/>
  <c r="D84" i="17"/>
  <c r="C84" i="17"/>
  <c r="B84" i="17"/>
  <c r="D83" i="17"/>
  <c r="C83" i="17"/>
  <c r="B83" i="17"/>
  <c r="D82" i="17"/>
  <c r="C82" i="17"/>
  <c r="B82" i="17"/>
  <c r="D81" i="17"/>
  <c r="C81" i="17"/>
  <c r="B81" i="17"/>
  <c r="D80" i="17"/>
  <c r="C80" i="17"/>
  <c r="B80" i="17"/>
  <c r="D79" i="17"/>
  <c r="C79" i="17"/>
  <c r="B79" i="17"/>
  <c r="D78" i="17"/>
  <c r="C78" i="17"/>
  <c r="B78" i="17"/>
  <c r="D77" i="17"/>
  <c r="C77" i="17"/>
  <c r="B77" i="17"/>
  <c r="D76" i="17"/>
  <c r="C76" i="17"/>
  <c r="B76" i="17"/>
  <c r="D75" i="17"/>
  <c r="C75" i="17"/>
  <c r="B75" i="17"/>
  <c r="D74" i="17"/>
  <c r="C74" i="17"/>
  <c r="B74" i="17"/>
  <c r="D73" i="17"/>
  <c r="C73" i="17"/>
  <c r="B73" i="17"/>
  <c r="D72" i="17"/>
  <c r="C72" i="17"/>
  <c r="B72" i="17"/>
  <c r="D71" i="17"/>
  <c r="C71" i="17"/>
  <c r="B71" i="17"/>
  <c r="D70" i="17"/>
  <c r="C70" i="17"/>
  <c r="B70" i="17"/>
  <c r="D69" i="17"/>
  <c r="C69" i="17"/>
  <c r="B69" i="17"/>
  <c r="D68" i="17"/>
  <c r="C68" i="17"/>
  <c r="B68" i="17"/>
  <c r="D67" i="17"/>
  <c r="C67" i="17"/>
  <c r="B67" i="17"/>
  <c r="D66" i="17"/>
  <c r="C66" i="17"/>
  <c r="B66" i="17"/>
  <c r="D65" i="17"/>
  <c r="C65" i="17"/>
  <c r="B65" i="17"/>
  <c r="D64" i="17"/>
  <c r="C64" i="17"/>
  <c r="B64" i="17"/>
  <c r="D63" i="17"/>
  <c r="C63" i="17"/>
  <c r="B63" i="17"/>
  <c r="D62" i="17"/>
  <c r="C62" i="17"/>
  <c r="B62" i="17"/>
  <c r="D61" i="17"/>
  <c r="C61" i="17"/>
  <c r="B61" i="17"/>
  <c r="D60" i="17"/>
  <c r="C60" i="17"/>
  <c r="B60" i="17"/>
  <c r="D59" i="17"/>
  <c r="C59" i="17"/>
  <c r="B59" i="17"/>
  <c r="D58" i="17"/>
  <c r="C58" i="17"/>
  <c r="B58" i="17"/>
  <c r="D57" i="17"/>
  <c r="C57" i="17"/>
  <c r="B57" i="17"/>
  <c r="D56" i="17"/>
  <c r="C56" i="17"/>
  <c r="B56" i="17"/>
  <c r="D55" i="17"/>
  <c r="C55" i="17"/>
  <c r="B55" i="17"/>
  <c r="D54" i="17"/>
  <c r="C54" i="17"/>
  <c r="B54" i="17"/>
  <c r="D53" i="17"/>
  <c r="C53" i="17"/>
  <c r="B53" i="17"/>
  <c r="D52" i="17"/>
  <c r="C52" i="17"/>
  <c r="B52" i="17"/>
  <c r="D51" i="17"/>
  <c r="C51" i="17"/>
  <c r="B51" i="17"/>
  <c r="D50" i="17"/>
  <c r="C50" i="17"/>
  <c r="B50" i="17"/>
  <c r="D49" i="17"/>
  <c r="C49" i="17"/>
  <c r="B49" i="17"/>
  <c r="D48" i="17"/>
  <c r="C48" i="17"/>
  <c r="B48" i="17"/>
  <c r="D47" i="17"/>
  <c r="C47" i="17"/>
  <c r="B47" i="17"/>
  <c r="D46" i="17"/>
  <c r="C46" i="17"/>
  <c r="B46" i="17"/>
  <c r="D45" i="17"/>
  <c r="C45" i="17"/>
  <c r="B45" i="17"/>
  <c r="D44" i="17"/>
  <c r="C44" i="17"/>
  <c r="B44" i="17"/>
  <c r="D43" i="17"/>
  <c r="C43" i="17"/>
  <c r="B43" i="17"/>
  <c r="D42" i="17"/>
  <c r="C42" i="17"/>
  <c r="B42" i="17"/>
  <c r="D41" i="17"/>
  <c r="C41" i="17"/>
  <c r="B41" i="17"/>
  <c r="D40" i="17"/>
  <c r="C40" i="17"/>
  <c r="B40" i="17"/>
  <c r="D39" i="17"/>
  <c r="C39" i="17"/>
  <c r="B39" i="17"/>
  <c r="D38" i="17"/>
  <c r="C38" i="17"/>
  <c r="B38" i="17"/>
  <c r="D37" i="17"/>
  <c r="C37" i="17"/>
  <c r="B37" i="17"/>
  <c r="D36" i="17"/>
  <c r="C36" i="17"/>
  <c r="B36" i="17"/>
  <c r="D35" i="17"/>
  <c r="C35" i="17"/>
  <c r="B35" i="17"/>
  <c r="D34" i="17"/>
  <c r="C34" i="17"/>
  <c r="B34" i="17"/>
  <c r="D33" i="17"/>
  <c r="C33" i="17"/>
  <c r="B33" i="17"/>
  <c r="D32" i="17"/>
  <c r="C32" i="17"/>
  <c r="B32" i="17"/>
  <c r="D31" i="17"/>
  <c r="C31" i="17"/>
  <c r="B31" i="17"/>
  <c r="D30" i="17"/>
  <c r="C30" i="17"/>
  <c r="B30" i="17"/>
  <c r="D29" i="17"/>
  <c r="C29" i="17"/>
  <c r="B29" i="17"/>
  <c r="D28" i="17"/>
  <c r="C28" i="17"/>
  <c r="B28" i="17"/>
  <c r="D27" i="17"/>
  <c r="C27" i="17"/>
  <c r="B27" i="17"/>
  <c r="D26" i="17"/>
  <c r="C26" i="17"/>
  <c r="B26" i="17"/>
  <c r="D25" i="17"/>
  <c r="C25" i="17"/>
  <c r="B25" i="17"/>
  <c r="D24" i="17"/>
  <c r="C24" i="17"/>
  <c r="B24" i="17"/>
  <c r="D23" i="17"/>
  <c r="C23" i="17"/>
  <c r="B23" i="17"/>
  <c r="D22" i="17"/>
  <c r="C22" i="17"/>
  <c r="B22" i="17"/>
  <c r="D21" i="17"/>
  <c r="C21" i="17"/>
  <c r="B21" i="17"/>
  <c r="D20" i="17"/>
  <c r="C20" i="17"/>
  <c r="B20" i="17"/>
  <c r="D19" i="17"/>
  <c r="C19" i="17"/>
  <c r="B19" i="17"/>
  <c r="D18" i="17"/>
  <c r="C18" i="17"/>
  <c r="B18" i="17"/>
  <c r="H97" i="17"/>
  <c r="G97" i="17"/>
  <c r="F97" i="17"/>
  <c r="H96" i="17"/>
  <c r="G96" i="17"/>
  <c r="F96" i="17"/>
  <c r="H95" i="17"/>
  <c r="G95" i="17"/>
  <c r="F95" i="17"/>
  <c r="H94" i="17"/>
  <c r="G94" i="17"/>
  <c r="F94" i="17"/>
  <c r="H93" i="17"/>
  <c r="G93" i="17"/>
  <c r="F93" i="17"/>
  <c r="H92" i="17"/>
  <c r="G92" i="17"/>
  <c r="F92" i="17"/>
  <c r="H91" i="17"/>
  <c r="G91" i="17"/>
  <c r="F91" i="17"/>
  <c r="H90" i="17"/>
  <c r="G90" i="17"/>
  <c r="F90" i="17"/>
  <c r="H89" i="17"/>
  <c r="G89" i="17"/>
  <c r="F89" i="17"/>
  <c r="H88" i="17"/>
  <c r="G88" i="17"/>
  <c r="F88" i="17"/>
  <c r="H87" i="17"/>
  <c r="G87" i="17"/>
  <c r="F87" i="17"/>
  <c r="H86" i="17"/>
  <c r="G86" i="17"/>
  <c r="F86" i="17"/>
  <c r="H85" i="17"/>
  <c r="G85" i="17"/>
  <c r="F85" i="17"/>
  <c r="H84" i="17"/>
  <c r="G84" i="17"/>
  <c r="F84" i="17"/>
  <c r="H83" i="17"/>
  <c r="G83" i="17"/>
  <c r="F83" i="17"/>
  <c r="H82" i="17"/>
  <c r="G82" i="17"/>
  <c r="F82" i="17"/>
  <c r="H81" i="17"/>
  <c r="G81" i="17"/>
  <c r="F81" i="17"/>
  <c r="H80" i="17"/>
  <c r="G80" i="17"/>
  <c r="F80" i="17"/>
  <c r="H79" i="17"/>
  <c r="G79" i="17"/>
  <c r="F79" i="17"/>
  <c r="H78" i="17"/>
  <c r="G78" i="17"/>
  <c r="F78" i="17"/>
  <c r="H77" i="17"/>
  <c r="G77" i="17"/>
  <c r="F77" i="17"/>
  <c r="H76" i="17"/>
  <c r="G76" i="17"/>
  <c r="F76" i="17"/>
  <c r="H75" i="17"/>
  <c r="G75" i="17"/>
  <c r="F75" i="17"/>
  <c r="H74" i="17"/>
  <c r="G74" i="17"/>
  <c r="F74" i="17"/>
  <c r="H73" i="17"/>
  <c r="G73" i="17"/>
  <c r="F73" i="17"/>
  <c r="H72" i="17"/>
  <c r="G72" i="17"/>
  <c r="F72" i="17"/>
  <c r="H71" i="17"/>
  <c r="G71" i="17"/>
  <c r="F71" i="17"/>
  <c r="H70" i="17"/>
  <c r="G70" i="17"/>
  <c r="F70" i="17"/>
  <c r="H69" i="17"/>
  <c r="G69" i="17"/>
  <c r="F69" i="17"/>
  <c r="H68" i="17"/>
  <c r="G68" i="17"/>
  <c r="F68" i="17"/>
  <c r="H67" i="17"/>
  <c r="G67" i="17"/>
  <c r="F67" i="17"/>
  <c r="H66" i="17"/>
  <c r="G66" i="17"/>
  <c r="F66" i="17"/>
  <c r="H65" i="17"/>
  <c r="G65" i="17"/>
  <c r="F65" i="17"/>
  <c r="H64" i="17"/>
  <c r="G64" i="17"/>
  <c r="F64" i="17"/>
  <c r="H63" i="17"/>
  <c r="G63" i="17"/>
  <c r="F63" i="17"/>
  <c r="H62" i="17"/>
  <c r="G62" i="17"/>
  <c r="F62" i="17"/>
  <c r="H61" i="17"/>
  <c r="G61" i="17"/>
  <c r="F61" i="17"/>
  <c r="H60" i="17"/>
  <c r="G60" i="17"/>
  <c r="F60" i="17"/>
  <c r="H59" i="17"/>
  <c r="G59" i="17"/>
  <c r="F59" i="17"/>
  <c r="H58" i="17"/>
  <c r="G58" i="17"/>
  <c r="F58" i="17"/>
  <c r="H57" i="17"/>
  <c r="G57" i="17"/>
  <c r="F57" i="17"/>
  <c r="H56" i="17"/>
  <c r="G56" i="17"/>
  <c r="F56" i="17"/>
  <c r="H55" i="17"/>
  <c r="G55" i="17"/>
  <c r="F55" i="17"/>
  <c r="H54" i="17"/>
  <c r="G54" i="17"/>
  <c r="F54" i="17"/>
  <c r="H53" i="17"/>
  <c r="G53" i="17"/>
  <c r="F53" i="17"/>
  <c r="H52" i="17"/>
  <c r="G52" i="17"/>
  <c r="F52" i="17"/>
  <c r="H51" i="17"/>
  <c r="G51" i="17"/>
  <c r="F51" i="17"/>
  <c r="H50" i="17"/>
  <c r="G50" i="17"/>
  <c r="F50" i="17"/>
  <c r="H49" i="17"/>
  <c r="G49" i="17"/>
  <c r="F49" i="17"/>
  <c r="H48" i="17"/>
  <c r="G48" i="17"/>
  <c r="F48" i="17"/>
  <c r="H47" i="17"/>
  <c r="G47" i="17"/>
  <c r="F47" i="17"/>
  <c r="H46" i="17"/>
  <c r="G46" i="17"/>
  <c r="F46" i="17"/>
  <c r="H45" i="17"/>
  <c r="G45" i="17"/>
  <c r="F45" i="17"/>
  <c r="H44" i="17"/>
  <c r="G44" i="17"/>
  <c r="F44" i="17"/>
  <c r="H43" i="17"/>
  <c r="G43" i="17"/>
  <c r="F43" i="17"/>
  <c r="H42" i="17"/>
  <c r="G42" i="17"/>
  <c r="F42" i="17"/>
  <c r="H41" i="17"/>
  <c r="G41" i="17"/>
  <c r="F41" i="17"/>
  <c r="H40" i="17"/>
  <c r="G40" i="17"/>
  <c r="F40" i="17"/>
  <c r="H39" i="17"/>
  <c r="G39" i="17"/>
  <c r="F39" i="17"/>
  <c r="H38" i="17"/>
  <c r="G38" i="17"/>
  <c r="F38" i="17"/>
  <c r="H37" i="17"/>
  <c r="G37" i="17"/>
  <c r="F37" i="17"/>
  <c r="H36" i="17"/>
  <c r="G36" i="17"/>
  <c r="F36" i="17"/>
  <c r="H35" i="17"/>
  <c r="G35" i="17"/>
  <c r="F35" i="17"/>
  <c r="H34" i="17"/>
  <c r="G34" i="17"/>
  <c r="F34" i="17"/>
  <c r="H33" i="17"/>
  <c r="G33" i="17"/>
  <c r="F33" i="17"/>
  <c r="H32" i="17"/>
  <c r="G32" i="17"/>
  <c r="F32" i="17"/>
  <c r="H31" i="17"/>
  <c r="G31" i="17"/>
  <c r="F31" i="17"/>
  <c r="H30" i="17"/>
  <c r="G30" i="17"/>
  <c r="F30" i="17"/>
  <c r="H29" i="17"/>
  <c r="G29" i="17"/>
  <c r="F29" i="17"/>
  <c r="H28" i="17"/>
  <c r="G28" i="17"/>
  <c r="F28" i="17"/>
  <c r="H27" i="17"/>
  <c r="G27" i="17"/>
  <c r="F27" i="17"/>
  <c r="H26" i="17"/>
  <c r="G26" i="17"/>
  <c r="F26" i="17"/>
  <c r="H25" i="17"/>
  <c r="G25" i="17"/>
  <c r="F25" i="17"/>
  <c r="H24" i="17"/>
  <c r="G24" i="17"/>
  <c r="F24" i="17"/>
  <c r="H23" i="17"/>
  <c r="G23" i="17"/>
  <c r="F23" i="17"/>
  <c r="H22" i="17"/>
  <c r="G22" i="17"/>
  <c r="F22" i="17"/>
  <c r="H21" i="17"/>
  <c r="G21" i="17"/>
  <c r="F21" i="17"/>
  <c r="H20" i="17"/>
  <c r="G20" i="17"/>
  <c r="F20" i="17"/>
  <c r="H19" i="17"/>
  <c r="G19" i="17"/>
  <c r="F19" i="17"/>
  <c r="H18" i="17"/>
  <c r="G18" i="17"/>
  <c r="F18" i="17"/>
  <c r="L97" i="17"/>
  <c r="K97" i="17"/>
  <c r="J97" i="17"/>
  <c r="L96" i="17"/>
  <c r="K96" i="17"/>
  <c r="J96" i="17"/>
  <c r="L95" i="17"/>
  <c r="K95" i="17"/>
  <c r="J95" i="17"/>
  <c r="L94" i="17"/>
  <c r="K94" i="17"/>
  <c r="J94" i="17"/>
  <c r="L93" i="17"/>
  <c r="K93" i="17"/>
  <c r="J93" i="17"/>
  <c r="L92" i="17"/>
  <c r="K92" i="17"/>
  <c r="J92" i="17"/>
  <c r="L91" i="17"/>
  <c r="K91" i="17"/>
  <c r="J91" i="17"/>
  <c r="L90" i="17"/>
  <c r="K90" i="17"/>
  <c r="J90" i="17"/>
  <c r="L89" i="17"/>
  <c r="K89" i="17"/>
  <c r="J89" i="17"/>
  <c r="L88" i="17"/>
  <c r="K88" i="17"/>
  <c r="J88" i="17"/>
  <c r="L87" i="17"/>
  <c r="K87" i="17"/>
  <c r="J87" i="17"/>
  <c r="L86" i="17"/>
  <c r="K86" i="17"/>
  <c r="J86" i="17"/>
  <c r="L85" i="17"/>
  <c r="K85" i="17"/>
  <c r="J85" i="17"/>
  <c r="L84" i="17"/>
  <c r="K84" i="17"/>
  <c r="J84" i="17"/>
  <c r="L83" i="17"/>
  <c r="K83" i="17"/>
  <c r="J83" i="17"/>
  <c r="L82" i="17"/>
  <c r="K82" i="17"/>
  <c r="J82" i="17"/>
  <c r="L81" i="17"/>
  <c r="K81" i="17"/>
  <c r="J81" i="17"/>
  <c r="L80" i="17"/>
  <c r="K80" i="17"/>
  <c r="J80" i="17"/>
  <c r="L79" i="17"/>
  <c r="K79" i="17"/>
  <c r="J79" i="17"/>
  <c r="L78" i="17"/>
  <c r="K78" i="17"/>
  <c r="J78" i="17"/>
  <c r="L77" i="17"/>
  <c r="K77" i="17"/>
  <c r="J77" i="17"/>
  <c r="L76" i="17"/>
  <c r="K76" i="17"/>
  <c r="J76" i="17"/>
  <c r="L75" i="17"/>
  <c r="K75" i="17"/>
  <c r="J75" i="17"/>
  <c r="L74" i="17"/>
  <c r="K74" i="17"/>
  <c r="J74" i="17"/>
  <c r="L73" i="17"/>
  <c r="K73" i="17"/>
  <c r="J73" i="17"/>
  <c r="L72" i="17"/>
  <c r="K72" i="17"/>
  <c r="J72" i="17"/>
  <c r="L71" i="17"/>
  <c r="K71" i="17"/>
  <c r="J71" i="17"/>
  <c r="L70" i="17"/>
  <c r="K70" i="17"/>
  <c r="J70" i="17"/>
  <c r="L69" i="17"/>
  <c r="K69" i="17"/>
  <c r="J69" i="17"/>
  <c r="L68" i="17"/>
  <c r="K68" i="17"/>
  <c r="J68" i="17"/>
  <c r="L67" i="17"/>
  <c r="K67" i="17"/>
  <c r="J67" i="17"/>
  <c r="L66" i="17"/>
  <c r="K66" i="17"/>
  <c r="J66" i="17"/>
  <c r="L65" i="17"/>
  <c r="K65" i="17"/>
  <c r="J65" i="17"/>
  <c r="L64" i="17"/>
  <c r="K64" i="17"/>
  <c r="J64" i="17"/>
  <c r="L63" i="17"/>
  <c r="K63" i="17"/>
  <c r="J63" i="17"/>
  <c r="L62" i="17"/>
  <c r="K62" i="17"/>
  <c r="J62" i="17"/>
  <c r="L61" i="17"/>
  <c r="K61" i="17"/>
  <c r="J61" i="17"/>
  <c r="L60" i="17"/>
  <c r="K60" i="17"/>
  <c r="J60" i="17"/>
  <c r="L59" i="17"/>
  <c r="K59" i="17"/>
  <c r="J59" i="17"/>
  <c r="L58" i="17"/>
  <c r="K58" i="17"/>
  <c r="J58" i="17"/>
  <c r="L57" i="17"/>
  <c r="K57" i="17"/>
  <c r="J57" i="17"/>
  <c r="L56" i="17"/>
  <c r="K56" i="17"/>
  <c r="J56" i="17"/>
  <c r="L55" i="17"/>
  <c r="K55" i="17"/>
  <c r="J55" i="17"/>
  <c r="L54" i="17"/>
  <c r="K54" i="17"/>
  <c r="J54" i="17"/>
  <c r="L53" i="17"/>
  <c r="K53" i="17"/>
  <c r="J53" i="17"/>
  <c r="L52" i="17"/>
  <c r="K52" i="17"/>
  <c r="J52" i="17"/>
  <c r="L51" i="17"/>
  <c r="K51" i="17"/>
  <c r="J51" i="17"/>
  <c r="L50" i="17"/>
  <c r="K50" i="17"/>
  <c r="J50" i="17"/>
  <c r="L49" i="17"/>
  <c r="K49" i="17"/>
  <c r="J49" i="17"/>
  <c r="L48" i="17"/>
  <c r="K48" i="17"/>
  <c r="J48" i="17"/>
  <c r="L47" i="17"/>
  <c r="K47" i="17"/>
  <c r="J47" i="17"/>
  <c r="L46" i="17"/>
  <c r="K46" i="17"/>
  <c r="J46" i="17"/>
  <c r="L45" i="17"/>
  <c r="K45" i="17"/>
  <c r="J45" i="17"/>
  <c r="L44" i="17"/>
  <c r="K44" i="17"/>
  <c r="J44" i="17"/>
  <c r="L43" i="17"/>
  <c r="K43" i="17"/>
  <c r="J43" i="17"/>
  <c r="L42" i="17"/>
  <c r="K42" i="17"/>
  <c r="J42" i="17"/>
  <c r="L41" i="17"/>
  <c r="K41" i="17"/>
  <c r="J41" i="17"/>
  <c r="L40" i="17"/>
  <c r="K40" i="17"/>
  <c r="J40" i="17"/>
  <c r="L39" i="17"/>
  <c r="K39" i="17"/>
  <c r="J39" i="17"/>
  <c r="L38" i="17"/>
  <c r="K38" i="17"/>
  <c r="J38" i="17"/>
  <c r="L37" i="17"/>
  <c r="K37" i="17"/>
  <c r="J37" i="17"/>
  <c r="L36" i="17"/>
  <c r="K36" i="17"/>
  <c r="J36" i="17"/>
  <c r="L35" i="17"/>
  <c r="K35" i="17"/>
  <c r="J35" i="17"/>
  <c r="L34" i="17"/>
  <c r="K34" i="17"/>
  <c r="J34" i="17"/>
  <c r="L33" i="17"/>
  <c r="K33" i="17"/>
  <c r="J33" i="17"/>
  <c r="L32" i="17"/>
  <c r="K32" i="17"/>
  <c r="J32" i="17"/>
  <c r="L31" i="17"/>
  <c r="K31" i="17"/>
  <c r="J31" i="17"/>
  <c r="L30" i="17"/>
  <c r="K30" i="17"/>
  <c r="J30" i="17"/>
  <c r="L29" i="17"/>
  <c r="K29" i="17"/>
  <c r="J29" i="17"/>
  <c r="L28" i="17"/>
  <c r="K28" i="17"/>
  <c r="J28" i="17"/>
  <c r="L27" i="17"/>
  <c r="K27" i="17"/>
  <c r="J27" i="17"/>
  <c r="L26" i="17"/>
  <c r="K26" i="17"/>
  <c r="J26" i="17"/>
  <c r="L25" i="17"/>
  <c r="K25" i="17"/>
  <c r="J25" i="17"/>
  <c r="L24" i="17"/>
  <c r="K24" i="17"/>
  <c r="J24" i="17"/>
  <c r="L23" i="17"/>
  <c r="K23" i="17"/>
  <c r="J23" i="17"/>
  <c r="L22" i="17"/>
  <c r="K22" i="17"/>
  <c r="J22" i="17"/>
  <c r="L21" i="17"/>
  <c r="K21" i="17"/>
  <c r="J21" i="17"/>
  <c r="L20" i="17"/>
  <c r="K20" i="17"/>
  <c r="J20" i="17"/>
  <c r="L19" i="17"/>
  <c r="K19" i="17"/>
  <c r="J19" i="17"/>
  <c r="L18" i="17"/>
  <c r="K18" i="17"/>
  <c r="J18" i="17"/>
  <c r="P97" i="17"/>
  <c r="O97" i="17"/>
  <c r="N97" i="17"/>
  <c r="P96" i="17"/>
  <c r="O96" i="17"/>
  <c r="N96" i="17"/>
  <c r="P95" i="17"/>
  <c r="O95" i="17"/>
  <c r="N95" i="17"/>
  <c r="P94" i="17"/>
  <c r="O94" i="17"/>
  <c r="N94" i="17"/>
  <c r="P93" i="17"/>
  <c r="O93" i="17"/>
  <c r="N93" i="17"/>
  <c r="P92" i="17"/>
  <c r="O92" i="17"/>
  <c r="N92" i="17"/>
  <c r="P91" i="17"/>
  <c r="O91" i="17"/>
  <c r="N91" i="17"/>
  <c r="P90" i="17"/>
  <c r="O90" i="17"/>
  <c r="N90" i="17"/>
  <c r="P89" i="17"/>
  <c r="O89" i="17"/>
  <c r="N89" i="17"/>
  <c r="P88" i="17"/>
  <c r="O88" i="17"/>
  <c r="N88" i="17"/>
  <c r="P87" i="17"/>
  <c r="O87" i="17"/>
  <c r="N87" i="17"/>
  <c r="P86" i="17"/>
  <c r="O86" i="17"/>
  <c r="N86" i="17"/>
  <c r="P85" i="17"/>
  <c r="O85" i="17"/>
  <c r="N85" i="17"/>
  <c r="P84" i="17"/>
  <c r="O84" i="17"/>
  <c r="N84" i="17"/>
  <c r="P83" i="17"/>
  <c r="O83" i="17"/>
  <c r="N83" i="17"/>
  <c r="P82" i="17"/>
  <c r="O82" i="17"/>
  <c r="N82" i="17"/>
  <c r="P81" i="17"/>
  <c r="O81" i="17"/>
  <c r="N81" i="17"/>
  <c r="P80" i="17"/>
  <c r="O80" i="17"/>
  <c r="N80" i="17"/>
  <c r="P79" i="17"/>
  <c r="O79" i="17"/>
  <c r="N79" i="17"/>
  <c r="P78" i="17"/>
  <c r="O78" i="17"/>
  <c r="N78" i="17"/>
  <c r="P77" i="17"/>
  <c r="O77" i="17"/>
  <c r="N77" i="17"/>
  <c r="P76" i="17"/>
  <c r="O76" i="17"/>
  <c r="N76" i="17"/>
  <c r="P75" i="17"/>
  <c r="O75" i="17"/>
  <c r="N75" i="17"/>
  <c r="P74" i="17"/>
  <c r="O74" i="17"/>
  <c r="N74" i="17"/>
  <c r="P73" i="17"/>
  <c r="O73" i="17"/>
  <c r="N73" i="17"/>
  <c r="P72" i="17"/>
  <c r="O72" i="17"/>
  <c r="N72" i="17"/>
  <c r="P71" i="17"/>
  <c r="O71" i="17"/>
  <c r="N71" i="17"/>
  <c r="P70" i="17"/>
  <c r="O70" i="17"/>
  <c r="N70" i="17"/>
  <c r="P69" i="17"/>
  <c r="O69" i="17"/>
  <c r="N69" i="17"/>
  <c r="P68" i="17"/>
  <c r="O68" i="17"/>
  <c r="N68" i="17"/>
  <c r="P67" i="17"/>
  <c r="O67" i="17"/>
  <c r="N67" i="17"/>
  <c r="P66" i="17"/>
  <c r="O66" i="17"/>
  <c r="N66" i="17"/>
  <c r="P65" i="17"/>
  <c r="O65" i="17"/>
  <c r="N65" i="17"/>
  <c r="P64" i="17"/>
  <c r="O64" i="17"/>
  <c r="N64" i="17"/>
  <c r="P63" i="17"/>
  <c r="O63" i="17"/>
  <c r="N63" i="17"/>
  <c r="P62" i="17"/>
  <c r="O62" i="17"/>
  <c r="N62" i="17"/>
  <c r="P61" i="17"/>
  <c r="O61" i="17"/>
  <c r="N61" i="17"/>
  <c r="P60" i="17"/>
  <c r="O60" i="17"/>
  <c r="N60" i="17"/>
  <c r="P59" i="17"/>
  <c r="O59" i="17"/>
  <c r="N59" i="17"/>
  <c r="P58" i="17"/>
  <c r="O58" i="17"/>
  <c r="N58" i="17"/>
  <c r="P57" i="17"/>
  <c r="O57" i="17"/>
  <c r="N57" i="17"/>
  <c r="P56" i="17"/>
  <c r="O56" i="17"/>
  <c r="N56" i="17"/>
  <c r="P55" i="17"/>
  <c r="O55" i="17"/>
  <c r="N55" i="17"/>
  <c r="P54" i="17"/>
  <c r="O54" i="17"/>
  <c r="N54" i="17"/>
  <c r="P53" i="17"/>
  <c r="O53" i="17"/>
  <c r="N53" i="17"/>
  <c r="P52" i="17"/>
  <c r="O52" i="17"/>
  <c r="N52" i="17"/>
  <c r="P51" i="17"/>
  <c r="O51" i="17"/>
  <c r="N51" i="17"/>
  <c r="P50" i="17"/>
  <c r="O50" i="17"/>
  <c r="N50" i="17"/>
  <c r="P49" i="17"/>
  <c r="O49" i="17"/>
  <c r="N49" i="17"/>
  <c r="P48" i="17"/>
  <c r="O48" i="17"/>
  <c r="N48" i="17"/>
  <c r="P47" i="17"/>
  <c r="O47" i="17"/>
  <c r="N47" i="17"/>
  <c r="P46" i="17"/>
  <c r="O46" i="17"/>
  <c r="N46" i="17"/>
  <c r="P45" i="17"/>
  <c r="O45" i="17"/>
  <c r="N45" i="17"/>
  <c r="P44" i="17"/>
  <c r="O44" i="17"/>
  <c r="N44" i="17"/>
  <c r="P43" i="17"/>
  <c r="O43" i="17"/>
  <c r="N43" i="17"/>
  <c r="P42" i="17"/>
  <c r="O42" i="17"/>
  <c r="N42" i="17"/>
  <c r="P41" i="17"/>
  <c r="O41" i="17"/>
  <c r="N41" i="17"/>
  <c r="P40" i="17"/>
  <c r="O40" i="17"/>
  <c r="N40" i="17"/>
  <c r="P39" i="17"/>
  <c r="O39" i="17"/>
  <c r="N39" i="17"/>
  <c r="P38" i="17"/>
  <c r="O38" i="17"/>
  <c r="N38" i="17"/>
  <c r="P37" i="17"/>
  <c r="O37" i="17"/>
  <c r="N37" i="17"/>
  <c r="P36" i="17"/>
  <c r="O36" i="17"/>
  <c r="N36" i="17"/>
  <c r="P35" i="17"/>
  <c r="O35" i="17"/>
  <c r="N35" i="17"/>
  <c r="P34" i="17"/>
  <c r="O34" i="17"/>
  <c r="N34" i="17"/>
  <c r="P33" i="17"/>
  <c r="O33" i="17"/>
  <c r="N33" i="17"/>
  <c r="P32" i="17"/>
  <c r="O32" i="17"/>
  <c r="N32" i="17"/>
  <c r="P31" i="17"/>
  <c r="O31" i="17"/>
  <c r="N31" i="17"/>
  <c r="P30" i="17"/>
  <c r="O30" i="17"/>
  <c r="N30" i="17"/>
  <c r="P29" i="17"/>
  <c r="O29" i="17"/>
  <c r="N29" i="17"/>
  <c r="P28" i="17"/>
  <c r="O28" i="17"/>
  <c r="N28" i="17"/>
  <c r="P27" i="17"/>
  <c r="O27" i="17"/>
  <c r="N27" i="17"/>
  <c r="P26" i="17"/>
  <c r="O26" i="17"/>
  <c r="N26" i="17"/>
  <c r="P25" i="17"/>
  <c r="O25" i="17"/>
  <c r="N25" i="17"/>
  <c r="P24" i="17"/>
  <c r="O24" i="17"/>
  <c r="N24" i="17"/>
  <c r="P23" i="17"/>
  <c r="O23" i="17"/>
  <c r="N23" i="17"/>
  <c r="P22" i="17"/>
  <c r="O22" i="17"/>
  <c r="N22" i="17"/>
  <c r="P21" i="17"/>
  <c r="O21" i="17"/>
  <c r="N21" i="17"/>
  <c r="P20" i="17"/>
  <c r="O20" i="17"/>
  <c r="N20" i="17"/>
  <c r="P19" i="17"/>
  <c r="O19" i="17"/>
  <c r="N19" i="17"/>
  <c r="P18" i="17"/>
  <c r="O18" i="17"/>
  <c r="N18" i="17"/>
  <c r="D97" i="9"/>
  <c r="C97" i="9"/>
  <c r="B97" i="9"/>
  <c r="D96" i="9"/>
  <c r="C96" i="9"/>
  <c r="B96" i="9"/>
  <c r="D95" i="9"/>
  <c r="C95" i="9"/>
  <c r="B95" i="9"/>
  <c r="D94" i="9"/>
  <c r="C94" i="9"/>
  <c r="B94" i="9"/>
  <c r="D93" i="9"/>
  <c r="C93" i="9"/>
  <c r="B93" i="9"/>
  <c r="D92" i="9"/>
  <c r="C92" i="9"/>
  <c r="B92" i="9"/>
  <c r="D91" i="9"/>
  <c r="C91" i="9"/>
  <c r="B91" i="9"/>
  <c r="D90" i="9"/>
  <c r="C90" i="9"/>
  <c r="B90" i="9"/>
  <c r="D89" i="9"/>
  <c r="C89" i="9"/>
  <c r="B89" i="9"/>
  <c r="D88" i="9"/>
  <c r="C88" i="9"/>
  <c r="B88" i="9"/>
  <c r="D87" i="9"/>
  <c r="C87" i="9"/>
  <c r="B87" i="9"/>
  <c r="D86" i="9"/>
  <c r="C86" i="9"/>
  <c r="B86" i="9"/>
  <c r="D85" i="9"/>
  <c r="C85" i="9"/>
  <c r="B85" i="9"/>
  <c r="D84" i="9"/>
  <c r="C84" i="9"/>
  <c r="B84" i="9"/>
  <c r="D83" i="9"/>
  <c r="C83" i="9"/>
  <c r="B83" i="9"/>
  <c r="D82" i="9"/>
  <c r="C82" i="9"/>
  <c r="B82" i="9"/>
  <c r="D81" i="9"/>
  <c r="C81" i="9"/>
  <c r="B81" i="9"/>
  <c r="D80" i="9"/>
  <c r="C80" i="9"/>
  <c r="B80" i="9"/>
  <c r="D79" i="9"/>
  <c r="C79" i="9"/>
  <c r="B79" i="9"/>
  <c r="D78" i="9"/>
  <c r="C78" i="9"/>
  <c r="B78" i="9"/>
  <c r="D77" i="9"/>
  <c r="C77" i="9"/>
  <c r="B77" i="9"/>
  <c r="D76" i="9"/>
  <c r="C76" i="9"/>
  <c r="B76" i="9"/>
  <c r="D75" i="9"/>
  <c r="C75" i="9"/>
  <c r="B75" i="9"/>
  <c r="D74" i="9"/>
  <c r="C74" i="9"/>
  <c r="B74" i="9"/>
  <c r="D73" i="9"/>
  <c r="C73" i="9"/>
  <c r="B73" i="9"/>
  <c r="D72" i="9"/>
  <c r="C72" i="9"/>
  <c r="B72" i="9"/>
  <c r="D71" i="9"/>
  <c r="C71" i="9"/>
  <c r="B71" i="9"/>
  <c r="D70" i="9"/>
  <c r="C70" i="9"/>
  <c r="B70" i="9"/>
  <c r="D69" i="9"/>
  <c r="C69" i="9"/>
  <c r="B69" i="9"/>
  <c r="D68" i="9"/>
  <c r="C68" i="9"/>
  <c r="B68" i="9"/>
  <c r="D67" i="9"/>
  <c r="C67" i="9"/>
  <c r="B67" i="9"/>
  <c r="D66" i="9"/>
  <c r="C66" i="9"/>
  <c r="B66" i="9"/>
  <c r="D65" i="9"/>
  <c r="C65" i="9"/>
  <c r="B65" i="9"/>
  <c r="D64" i="9"/>
  <c r="C64" i="9"/>
  <c r="B64" i="9"/>
  <c r="D63" i="9"/>
  <c r="C63" i="9"/>
  <c r="B63" i="9"/>
  <c r="D62" i="9"/>
  <c r="C62" i="9"/>
  <c r="B62" i="9"/>
  <c r="D61" i="9"/>
  <c r="C61" i="9"/>
  <c r="B61" i="9"/>
  <c r="D60" i="9"/>
  <c r="C60" i="9"/>
  <c r="B60" i="9"/>
  <c r="D59" i="9"/>
  <c r="C59" i="9"/>
  <c r="B59" i="9"/>
  <c r="D58" i="9"/>
  <c r="C58" i="9"/>
  <c r="B58" i="9"/>
  <c r="D57" i="9"/>
  <c r="C57" i="9"/>
  <c r="B57" i="9"/>
  <c r="D56" i="9"/>
  <c r="C56" i="9"/>
  <c r="B56" i="9"/>
  <c r="D55" i="9"/>
  <c r="C55" i="9"/>
  <c r="B55" i="9"/>
  <c r="D54" i="9"/>
  <c r="C54" i="9"/>
  <c r="B54" i="9"/>
  <c r="D53" i="9"/>
  <c r="C53" i="9"/>
  <c r="B53" i="9"/>
  <c r="D52" i="9"/>
  <c r="C52" i="9"/>
  <c r="B52" i="9"/>
  <c r="D51" i="9"/>
  <c r="C51" i="9"/>
  <c r="B51" i="9"/>
  <c r="D50" i="9"/>
  <c r="C50" i="9"/>
  <c r="B50" i="9"/>
  <c r="D49" i="9"/>
  <c r="C49" i="9"/>
  <c r="B49" i="9"/>
  <c r="D48" i="9"/>
  <c r="C48" i="9"/>
  <c r="B48" i="9"/>
  <c r="D47" i="9"/>
  <c r="C47" i="9"/>
  <c r="B47" i="9"/>
  <c r="D46" i="9"/>
  <c r="C46" i="9"/>
  <c r="B46" i="9"/>
  <c r="D45" i="9"/>
  <c r="C45" i="9"/>
  <c r="B45" i="9"/>
  <c r="D44" i="9"/>
  <c r="C44" i="9"/>
  <c r="B44" i="9"/>
  <c r="D43" i="9"/>
  <c r="C43" i="9"/>
  <c r="B43" i="9"/>
  <c r="D42" i="9"/>
  <c r="C42" i="9"/>
  <c r="B42" i="9"/>
  <c r="D41" i="9"/>
  <c r="C41" i="9"/>
  <c r="B41" i="9"/>
  <c r="D40" i="9"/>
  <c r="C40" i="9"/>
  <c r="B40" i="9"/>
  <c r="D39" i="9"/>
  <c r="C39" i="9"/>
  <c r="B39" i="9"/>
  <c r="D38" i="9"/>
  <c r="C38" i="9"/>
  <c r="B38" i="9"/>
  <c r="D37" i="9"/>
  <c r="C37" i="9"/>
  <c r="B37" i="9"/>
  <c r="D36" i="9"/>
  <c r="C36" i="9"/>
  <c r="B36" i="9"/>
  <c r="D35" i="9"/>
  <c r="C35" i="9"/>
  <c r="B35" i="9"/>
  <c r="D34" i="9"/>
  <c r="C34" i="9"/>
  <c r="B34" i="9"/>
  <c r="D33" i="9"/>
  <c r="C33" i="9"/>
  <c r="B33" i="9"/>
  <c r="D32" i="9"/>
  <c r="C32" i="9"/>
  <c r="B32" i="9"/>
  <c r="D31" i="9"/>
  <c r="C31" i="9"/>
  <c r="B31" i="9"/>
  <c r="D30" i="9"/>
  <c r="C30" i="9"/>
  <c r="B30" i="9"/>
  <c r="D29" i="9"/>
  <c r="C29" i="9"/>
  <c r="B29" i="9"/>
  <c r="D28" i="9"/>
  <c r="C28" i="9"/>
  <c r="B28" i="9"/>
  <c r="D27" i="9"/>
  <c r="C27" i="9"/>
  <c r="B27" i="9"/>
  <c r="D26" i="9"/>
  <c r="C26" i="9"/>
  <c r="B26" i="9"/>
  <c r="D25" i="9"/>
  <c r="C25" i="9"/>
  <c r="B25" i="9"/>
  <c r="D24" i="9"/>
  <c r="C24" i="9"/>
  <c r="B24" i="9"/>
  <c r="D23" i="9"/>
  <c r="C23" i="9"/>
  <c r="B23" i="9"/>
  <c r="D22" i="9"/>
  <c r="C22" i="9"/>
  <c r="B22" i="9"/>
  <c r="D21" i="9"/>
  <c r="C21" i="9"/>
  <c r="B21" i="9"/>
  <c r="D20" i="9"/>
  <c r="C20" i="9"/>
  <c r="B20" i="9"/>
  <c r="D19" i="9"/>
  <c r="C19" i="9"/>
  <c r="B19" i="9"/>
  <c r="D18" i="9"/>
  <c r="C18" i="9"/>
  <c r="B18" i="9"/>
  <c r="H97" i="9"/>
  <c r="G97" i="9"/>
  <c r="F97" i="9"/>
  <c r="H96" i="9"/>
  <c r="G96" i="9"/>
  <c r="F96" i="9"/>
  <c r="H95" i="9"/>
  <c r="G95" i="9"/>
  <c r="F95" i="9"/>
  <c r="H94" i="9"/>
  <c r="G94" i="9"/>
  <c r="F94" i="9"/>
  <c r="H93" i="9"/>
  <c r="G93" i="9"/>
  <c r="F93" i="9"/>
  <c r="H92" i="9"/>
  <c r="G92" i="9"/>
  <c r="F92" i="9"/>
  <c r="H91" i="9"/>
  <c r="G91" i="9"/>
  <c r="F91" i="9"/>
  <c r="H90" i="9"/>
  <c r="G90" i="9"/>
  <c r="F90" i="9"/>
  <c r="H89" i="9"/>
  <c r="G89" i="9"/>
  <c r="F89" i="9"/>
  <c r="H88" i="9"/>
  <c r="G88" i="9"/>
  <c r="F88" i="9"/>
  <c r="H87" i="9"/>
  <c r="G87" i="9"/>
  <c r="F87" i="9"/>
  <c r="H86" i="9"/>
  <c r="G86" i="9"/>
  <c r="F86" i="9"/>
  <c r="H85" i="9"/>
  <c r="G85" i="9"/>
  <c r="F85" i="9"/>
  <c r="H84" i="9"/>
  <c r="G84" i="9"/>
  <c r="F84" i="9"/>
  <c r="H83" i="9"/>
  <c r="G83" i="9"/>
  <c r="F83" i="9"/>
  <c r="H82" i="9"/>
  <c r="G82" i="9"/>
  <c r="F82" i="9"/>
  <c r="H81" i="9"/>
  <c r="G81" i="9"/>
  <c r="F81" i="9"/>
  <c r="H80" i="9"/>
  <c r="G80" i="9"/>
  <c r="F80" i="9"/>
  <c r="H79" i="9"/>
  <c r="G79" i="9"/>
  <c r="F79" i="9"/>
  <c r="H78" i="9"/>
  <c r="G78" i="9"/>
  <c r="F78" i="9"/>
  <c r="H77" i="9"/>
  <c r="G77" i="9"/>
  <c r="F77" i="9"/>
  <c r="H76" i="9"/>
  <c r="G76" i="9"/>
  <c r="F76" i="9"/>
  <c r="H75" i="9"/>
  <c r="G75" i="9"/>
  <c r="F75" i="9"/>
  <c r="H74" i="9"/>
  <c r="G74" i="9"/>
  <c r="F74" i="9"/>
  <c r="H73" i="9"/>
  <c r="G73" i="9"/>
  <c r="F73" i="9"/>
  <c r="H72" i="9"/>
  <c r="G72" i="9"/>
  <c r="F72" i="9"/>
  <c r="H71" i="9"/>
  <c r="G71" i="9"/>
  <c r="F71" i="9"/>
  <c r="H70" i="9"/>
  <c r="G70" i="9"/>
  <c r="F70" i="9"/>
  <c r="H69" i="9"/>
  <c r="G69" i="9"/>
  <c r="F69" i="9"/>
  <c r="H68" i="9"/>
  <c r="G68" i="9"/>
  <c r="F68" i="9"/>
  <c r="H67" i="9"/>
  <c r="G67" i="9"/>
  <c r="F67" i="9"/>
  <c r="H66" i="9"/>
  <c r="G66" i="9"/>
  <c r="F66" i="9"/>
  <c r="H65" i="9"/>
  <c r="G65" i="9"/>
  <c r="F65" i="9"/>
  <c r="H64" i="9"/>
  <c r="G64" i="9"/>
  <c r="F64" i="9"/>
  <c r="H63" i="9"/>
  <c r="G63" i="9"/>
  <c r="F63" i="9"/>
  <c r="H62" i="9"/>
  <c r="G62" i="9"/>
  <c r="F62" i="9"/>
  <c r="H61" i="9"/>
  <c r="G61" i="9"/>
  <c r="F61" i="9"/>
  <c r="H60" i="9"/>
  <c r="G60" i="9"/>
  <c r="F60" i="9"/>
  <c r="H59" i="9"/>
  <c r="G59" i="9"/>
  <c r="F59" i="9"/>
  <c r="H58" i="9"/>
  <c r="G58" i="9"/>
  <c r="F58" i="9"/>
  <c r="H57" i="9"/>
  <c r="G57" i="9"/>
  <c r="F57" i="9"/>
  <c r="H56" i="9"/>
  <c r="G56" i="9"/>
  <c r="F56" i="9"/>
  <c r="H55" i="9"/>
  <c r="G55" i="9"/>
  <c r="F55" i="9"/>
  <c r="H54" i="9"/>
  <c r="G54" i="9"/>
  <c r="F54" i="9"/>
  <c r="H53" i="9"/>
  <c r="G53" i="9"/>
  <c r="F53" i="9"/>
  <c r="H52" i="9"/>
  <c r="G52" i="9"/>
  <c r="F52" i="9"/>
  <c r="H51" i="9"/>
  <c r="G51" i="9"/>
  <c r="F51" i="9"/>
  <c r="H50" i="9"/>
  <c r="G50" i="9"/>
  <c r="F50" i="9"/>
  <c r="H49" i="9"/>
  <c r="G49" i="9"/>
  <c r="F49" i="9"/>
  <c r="H48" i="9"/>
  <c r="G48" i="9"/>
  <c r="F48" i="9"/>
  <c r="H47" i="9"/>
  <c r="G47" i="9"/>
  <c r="F47" i="9"/>
  <c r="H46" i="9"/>
  <c r="G46" i="9"/>
  <c r="F46" i="9"/>
  <c r="H45" i="9"/>
  <c r="G45" i="9"/>
  <c r="F45" i="9"/>
  <c r="H44" i="9"/>
  <c r="G44" i="9"/>
  <c r="F44" i="9"/>
  <c r="H43" i="9"/>
  <c r="G43" i="9"/>
  <c r="F43" i="9"/>
  <c r="H42" i="9"/>
  <c r="G42" i="9"/>
  <c r="F42" i="9"/>
  <c r="H41" i="9"/>
  <c r="G41" i="9"/>
  <c r="F41" i="9"/>
  <c r="H40" i="9"/>
  <c r="G40" i="9"/>
  <c r="F40" i="9"/>
  <c r="H39" i="9"/>
  <c r="G39" i="9"/>
  <c r="F39" i="9"/>
  <c r="H38" i="9"/>
  <c r="G38" i="9"/>
  <c r="F38" i="9"/>
  <c r="H37" i="9"/>
  <c r="G37" i="9"/>
  <c r="F37" i="9"/>
  <c r="H36" i="9"/>
  <c r="G36" i="9"/>
  <c r="F36" i="9"/>
  <c r="H35" i="9"/>
  <c r="G35" i="9"/>
  <c r="F35" i="9"/>
  <c r="H34" i="9"/>
  <c r="G34" i="9"/>
  <c r="F34" i="9"/>
  <c r="H33" i="9"/>
  <c r="G33" i="9"/>
  <c r="F33" i="9"/>
  <c r="H32" i="9"/>
  <c r="G32" i="9"/>
  <c r="F32" i="9"/>
  <c r="H31" i="9"/>
  <c r="G31" i="9"/>
  <c r="F31" i="9"/>
  <c r="H30" i="9"/>
  <c r="G30" i="9"/>
  <c r="F30" i="9"/>
  <c r="H29" i="9"/>
  <c r="G29" i="9"/>
  <c r="F29" i="9"/>
  <c r="H28" i="9"/>
  <c r="G28" i="9"/>
  <c r="F28" i="9"/>
  <c r="H27" i="9"/>
  <c r="G27" i="9"/>
  <c r="F27" i="9"/>
  <c r="H26" i="9"/>
  <c r="G26" i="9"/>
  <c r="F26" i="9"/>
  <c r="H25" i="9"/>
  <c r="G25" i="9"/>
  <c r="F25" i="9"/>
  <c r="H24" i="9"/>
  <c r="G24" i="9"/>
  <c r="F24" i="9"/>
  <c r="H23" i="9"/>
  <c r="G23" i="9"/>
  <c r="F23" i="9"/>
  <c r="H22" i="9"/>
  <c r="G22" i="9"/>
  <c r="F22" i="9"/>
  <c r="H21" i="9"/>
  <c r="G21" i="9"/>
  <c r="F21" i="9"/>
  <c r="H20" i="9"/>
  <c r="G20" i="9"/>
  <c r="F20" i="9"/>
  <c r="H19" i="9"/>
  <c r="G19" i="9"/>
  <c r="F19" i="9"/>
  <c r="H18" i="9"/>
  <c r="G18" i="9"/>
  <c r="F18" i="9"/>
  <c r="L97" i="9"/>
  <c r="K97" i="9"/>
  <c r="J97" i="9"/>
  <c r="L96" i="9"/>
  <c r="K96" i="9"/>
  <c r="J96" i="9"/>
  <c r="L95" i="9"/>
  <c r="K95" i="9"/>
  <c r="J95" i="9"/>
  <c r="L94" i="9"/>
  <c r="K94" i="9"/>
  <c r="J94" i="9"/>
  <c r="L93" i="9"/>
  <c r="K93" i="9"/>
  <c r="J93" i="9"/>
  <c r="L92" i="9"/>
  <c r="K92" i="9"/>
  <c r="J92" i="9"/>
  <c r="L91" i="9"/>
  <c r="K91" i="9"/>
  <c r="J91" i="9"/>
  <c r="L90" i="9"/>
  <c r="K90" i="9"/>
  <c r="J90" i="9"/>
  <c r="L89" i="9"/>
  <c r="K89" i="9"/>
  <c r="J89" i="9"/>
  <c r="L88" i="9"/>
  <c r="K88" i="9"/>
  <c r="J88" i="9"/>
  <c r="L87" i="9"/>
  <c r="K87" i="9"/>
  <c r="J87" i="9"/>
  <c r="L86" i="9"/>
  <c r="K86" i="9"/>
  <c r="J86" i="9"/>
  <c r="L85" i="9"/>
  <c r="K85" i="9"/>
  <c r="J85" i="9"/>
  <c r="L84" i="9"/>
  <c r="K84" i="9"/>
  <c r="J84" i="9"/>
  <c r="L83" i="9"/>
  <c r="K83" i="9"/>
  <c r="J83" i="9"/>
  <c r="L82" i="9"/>
  <c r="K82" i="9"/>
  <c r="J82" i="9"/>
  <c r="L81" i="9"/>
  <c r="K81" i="9"/>
  <c r="J81" i="9"/>
  <c r="L80" i="9"/>
  <c r="K80" i="9"/>
  <c r="J80" i="9"/>
  <c r="L79" i="9"/>
  <c r="K79" i="9"/>
  <c r="J79" i="9"/>
  <c r="L78" i="9"/>
  <c r="K78" i="9"/>
  <c r="J78" i="9"/>
  <c r="L77" i="9"/>
  <c r="K77" i="9"/>
  <c r="J77" i="9"/>
  <c r="L76" i="9"/>
  <c r="K76" i="9"/>
  <c r="J76" i="9"/>
  <c r="L75" i="9"/>
  <c r="K75" i="9"/>
  <c r="J75" i="9"/>
  <c r="L74" i="9"/>
  <c r="K74" i="9"/>
  <c r="J74" i="9"/>
  <c r="L73" i="9"/>
  <c r="K73" i="9"/>
  <c r="J73" i="9"/>
  <c r="L72" i="9"/>
  <c r="K72" i="9"/>
  <c r="J72" i="9"/>
  <c r="L71" i="9"/>
  <c r="K71" i="9"/>
  <c r="J71" i="9"/>
  <c r="L70" i="9"/>
  <c r="K70" i="9"/>
  <c r="J70" i="9"/>
  <c r="L69" i="9"/>
  <c r="K69" i="9"/>
  <c r="J69" i="9"/>
  <c r="L68" i="9"/>
  <c r="K68" i="9"/>
  <c r="J68" i="9"/>
  <c r="L67" i="9"/>
  <c r="K67" i="9"/>
  <c r="J67" i="9"/>
  <c r="L66" i="9"/>
  <c r="K66" i="9"/>
  <c r="J66" i="9"/>
  <c r="L65" i="9"/>
  <c r="K65" i="9"/>
  <c r="J65" i="9"/>
  <c r="L64" i="9"/>
  <c r="K64" i="9"/>
  <c r="J64" i="9"/>
  <c r="L63" i="9"/>
  <c r="K63" i="9"/>
  <c r="J63" i="9"/>
  <c r="L62" i="9"/>
  <c r="K62" i="9"/>
  <c r="J62" i="9"/>
  <c r="L61" i="9"/>
  <c r="K61" i="9"/>
  <c r="J61" i="9"/>
  <c r="L60" i="9"/>
  <c r="K60" i="9"/>
  <c r="J60" i="9"/>
  <c r="L59" i="9"/>
  <c r="K59" i="9"/>
  <c r="J59" i="9"/>
  <c r="L58" i="9"/>
  <c r="K58" i="9"/>
  <c r="J58" i="9"/>
  <c r="L57" i="9"/>
  <c r="K57" i="9"/>
  <c r="J57" i="9"/>
  <c r="L56" i="9"/>
  <c r="K56" i="9"/>
  <c r="J56" i="9"/>
  <c r="L55" i="9"/>
  <c r="K55" i="9"/>
  <c r="J55" i="9"/>
  <c r="L54" i="9"/>
  <c r="K54" i="9"/>
  <c r="J54" i="9"/>
  <c r="L53" i="9"/>
  <c r="K53" i="9"/>
  <c r="J53" i="9"/>
  <c r="L52" i="9"/>
  <c r="K52" i="9"/>
  <c r="J52" i="9"/>
  <c r="L51" i="9"/>
  <c r="K51" i="9"/>
  <c r="J51" i="9"/>
  <c r="L50" i="9"/>
  <c r="K50" i="9"/>
  <c r="J50" i="9"/>
  <c r="L49" i="9"/>
  <c r="K49" i="9"/>
  <c r="J49" i="9"/>
  <c r="L48" i="9"/>
  <c r="K48" i="9"/>
  <c r="J48" i="9"/>
  <c r="L47" i="9"/>
  <c r="K47" i="9"/>
  <c r="J47" i="9"/>
  <c r="L46" i="9"/>
  <c r="K46" i="9"/>
  <c r="J46" i="9"/>
  <c r="L45" i="9"/>
  <c r="K45" i="9"/>
  <c r="J45" i="9"/>
  <c r="L44" i="9"/>
  <c r="K44" i="9"/>
  <c r="J44" i="9"/>
  <c r="L43" i="9"/>
  <c r="K43" i="9"/>
  <c r="J43" i="9"/>
  <c r="L42" i="9"/>
  <c r="K42" i="9"/>
  <c r="J42" i="9"/>
  <c r="L41" i="9"/>
  <c r="K41" i="9"/>
  <c r="J41" i="9"/>
  <c r="L40" i="9"/>
  <c r="K40" i="9"/>
  <c r="J40" i="9"/>
  <c r="L39" i="9"/>
  <c r="K39" i="9"/>
  <c r="J39" i="9"/>
  <c r="L38" i="9"/>
  <c r="K38" i="9"/>
  <c r="J38" i="9"/>
  <c r="L37" i="9"/>
  <c r="K37" i="9"/>
  <c r="J37" i="9"/>
  <c r="L36" i="9"/>
  <c r="K36" i="9"/>
  <c r="J36" i="9"/>
  <c r="L35" i="9"/>
  <c r="K35" i="9"/>
  <c r="J35" i="9"/>
  <c r="L34" i="9"/>
  <c r="K34" i="9"/>
  <c r="J34" i="9"/>
  <c r="L33" i="9"/>
  <c r="K33" i="9"/>
  <c r="J33" i="9"/>
  <c r="L32" i="9"/>
  <c r="K32" i="9"/>
  <c r="J32" i="9"/>
  <c r="L31" i="9"/>
  <c r="K31" i="9"/>
  <c r="J31" i="9"/>
  <c r="L30" i="9"/>
  <c r="K30" i="9"/>
  <c r="J30" i="9"/>
  <c r="L29" i="9"/>
  <c r="K29" i="9"/>
  <c r="J29" i="9"/>
  <c r="L28" i="9"/>
  <c r="K28" i="9"/>
  <c r="J28" i="9"/>
  <c r="L27" i="9"/>
  <c r="K27" i="9"/>
  <c r="J27" i="9"/>
  <c r="L26" i="9"/>
  <c r="K26" i="9"/>
  <c r="J26" i="9"/>
  <c r="L25" i="9"/>
  <c r="K25" i="9"/>
  <c r="J25" i="9"/>
  <c r="L24" i="9"/>
  <c r="K24" i="9"/>
  <c r="J24" i="9"/>
  <c r="L23" i="9"/>
  <c r="K23" i="9"/>
  <c r="J23" i="9"/>
  <c r="L22" i="9"/>
  <c r="K22" i="9"/>
  <c r="J22" i="9"/>
  <c r="L21" i="9"/>
  <c r="K21" i="9"/>
  <c r="J21" i="9"/>
  <c r="L20" i="9"/>
  <c r="K20" i="9"/>
  <c r="J20" i="9"/>
  <c r="L19" i="9"/>
  <c r="K19" i="9"/>
  <c r="J19" i="9"/>
  <c r="L18" i="9"/>
  <c r="K18" i="9"/>
  <c r="J18" i="9"/>
  <c r="P97" i="9"/>
  <c r="O97" i="9"/>
  <c r="N97" i="9"/>
  <c r="P96" i="9"/>
  <c r="O96" i="9"/>
  <c r="N96" i="9"/>
  <c r="P95" i="9"/>
  <c r="O95" i="9"/>
  <c r="N95" i="9"/>
  <c r="P94" i="9"/>
  <c r="O94" i="9"/>
  <c r="N94" i="9"/>
  <c r="P93" i="9"/>
  <c r="O93" i="9"/>
  <c r="N93" i="9"/>
  <c r="P92" i="9"/>
  <c r="O92" i="9"/>
  <c r="N92" i="9"/>
  <c r="P91" i="9"/>
  <c r="O91" i="9"/>
  <c r="N91" i="9"/>
  <c r="P90" i="9"/>
  <c r="O90" i="9"/>
  <c r="N90" i="9"/>
  <c r="P89" i="9"/>
  <c r="O89" i="9"/>
  <c r="N89" i="9"/>
  <c r="P88" i="9"/>
  <c r="O88" i="9"/>
  <c r="N88" i="9"/>
  <c r="P87" i="9"/>
  <c r="O87" i="9"/>
  <c r="N87" i="9"/>
  <c r="P86" i="9"/>
  <c r="O86" i="9"/>
  <c r="N86" i="9"/>
  <c r="P85" i="9"/>
  <c r="O85" i="9"/>
  <c r="N85" i="9"/>
  <c r="P84" i="9"/>
  <c r="O84" i="9"/>
  <c r="N84" i="9"/>
  <c r="P83" i="9"/>
  <c r="O83" i="9"/>
  <c r="N83" i="9"/>
  <c r="P82" i="9"/>
  <c r="O82" i="9"/>
  <c r="N82" i="9"/>
  <c r="P81" i="9"/>
  <c r="O81" i="9"/>
  <c r="N81" i="9"/>
  <c r="P80" i="9"/>
  <c r="O80" i="9"/>
  <c r="N80" i="9"/>
  <c r="P79" i="9"/>
  <c r="O79" i="9"/>
  <c r="N79" i="9"/>
  <c r="P78" i="9"/>
  <c r="O78" i="9"/>
  <c r="N78" i="9"/>
  <c r="P77" i="9"/>
  <c r="O77" i="9"/>
  <c r="N77" i="9"/>
  <c r="P76" i="9"/>
  <c r="O76" i="9"/>
  <c r="N76" i="9"/>
  <c r="P75" i="9"/>
  <c r="O75" i="9"/>
  <c r="N75" i="9"/>
  <c r="P74" i="9"/>
  <c r="O74" i="9"/>
  <c r="N74" i="9"/>
  <c r="P73" i="9"/>
  <c r="O73" i="9"/>
  <c r="N73" i="9"/>
  <c r="P72" i="9"/>
  <c r="O72" i="9"/>
  <c r="N72" i="9"/>
  <c r="P71" i="9"/>
  <c r="O71" i="9"/>
  <c r="N71" i="9"/>
  <c r="P70" i="9"/>
  <c r="O70" i="9"/>
  <c r="N70" i="9"/>
  <c r="P69" i="9"/>
  <c r="O69" i="9"/>
  <c r="N69" i="9"/>
  <c r="P68" i="9"/>
  <c r="O68" i="9"/>
  <c r="N68" i="9"/>
  <c r="P67" i="9"/>
  <c r="O67" i="9"/>
  <c r="N67" i="9"/>
  <c r="P66" i="9"/>
  <c r="O66" i="9"/>
  <c r="N66" i="9"/>
  <c r="P65" i="9"/>
  <c r="O65" i="9"/>
  <c r="N65" i="9"/>
  <c r="P64" i="9"/>
  <c r="O64" i="9"/>
  <c r="N64" i="9"/>
  <c r="P63" i="9"/>
  <c r="O63" i="9"/>
  <c r="N63" i="9"/>
  <c r="P62" i="9"/>
  <c r="O62" i="9"/>
  <c r="N62" i="9"/>
  <c r="P61" i="9"/>
  <c r="O61" i="9"/>
  <c r="N61" i="9"/>
  <c r="P60" i="9"/>
  <c r="O60" i="9"/>
  <c r="N60" i="9"/>
  <c r="P59" i="9"/>
  <c r="O59" i="9"/>
  <c r="N59" i="9"/>
  <c r="P58" i="9"/>
  <c r="O58" i="9"/>
  <c r="N58" i="9"/>
  <c r="P57" i="9"/>
  <c r="O57" i="9"/>
  <c r="N57" i="9"/>
  <c r="P56" i="9"/>
  <c r="O56" i="9"/>
  <c r="N56" i="9"/>
  <c r="P55" i="9"/>
  <c r="O55" i="9"/>
  <c r="N55" i="9"/>
  <c r="P54" i="9"/>
  <c r="O54" i="9"/>
  <c r="N54" i="9"/>
  <c r="P53" i="9"/>
  <c r="O53" i="9"/>
  <c r="N53" i="9"/>
  <c r="P52" i="9"/>
  <c r="O52" i="9"/>
  <c r="N52" i="9"/>
  <c r="P51" i="9"/>
  <c r="O51" i="9"/>
  <c r="N51" i="9"/>
  <c r="P50" i="9"/>
  <c r="O50" i="9"/>
  <c r="N50" i="9"/>
  <c r="P49" i="9"/>
  <c r="O49" i="9"/>
  <c r="N49" i="9"/>
  <c r="P48" i="9"/>
  <c r="O48" i="9"/>
  <c r="N48" i="9"/>
  <c r="P47" i="9"/>
  <c r="O47" i="9"/>
  <c r="N47" i="9"/>
  <c r="P46" i="9"/>
  <c r="O46" i="9"/>
  <c r="N46" i="9"/>
  <c r="P45" i="9"/>
  <c r="O45" i="9"/>
  <c r="N45" i="9"/>
  <c r="P44" i="9"/>
  <c r="O44" i="9"/>
  <c r="N44" i="9"/>
  <c r="P43" i="9"/>
  <c r="O43" i="9"/>
  <c r="N43" i="9"/>
  <c r="P42" i="9"/>
  <c r="O42" i="9"/>
  <c r="N42" i="9"/>
  <c r="P41" i="9"/>
  <c r="O41" i="9"/>
  <c r="N41" i="9"/>
  <c r="P40" i="9"/>
  <c r="O40" i="9"/>
  <c r="N40" i="9"/>
  <c r="P39" i="9"/>
  <c r="O39" i="9"/>
  <c r="N39" i="9"/>
  <c r="P38" i="9"/>
  <c r="O38" i="9"/>
  <c r="N38" i="9"/>
  <c r="P37" i="9"/>
  <c r="O37" i="9"/>
  <c r="N37" i="9"/>
  <c r="P36" i="9"/>
  <c r="O36" i="9"/>
  <c r="N36" i="9"/>
  <c r="P35" i="9"/>
  <c r="O35" i="9"/>
  <c r="N35" i="9"/>
  <c r="P34" i="9"/>
  <c r="O34" i="9"/>
  <c r="N34" i="9"/>
  <c r="P33" i="9"/>
  <c r="O33" i="9"/>
  <c r="N33" i="9"/>
  <c r="P32" i="9"/>
  <c r="O32" i="9"/>
  <c r="N32" i="9"/>
  <c r="P31" i="9"/>
  <c r="O31" i="9"/>
  <c r="N31" i="9"/>
  <c r="P30" i="9"/>
  <c r="O30" i="9"/>
  <c r="N30" i="9"/>
  <c r="P29" i="9"/>
  <c r="O29" i="9"/>
  <c r="N29" i="9"/>
  <c r="P28" i="9"/>
  <c r="O28" i="9"/>
  <c r="N28" i="9"/>
  <c r="P27" i="9"/>
  <c r="O27" i="9"/>
  <c r="N27" i="9"/>
  <c r="P26" i="9"/>
  <c r="O26" i="9"/>
  <c r="N26" i="9"/>
  <c r="P25" i="9"/>
  <c r="O25" i="9"/>
  <c r="N25" i="9"/>
  <c r="P24" i="9"/>
  <c r="O24" i="9"/>
  <c r="N24" i="9"/>
  <c r="P23" i="9"/>
  <c r="O23" i="9"/>
  <c r="N23" i="9"/>
  <c r="P22" i="9"/>
  <c r="O22" i="9"/>
  <c r="N22" i="9"/>
  <c r="P21" i="9"/>
  <c r="O21" i="9"/>
  <c r="N21" i="9"/>
  <c r="P20" i="9"/>
  <c r="O20" i="9"/>
  <c r="N20" i="9"/>
  <c r="P19" i="9"/>
  <c r="O19" i="9"/>
  <c r="N19" i="9"/>
  <c r="P18" i="9"/>
  <c r="O18" i="9"/>
  <c r="N18" i="9"/>
  <c r="D97" i="1"/>
  <c r="C97" i="1"/>
  <c r="B97" i="1"/>
  <c r="D96" i="1"/>
  <c r="C96" i="1"/>
  <c r="B96" i="1"/>
  <c r="D95" i="1"/>
  <c r="C95" i="1"/>
  <c r="B95" i="1"/>
  <c r="D94" i="1"/>
  <c r="C94" i="1"/>
  <c r="B94" i="1"/>
  <c r="D93" i="1"/>
  <c r="C93" i="1"/>
  <c r="B93" i="1"/>
  <c r="D92" i="1"/>
  <c r="C92" i="1"/>
  <c r="B92" i="1"/>
  <c r="D91" i="1"/>
  <c r="C91" i="1"/>
  <c r="B91" i="1"/>
  <c r="D90" i="1"/>
  <c r="C90" i="1"/>
  <c r="B90" i="1"/>
  <c r="D89" i="1"/>
  <c r="C89" i="1"/>
  <c r="B89" i="1"/>
  <c r="D88" i="1"/>
  <c r="C88" i="1"/>
  <c r="B88" i="1"/>
  <c r="D87" i="1"/>
  <c r="C87" i="1"/>
  <c r="B87" i="1"/>
  <c r="D86" i="1"/>
  <c r="C86" i="1"/>
  <c r="B86" i="1"/>
  <c r="D85" i="1"/>
  <c r="C85" i="1"/>
  <c r="B85" i="1"/>
  <c r="D84" i="1"/>
  <c r="C84" i="1"/>
  <c r="B84" i="1"/>
  <c r="D83" i="1"/>
  <c r="C83" i="1"/>
  <c r="B83" i="1"/>
  <c r="D82" i="1"/>
  <c r="C82" i="1"/>
  <c r="B82" i="1"/>
  <c r="D81" i="1"/>
  <c r="C81" i="1"/>
  <c r="B81" i="1"/>
  <c r="D80" i="1"/>
  <c r="C80" i="1"/>
  <c r="B80" i="1"/>
  <c r="D79" i="1"/>
  <c r="C79" i="1"/>
  <c r="B79" i="1"/>
  <c r="D78" i="1"/>
  <c r="C78" i="1"/>
  <c r="B78" i="1"/>
  <c r="D77" i="1"/>
  <c r="C77" i="1"/>
  <c r="B77" i="1"/>
  <c r="D76" i="1"/>
  <c r="C76" i="1"/>
  <c r="B76" i="1"/>
  <c r="D75" i="1"/>
  <c r="C75" i="1"/>
  <c r="B75" i="1"/>
  <c r="D74" i="1"/>
  <c r="C74" i="1"/>
  <c r="B74" i="1"/>
  <c r="D73" i="1"/>
  <c r="C73" i="1"/>
  <c r="B73" i="1"/>
  <c r="D72" i="1"/>
  <c r="C72" i="1"/>
  <c r="B72" i="1"/>
  <c r="D71" i="1"/>
  <c r="C71" i="1"/>
  <c r="B71" i="1"/>
  <c r="D70" i="1"/>
  <c r="C70" i="1"/>
  <c r="B70" i="1"/>
  <c r="D69" i="1"/>
  <c r="C69" i="1"/>
  <c r="B69" i="1"/>
  <c r="D68" i="1"/>
  <c r="C68" i="1"/>
  <c r="B68" i="1"/>
  <c r="D67" i="1"/>
  <c r="C67" i="1"/>
  <c r="B67" i="1"/>
  <c r="D66" i="1"/>
  <c r="C66" i="1"/>
  <c r="B66" i="1"/>
  <c r="D65" i="1"/>
  <c r="C65" i="1"/>
  <c r="B65" i="1"/>
  <c r="D64" i="1"/>
  <c r="C64" i="1"/>
  <c r="B64" i="1"/>
  <c r="D63" i="1"/>
  <c r="C63" i="1"/>
  <c r="B63" i="1"/>
  <c r="D62" i="1"/>
  <c r="C62" i="1"/>
  <c r="B62" i="1"/>
  <c r="D61" i="1"/>
  <c r="C61" i="1"/>
  <c r="B61" i="1"/>
  <c r="D60" i="1"/>
  <c r="C60" i="1"/>
  <c r="B60" i="1"/>
  <c r="D59" i="1"/>
  <c r="C59" i="1"/>
  <c r="B59" i="1"/>
  <c r="D58" i="1"/>
  <c r="C58" i="1"/>
  <c r="B58" i="1"/>
  <c r="D57" i="1"/>
  <c r="C57" i="1"/>
  <c r="B57" i="1"/>
  <c r="D56" i="1"/>
  <c r="C56" i="1"/>
  <c r="B56" i="1"/>
  <c r="D55" i="1"/>
  <c r="C55" i="1"/>
  <c r="B55" i="1"/>
  <c r="D54" i="1"/>
  <c r="C54" i="1"/>
  <c r="B54" i="1"/>
  <c r="D53" i="1"/>
  <c r="C53" i="1"/>
  <c r="B53" i="1"/>
  <c r="D52" i="1"/>
  <c r="C52" i="1"/>
  <c r="B52" i="1"/>
  <c r="D51" i="1"/>
  <c r="C51" i="1"/>
  <c r="B51" i="1"/>
  <c r="D50" i="1"/>
  <c r="C50" i="1"/>
  <c r="B50" i="1"/>
  <c r="D49" i="1"/>
  <c r="C49" i="1"/>
  <c r="B49" i="1"/>
  <c r="D48" i="1"/>
  <c r="C48" i="1"/>
  <c r="B48" i="1"/>
  <c r="D47" i="1"/>
  <c r="C47" i="1"/>
  <c r="B47" i="1"/>
  <c r="D46" i="1"/>
  <c r="C46" i="1"/>
  <c r="B46" i="1"/>
  <c r="D45" i="1"/>
  <c r="C45" i="1"/>
  <c r="B45" i="1"/>
  <c r="D44" i="1"/>
  <c r="C44" i="1"/>
  <c r="B44" i="1"/>
  <c r="D43" i="1"/>
  <c r="C43" i="1"/>
  <c r="B43" i="1"/>
  <c r="D42" i="1"/>
  <c r="C42" i="1"/>
  <c r="B42" i="1"/>
  <c r="D41" i="1"/>
  <c r="C41" i="1"/>
  <c r="B41" i="1"/>
  <c r="D40" i="1"/>
  <c r="C40" i="1"/>
  <c r="B40" i="1"/>
  <c r="D39" i="1"/>
  <c r="C39" i="1"/>
  <c r="B39" i="1"/>
  <c r="D38" i="1"/>
  <c r="C38" i="1"/>
  <c r="B38" i="1"/>
  <c r="D37" i="1"/>
  <c r="C37" i="1"/>
  <c r="B37" i="1"/>
  <c r="D36" i="1"/>
  <c r="C36" i="1"/>
  <c r="B36" i="1"/>
  <c r="D35" i="1"/>
  <c r="C35" i="1"/>
  <c r="B35" i="1"/>
  <c r="D34" i="1"/>
  <c r="C34" i="1"/>
  <c r="B34" i="1"/>
  <c r="D33" i="1"/>
  <c r="C33" i="1"/>
  <c r="B33" i="1"/>
  <c r="D32" i="1"/>
  <c r="C32" i="1"/>
  <c r="B32" i="1"/>
  <c r="D31" i="1"/>
  <c r="C31" i="1"/>
  <c r="B31" i="1"/>
  <c r="D30" i="1"/>
  <c r="C30" i="1"/>
  <c r="B30" i="1"/>
  <c r="D29" i="1"/>
  <c r="C29" i="1"/>
  <c r="B29" i="1"/>
  <c r="D28" i="1"/>
  <c r="C28" i="1"/>
  <c r="B28" i="1"/>
  <c r="D27" i="1"/>
  <c r="C27" i="1"/>
  <c r="B27" i="1"/>
  <c r="D26" i="1"/>
  <c r="C26" i="1"/>
  <c r="B26" i="1"/>
  <c r="D25" i="1"/>
  <c r="C25" i="1"/>
  <c r="B25" i="1"/>
  <c r="D24" i="1"/>
  <c r="C24" i="1"/>
  <c r="B24" i="1"/>
  <c r="D23" i="1"/>
  <c r="C23" i="1"/>
  <c r="B23" i="1"/>
  <c r="D22" i="1"/>
  <c r="C22" i="1"/>
  <c r="B22" i="1"/>
  <c r="D21" i="1"/>
  <c r="C21" i="1"/>
  <c r="B21" i="1"/>
  <c r="D20" i="1"/>
  <c r="C20" i="1"/>
  <c r="B20" i="1"/>
  <c r="D19" i="1"/>
  <c r="C19" i="1"/>
  <c r="B19" i="1"/>
  <c r="H97" i="1"/>
  <c r="G97" i="1"/>
  <c r="F97" i="1"/>
  <c r="H96" i="1"/>
  <c r="G96" i="1"/>
  <c r="F96" i="1"/>
  <c r="H95" i="1"/>
  <c r="G95" i="1"/>
  <c r="F95" i="1"/>
  <c r="H94" i="1"/>
  <c r="G94" i="1"/>
  <c r="F94" i="1"/>
  <c r="H93" i="1"/>
  <c r="G93" i="1"/>
  <c r="F93" i="1"/>
  <c r="H92" i="1"/>
  <c r="G92" i="1"/>
  <c r="F92" i="1"/>
  <c r="H91" i="1"/>
  <c r="G91" i="1"/>
  <c r="F91" i="1"/>
  <c r="H90" i="1"/>
  <c r="G90" i="1"/>
  <c r="F90" i="1"/>
  <c r="H89" i="1"/>
  <c r="G89" i="1"/>
  <c r="F89" i="1"/>
  <c r="H88" i="1"/>
  <c r="G88" i="1"/>
  <c r="F88" i="1"/>
  <c r="H87" i="1"/>
  <c r="G87" i="1"/>
  <c r="F87" i="1"/>
  <c r="H86" i="1"/>
  <c r="G86" i="1"/>
  <c r="F86" i="1"/>
  <c r="H85" i="1"/>
  <c r="G85" i="1"/>
  <c r="F85" i="1"/>
  <c r="H84" i="1"/>
  <c r="G84" i="1"/>
  <c r="F84" i="1"/>
  <c r="H83" i="1"/>
  <c r="G83" i="1"/>
  <c r="F83" i="1"/>
  <c r="H82" i="1"/>
  <c r="G82" i="1"/>
  <c r="F82" i="1"/>
  <c r="H81" i="1"/>
  <c r="G81" i="1"/>
  <c r="F81" i="1"/>
  <c r="H80" i="1"/>
  <c r="G80" i="1"/>
  <c r="F80" i="1"/>
  <c r="H79" i="1"/>
  <c r="G79" i="1"/>
  <c r="F79" i="1"/>
  <c r="H78" i="1"/>
  <c r="G78" i="1"/>
  <c r="F78" i="1"/>
  <c r="H77" i="1"/>
  <c r="G77" i="1"/>
  <c r="F77" i="1"/>
  <c r="H76" i="1"/>
  <c r="G76" i="1"/>
  <c r="F76" i="1"/>
  <c r="H75" i="1"/>
  <c r="G75" i="1"/>
  <c r="F75" i="1"/>
  <c r="H74" i="1"/>
  <c r="G74" i="1"/>
  <c r="F74" i="1"/>
  <c r="H73" i="1"/>
  <c r="G73" i="1"/>
  <c r="F73" i="1"/>
  <c r="H72" i="1"/>
  <c r="G72" i="1"/>
  <c r="F72" i="1"/>
  <c r="H71" i="1"/>
  <c r="G71" i="1"/>
  <c r="F71" i="1"/>
  <c r="H70" i="1"/>
  <c r="G70" i="1"/>
  <c r="F70" i="1"/>
  <c r="H69" i="1"/>
  <c r="G69" i="1"/>
  <c r="F69" i="1"/>
  <c r="H68" i="1"/>
  <c r="G68" i="1"/>
  <c r="F68" i="1"/>
  <c r="H67" i="1"/>
  <c r="G67" i="1"/>
  <c r="F67" i="1"/>
  <c r="H66" i="1"/>
  <c r="G66" i="1"/>
  <c r="F66" i="1"/>
  <c r="H65" i="1"/>
  <c r="G65" i="1"/>
  <c r="F65" i="1"/>
  <c r="H64" i="1"/>
  <c r="G64" i="1"/>
  <c r="F64" i="1"/>
  <c r="H63" i="1"/>
  <c r="G63" i="1"/>
  <c r="F63" i="1"/>
  <c r="H62" i="1"/>
  <c r="G62" i="1"/>
  <c r="F62" i="1"/>
  <c r="H61" i="1"/>
  <c r="G61" i="1"/>
  <c r="F61" i="1"/>
  <c r="H60" i="1"/>
  <c r="G60" i="1"/>
  <c r="F60" i="1"/>
  <c r="H59" i="1"/>
  <c r="G59" i="1"/>
  <c r="F59" i="1"/>
  <c r="H58" i="1"/>
  <c r="G58" i="1"/>
  <c r="F58" i="1"/>
  <c r="H57" i="1"/>
  <c r="G57" i="1"/>
  <c r="F57" i="1"/>
  <c r="H56" i="1"/>
  <c r="G56" i="1"/>
  <c r="F56" i="1"/>
  <c r="H55" i="1"/>
  <c r="G55" i="1"/>
  <c r="F55" i="1"/>
  <c r="H54" i="1"/>
  <c r="G54" i="1"/>
  <c r="F54" i="1"/>
  <c r="H53" i="1"/>
  <c r="G53" i="1"/>
  <c r="F53" i="1"/>
  <c r="H52" i="1"/>
  <c r="G52" i="1"/>
  <c r="F52" i="1"/>
  <c r="H51" i="1"/>
  <c r="G51" i="1"/>
  <c r="F51" i="1"/>
  <c r="H50" i="1"/>
  <c r="G50" i="1"/>
  <c r="F50" i="1"/>
  <c r="H49" i="1"/>
  <c r="G49" i="1"/>
  <c r="F49" i="1"/>
  <c r="H48" i="1"/>
  <c r="G48" i="1"/>
  <c r="F48" i="1"/>
  <c r="H47" i="1"/>
  <c r="G47" i="1"/>
  <c r="F47" i="1"/>
  <c r="H46" i="1"/>
  <c r="G46" i="1"/>
  <c r="F46" i="1"/>
  <c r="H45" i="1"/>
  <c r="G45" i="1"/>
  <c r="F45" i="1"/>
  <c r="H44" i="1"/>
  <c r="G44" i="1"/>
  <c r="F44" i="1"/>
  <c r="H43" i="1"/>
  <c r="G43" i="1"/>
  <c r="F43" i="1"/>
  <c r="H42" i="1"/>
  <c r="G42" i="1"/>
  <c r="F42" i="1"/>
  <c r="H41" i="1"/>
  <c r="G41" i="1"/>
  <c r="F41" i="1"/>
  <c r="H40" i="1"/>
  <c r="G40" i="1"/>
  <c r="F40" i="1"/>
  <c r="H39" i="1"/>
  <c r="G39" i="1"/>
  <c r="F39" i="1"/>
  <c r="H38" i="1"/>
  <c r="G38" i="1"/>
  <c r="F38" i="1"/>
  <c r="H37" i="1"/>
  <c r="G37" i="1"/>
  <c r="F37" i="1"/>
  <c r="H36" i="1"/>
  <c r="G36" i="1"/>
  <c r="F36" i="1"/>
  <c r="H35" i="1"/>
  <c r="G35" i="1"/>
  <c r="F35" i="1"/>
  <c r="H34" i="1"/>
  <c r="G34" i="1"/>
  <c r="F34" i="1"/>
  <c r="H33" i="1"/>
  <c r="G33" i="1"/>
  <c r="F33" i="1"/>
  <c r="H32" i="1"/>
  <c r="G32" i="1"/>
  <c r="F32" i="1"/>
  <c r="H31" i="1"/>
  <c r="G31" i="1"/>
  <c r="F31" i="1"/>
  <c r="H30" i="1"/>
  <c r="G30" i="1"/>
  <c r="F30" i="1"/>
  <c r="H29" i="1"/>
  <c r="G29" i="1"/>
  <c r="F29" i="1"/>
  <c r="H28" i="1"/>
  <c r="G28" i="1"/>
  <c r="F28" i="1"/>
  <c r="H27" i="1"/>
  <c r="G27" i="1"/>
  <c r="F27" i="1"/>
  <c r="H26" i="1"/>
  <c r="G26" i="1"/>
  <c r="F26" i="1"/>
  <c r="H25" i="1"/>
  <c r="G25" i="1"/>
  <c r="F25" i="1"/>
  <c r="H24" i="1"/>
  <c r="G24" i="1"/>
  <c r="F24" i="1"/>
  <c r="H23" i="1"/>
  <c r="G23" i="1"/>
  <c r="F23" i="1"/>
  <c r="H22" i="1"/>
  <c r="G22" i="1"/>
  <c r="F22" i="1"/>
  <c r="H21" i="1"/>
  <c r="G21" i="1"/>
  <c r="F21" i="1"/>
  <c r="H20" i="1"/>
  <c r="G20" i="1"/>
  <c r="F20" i="1"/>
  <c r="H19" i="1"/>
  <c r="G19" i="1"/>
  <c r="F19" i="1"/>
  <c r="H18" i="1"/>
  <c r="G18" i="1"/>
  <c r="F18" i="1"/>
  <c r="L97" i="1"/>
  <c r="K97" i="1"/>
  <c r="J97" i="1"/>
  <c r="L96" i="1"/>
  <c r="K96" i="1"/>
  <c r="J96" i="1"/>
  <c r="L95" i="1"/>
  <c r="K95" i="1"/>
  <c r="J95" i="1"/>
  <c r="L94" i="1"/>
  <c r="K94" i="1"/>
  <c r="J94" i="1"/>
  <c r="L93" i="1"/>
  <c r="K93" i="1"/>
  <c r="J93" i="1"/>
  <c r="L92" i="1"/>
  <c r="K92" i="1"/>
  <c r="J92" i="1"/>
  <c r="L91" i="1"/>
  <c r="K91" i="1"/>
  <c r="J91" i="1"/>
  <c r="L90" i="1"/>
  <c r="K90" i="1"/>
  <c r="J90" i="1"/>
  <c r="L89" i="1"/>
  <c r="K89" i="1"/>
  <c r="J89" i="1"/>
  <c r="L88" i="1"/>
  <c r="K88" i="1"/>
  <c r="J88" i="1"/>
  <c r="L87" i="1"/>
  <c r="K87" i="1"/>
  <c r="J87" i="1"/>
  <c r="L86" i="1"/>
  <c r="K86" i="1"/>
  <c r="J86" i="1"/>
  <c r="L85" i="1"/>
  <c r="K85" i="1"/>
  <c r="J85" i="1"/>
  <c r="L84" i="1"/>
  <c r="K84" i="1"/>
  <c r="J84" i="1"/>
  <c r="L83" i="1"/>
  <c r="K83" i="1"/>
  <c r="J83" i="1"/>
  <c r="L82" i="1"/>
  <c r="K82" i="1"/>
  <c r="J82" i="1"/>
  <c r="L81" i="1"/>
  <c r="K81" i="1"/>
  <c r="J81" i="1"/>
  <c r="L80" i="1"/>
  <c r="K80" i="1"/>
  <c r="J80" i="1"/>
  <c r="L79" i="1"/>
  <c r="K79" i="1"/>
  <c r="J79" i="1"/>
  <c r="L78" i="1"/>
  <c r="K78" i="1"/>
  <c r="J78" i="1"/>
  <c r="L77" i="1"/>
  <c r="K77" i="1"/>
  <c r="J77" i="1"/>
  <c r="L76" i="1"/>
  <c r="K76" i="1"/>
  <c r="J76" i="1"/>
  <c r="L75" i="1"/>
  <c r="K75" i="1"/>
  <c r="J75" i="1"/>
  <c r="L74" i="1"/>
  <c r="K74" i="1"/>
  <c r="J74" i="1"/>
  <c r="L73" i="1"/>
  <c r="K73" i="1"/>
  <c r="J73" i="1"/>
  <c r="L72" i="1"/>
  <c r="K72" i="1"/>
  <c r="J72" i="1"/>
  <c r="L71" i="1"/>
  <c r="K71" i="1"/>
  <c r="J71" i="1"/>
  <c r="L70" i="1"/>
  <c r="K70" i="1"/>
  <c r="J70" i="1"/>
  <c r="L69" i="1"/>
  <c r="K69" i="1"/>
  <c r="J69" i="1"/>
  <c r="L68" i="1"/>
  <c r="K68" i="1"/>
  <c r="J68" i="1"/>
  <c r="L67" i="1"/>
  <c r="K67" i="1"/>
  <c r="J67" i="1"/>
  <c r="L66" i="1"/>
  <c r="K66" i="1"/>
  <c r="J66" i="1"/>
  <c r="L65" i="1"/>
  <c r="K65" i="1"/>
  <c r="J65" i="1"/>
  <c r="L64" i="1"/>
  <c r="K64" i="1"/>
  <c r="J64" i="1"/>
  <c r="L63" i="1"/>
  <c r="K63" i="1"/>
  <c r="J63" i="1"/>
  <c r="L62" i="1"/>
  <c r="K62" i="1"/>
  <c r="J62" i="1"/>
  <c r="L61" i="1"/>
  <c r="K61" i="1"/>
  <c r="J61" i="1"/>
  <c r="L60" i="1"/>
  <c r="K60" i="1"/>
  <c r="J60" i="1"/>
  <c r="L59" i="1"/>
  <c r="K59" i="1"/>
  <c r="J59" i="1"/>
  <c r="L58" i="1"/>
  <c r="K58" i="1"/>
  <c r="J58" i="1"/>
  <c r="L57" i="1"/>
  <c r="K57" i="1"/>
  <c r="J57" i="1"/>
  <c r="L56" i="1"/>
  <c r="K56" i="1"/>
  <c r="J56" i="1"/>
  <c r="L55" i="1"/>
  <c r="K55" i="1"/>
  <c r="J55" i="1"/>
  <c r="L54" i="1"/>
  <c r="K54" i="1"/>
  <c r="J54" i="1"/>
  <c r="L53" i="1"/>
  <c r="K53" i="1"/>
  <c r="J53" i="1"/>
  <c r="L52" i="1"/>
  <c r="K52" i="1"/>
  <c r="J52" i="1"/>
  <c r="L51" i="1"/>
  <c r="K51" i="1"/>
  <c r="J51" i="1"/>
  <c r="L50" i="1"/>
  <c r="K50" i="1"/>
  <c r="J50" i="1"/>
  <c r="L49" i="1"/>
  <c r="K49" i="1"/>
  <c r="J49" i="1"/>
  <c r="L48" i="1"/>
  <c r="K48" i="1"/>
  <c r="J48" i="1"/>
  <c r="L47" i="1"/>
  <c r="K47" i="1"/>
  <c r="J47" i="1"/>
  <c r="L46" i="1"/>
  <c r="K46" i="1"/>
  <c r="J46" i="1"/>
  <c r="L45" i="1"/>
  <c r="K45" i="1"/>
  <c r="J45" i="1"/>
  <c r="L44" i="1"/>
  <c r="K44" i="1"/>
  <c r="J44" i="1"/>
  <c r="L43" i="1"/>
  <c r="K43" i="1"/>
  <c r="J43" i="1"/>
  <c r="L42" i="1"/>
  <c r="K42" i="1"/>
  <c r="J42" i="1"/>
  <c r="L41" i="1"/>
  <c r="K41" i="1"/>
  <c r="J41" i="1"/>
  <c r="L40" i="1"/>
  <c r="K40" i="1"/>
  <c r="J40" i="1"/>
  <c r="L39" i="1"/>
  <c r="K39" i="1"/>
  <c r="J39" i="1"/>
  <c r="L38" i="1"/>
  <c r="K38" i="1"/>
  <c r="J38" i="1"/>
  <c r="L37" i="1"/>
  <c r="K37" i="1"/>
  <c r="J37" i="1"/>
  <c r="L36" i="1"/>
  <c r="K36" i="1"/>
  <c r="J36" i="1"/>
  <c r="L35" i="1"/>
  <c r="K35" i="1"/>
  <c r="J35" i="1"/>
  <c r="L34" i="1"/>
  <c r="K34" i="1"/>
  <c r="J34" i="1"/>
  <c r="L33" i="1"/>
  <c r="K33" i="1"/>
  <c r="J33" i="1"/>
  <c r="L32" i="1"/>
  <c r="K32" i="1"/>
  <c r="J32" i="1"/>
  <c r="L31" i="1"/>
  <c r="K31" i="1"/>
  <c r="J31" i="1"/>
  <c r="L30" i="1"/>
  <c r="K30" i="1"/>
  <c r="J30" i="1"/>
  <c r="L29" i="1"/>
  <c r="K29" i="1"/>
  <c r="J29" i="1"/>
  <c r="L28" i="1"/>
  <c r="K28" i="1"/>
  <c r="J28" i="1"/>
  <c r="L27" i="1"/>
  <c r="K27" i="1"/>
  <c r="J27" i="1"/>
  <c r="L26" i="1"/>
  <c r="K26" i="1"/>
  <c r="J26" i="1"/>
  <c r="L25" i="1"/>
  <c r="K25" i="1"/>
  <c r="J25" i="1"/>
  <c r="L24" i="1"/>
  <c r="K24" i="1"/>
  <c r="J24" i="1"/>
  <c r="L23" i="1"/>
  <c r="K23" i="1"/>
  <c r="L22" i="1"/>
  <c r="K22" i="1"/>
  <c r="J22" i="1"/>
  <c r="L21" i="1"/>
  <c r="K21" i="1"/>
  <c r="J21" i="1"/>
  <c r="L20" i="1"/>
  <c r="K20" i="1"/>
  <c r="J20" i="1"/>
  <c r="L19" i="1"/>
  <c r="K19" i="1"/>
  <c r="J19" i="1"/>
  <c r="L18" i="1"/>
  <c r="K18" i="1"/>
  <c r="J18" i="1"/>
  <c r="P97" i="1"/>
  <c r="O97" i="1"/>
  <c r="N97" i="1"/>
  <c r="P96" i="1"/>
  <c r="O96" i="1"/>
  <c r="N96" i="1"/>
  <c r="P95" i="1"/>
  <c r="O95" i="1"/>
  <c r="N95" i="1"/>
  <c r="P94" i="1"/>
  <c r="O94" i="1"/>
  <c r="N94" i="1"/>
  <c r="P93" i="1"/>
  <c r="O93" i="1"/>
  <c r="N93" i="1"/>
  <c r="P92" i="1"/>
  <c r="O92" i="1"/>
  <c r="N92" i="1"/>
  <c r="P91" i="1"/>
  <c r="O91" i="1"/>
  <c r="N91" i="1"/>
  <c r="P90" i="1"/>
  <c r="O90" i="1"/>
  <c r="N90" i="1"/>
  <c r="P89" i="1"/>
  <c r="O89" i="1"/>
  <c r="N89" i="1"/>
  <c r="P88" i="1"/>
  <c r="O88" i="1"/>
  <c r="N88" i="1"/>
  <c r="P87" i="1"/>
  <c r="O87" i="1"/>
  <c r="N87" i="1"/>
  <c r="P86" i="1"/>
  <c r="O86" i="1"/>
  <c r="N86" i="1"/>
  <c r="P85" i="1"/>
  <c r="O85" i="1"/>
  <c r="N85" i="1"/>
  <c r="P84" i="1"/>
  <c r="O84" i="1"/>
  <c r="N84" i="1"/>
  <c r="P83" i="1"/>
  <c r="O83" i="1"/>
  <c r="N83" i="1"/>
  <c r="P82" i="1"/>
  <c r="O82" i="1"/>
  <c r="N82" i="1"/>
  <c r="P81" i="1"/>
  <c r="O81" i="1"/>
  <c r="N81" i="1"/>
  <c r="P80" i="1"/>
  <c r="O80" i="1"/>
  <c r="N80" i="1"/>
  <c r="P79" i="1"/>
  <c r="O79" i="1"/>
  <c r="N79" i="1"/>
  <c r="P78" i="1"/>
  <c r="O78" i="1"/>
  <c r="N78" i="1"/>
  <c r="P77" i="1"/>
  <c r="O77" i="1"/>
  <c r="N77" i="1"/>
  <c r="P76" i="1"/>
  <c r="O76" i="1"/>
  <c r="N76" i="1"/>
  <c r="P75" i="1"/>
  <c r="O75" i="1"/>
  <c r="N75" i="1"/>
  <c r="P74" i="1"/>
  <c r="O74" i="1"/>
  <c r="N74" i="1"/>
  <c r="P73" i="1"/>
  <c r="O73" i="1"/>
  <c r="N73" i="1"/>
  <c r="P72" i="1"/>
  <c r="O72" i="1"/>
  <c r="N72" i="1"/>
  <c r="P71" i="1"/>
  <c r="O71" i="1"/>
  <c r="N71" i="1"/>
  <c r="P70" i="1"/>
  <c r="O70" i="1"/>
  <c r="N70" i="1"/>
  <c r="P69" i="1"/>
  <c r="O69" i="1"/>
  <c r="N69" i="1"/>
  <c r="P68" i="1"/>
  <c r="O68" i="1"/>
  <c r="N68" i="1"/>
  <c r="P67" i="1"/>
  <c r="O67" i="1"/>
  <c r="N67" i="1"/>
  <c r="P66" i="1"/>
  <c r="O66" i="1"/>
  <c r="N66" i="1"/>
  <c r="P65" i="1"/>
  <c r="O65" i="1"/>
  <c r="N65" i="1"/>
  <c r="P64" i="1"/>
  <c r="O64" i="1"/>
  <c r="N64" i="1"/>
  <c r="P63" i="1"/>
  <c r="O63" i="1"/>
  <c r="N63" i="1"/>
  <c r="P62" i="1"/>
  <c r="O62" i="1"/>
  <c r="N62" i="1"/>
  <c r="P61" i="1"/>
  <c r="O61" i="1"/>
  <c r="N61" i="1"/>
  <c r="P60" i="1"/>
  <c r="O60" i="1"/>
  <c r="N60" i="1"/>
  <c r="P59" i="1"/>
  <c r="O59" i="1"/>
  <c r="N59" i="1"/>
  <c r="P58" i="1"/>
  <c r="O58" i="1"/>
  <c r="N58" i="1"/>
  <c r="P57" i="1"/>
  <c r="O57" i="1"/>
  <c r="N57" i="1"/>
  <c r="P56" i="1"/>
  <c r="O56" i="1"/>
  <c r="N56" i="1"/>
  <c r="P55" i="1"/>
  <c r="O55" i="1"/>
  <c r="N55" i="1"/>
  <c r="P54" i="1"/>
  <c r="O54" i="1"/>
  <c r="N54" i="1"/>
  <c r="P53" i="1"/>
  <c r="O53" i="1"/>
  <c r="N53" i="1"/>
  <c r="P52" i="1"/>
  <c r="O52" i="1"/>
  <c r="N52" i="1"/>
  <c r="P51" i="1"/>
  <c r="O51" i="1"/>
  <c r="N51" i="1"/>
  <c r="P50" i="1"/>
  <c r="O50" i="1"/>
  <c r="N50" i="1"/>
  <c r="P49" i="1"/>
  <c r="O49" i="1"/>
  <c r="N49" i="1"/>
  <c r="P48" i="1"/>
  <c r="O48" i="1"/>
  <c r="N48" i="1"/>
  <c r="P47" i="1"/>
  <c r="O47" i="1"/>
  <c r="N47" i="1"/>
  <c r="P46" i="1"/>
  <c r="O46" i="1"/>
  <c r="N46" i="1"/>
  <c r="P45" i="1"/>
  <c r="O45" i="1"/>
  <c r="N45" i="1"/>
  <c r="P44" i="1"/>
  <c r="O44" i="1"/>
  <c r="N44" i="1"/>
  <c r="P43" i="1"/>
  <c r="O43" i="1"/>
  <c r="N43" i="1"/>
  <c r="P42" i="1"/>
  <c r="O42" i="1"/>
  <c r="N42" i="1"/>
  <c r="P41" i="1"/>
  <c r="O41" i="1"/>
  <c r="N41" i="1"/>
  <c r="P40" i="1"/>
  <c r="O40" i="1"/>
  <c r="N40" i="1"/>
  <c r="P39" i="1"/>
  <c r="O39" i="1"/>
  <c r="N39" i="1"/>
  <c r="P38" i="1"/>
  <c r="O38" i="1"/>
  <c r="N38" i="1"/>
  <c r="P37" i="1"/>
  <c r="O37" i="1"/>
  <c r="N37" i="1"/>
  <c r="P36" i="1"/>
  <c r="O36" i="1"/>
  <c r="N36" i="1"/>
  <c r="P35" i="1"/>
  <c r="O35" i="1"/>
  <c r="N35" i="1"/>
  <c r="P34" i="1"/>
  <c r="O34" i="1"/>
  <c r="N34" i="1"/>
  <c r="P33" i="1"/>
  <c r="O33" i="1"/>
  <c r="N33" i="1"/>
  <c r="P32" i="1"/>
  <c r="O32" i="1"/>
  <c r="N32" i="1"/>
  <c r="P31" i="1"/>
  <c r="O31" i="1"/>
  <c r="N31" i="1"/>
  <c r="P30" i="1"/>
  <c r="O30" i="1"/>
  <c r="N30" i="1"/>
  <c r="P29" i="1"/>
  <c r="O29" i="1"/>
  <c r="N29" i="1"/>
  <c r="P28" i="1"/>
  <c r="O28" i="1"/>
  <c r="N28" i="1"/>
  <c r="P27" i="1"/>
  <c r="O27" i="1"/>
  <c r="N27" i="1"/>
  <c r="P26" i="1"/>
  <c r="O26" i="1"/>
  <c r="N26" i="1"/>
  <c r="P25" i="1"/>
  <c r="O25" i="1"/>
  <c r="N25" i="1"/>
  <c r="P24" i="1"/>
  <c r="O24" i="1"/>
  <c r="N24" i="1"/>
  <c r="P23" i="1"/>
  <c r="O23" i="1"/>
  <c r="N23" i="1"/>
  <c r="P22" i="1"/>
  <c r="O22" i="1"/>
  <c r="N22" i="1"/>
  <c r="P21" i="1"/>
  <c r="O21" i="1"/>
  <c r="N21" i="1"/>
  <c r="P20" i="1"/>
  <c r="O20" i="1"/>
  <c r="N20" i="1"/>
  <c r="P19" i="1"/>
  <c r="O19" i="1"/>
  <c r="N19" i="1"/>
  <c r="P18" i="1"/>
  <c r="O18" i="1"/>
  <c r="N18" i="1"/>
</calcChain>
</file>

<file path=xl/sharedStrings.xml><?xml version="1.0" encoding="utf-8"?>
<sst xmlns="http://schemas.openxmlformats.org/spreadsheetml/2006/main" count="1145" uniqueCount="272">
  <si>
    <t>PO-Backlog</t>
  </si>
  <si>
    <t>#</t>
  </si>
  <si>
    <t>Projekttitel</t>
  </si>
  <si>
    <t>Größe</t>
  </si>
  <si>
    <t>Value-Bucket</t>
  </si>
  <si>
    <t>Quartal</t>
  </si>
  <si>
    <t>MoSCoW</t>
  </si>
  <si>
    <t>Team</t>
  </si>
  <si>
    <t>Std.</t>
  </si>
  <si>
    <t>Bemerkungen</t>
  </si>
  <si>
    <t>Doku - LogIn für Kunden</t>
  </si>
  <si>
    <t>Could</t>
  </si>
  <si>
    <t>WEB</t>
  </si>
  <si>
    <t>Auswertung zur Nutzung / Verhalten MILO</t>
  </si>
  <si>
    <t>Integration von MILO auf der Homepage</t>
  </si>
  <si>
    <t>Refactoring / Optimierung MILO</t>
  </si>
  <si>
    <t>Technical debt / Hypertron -&gt; GitHub -&gt; CI/CD</t>
  </si>
  <si>
    <t>Should</t>
  </si>
  <si>
    <t>auch als Basis für AI Maturity -&gt; Volaris</t>
  </si>
  <si>
    <t>Angular</t>
  </si>
  <si>
    <t>Must</t>
  </si>
  <si>
    <t>Andorid Anforderungen</t>
  </si>
  <si>
    <t>Q42026</t>
  </si>
  <si>
    <t>-&gt; relevant bis August 2026</t>
  </si>
  <si>
    <t>Grundlasten berücksichtigen [ SIG / Incidents / Framework / etc. ]</t>
  </si>
  <si>
    <t>W-&gt;D</t>
  </si>
  <si>
    <t>Webshop - abweichende Lieferadresse + extra Namensfeld</t>
  </si>
  <si>
    <t>Webshop - neues Feld Firmenname bei Gastfunktion</t>
  </si>
  <si>
    <t>Paypal - integration muss zeitnah erneuert werden</t>
  </si>
  <si>
    <t xml:space="preserve">DOKUMENTATION - Next Steps / V2? /  </t>
  </si>
  <si>
    <t>Reserv with Google / oder andere Anbindungen verbessern</t>
  </si>
  <si>
    <t>Jouney Gaps  (2)</t>
  </si>
  <si>
    <t>Prosegur Cash Automat API</t>
  </si>
  <si>
    <t>Bei der Walletanbindung von Gutscheinen, sollten wir auch gleich die Tickets berücksichtigen.</t>
  </si>
  <si>
    <t>UHD | Jahresrechnung</t>
  </si>
  <si>
    <t>Neue DATEV-Schnittstelle</t>
  </si>
  <si>
    <t>Subventionierungsmodul im Webshop / Retail / Inhouse Ordering | Kundenstamm 1 vs. Kundenstamm 2.0 -&gt; Mail von Dennis</t>
  </si>
  <si>
    <t>Eventfunktion auch für Gruppen aktiviert im IHO</t>
  </si>
  <si>
    <t>Adyen Tokenization und Network Tokenization -&gt; Mail von Lars / 27.01.2026</t>
  </si>
  <si>
    <t xml:space="preserve">Wunsch noch in 2026 (Q3?) | Ausarbeitung fehlt </t>
  </si>
  <si>
    <t>NoCoo auch in anderen Sprachen (primär englisch / gerne merhsprachig)</t>
  </si>
  <si>
    <t>Gekündigte Kunden dürfen nicht mehr auf das Portal zugreifen - Mail Sebastian 19.02.2026</t>
  </si>
  <si>
    <t>Den MyHypersoft-Login vor die Doku schalten. - Mail Sebastian 19.02.2026</t>
  </si>
  <si>
    <t>UHD - Pflichtfeld „Benutzer“ (Hinweis, wenn keine Mail -&gt; Eingabe)</t>
  </si>
  <si>
    <t>UHD - Ticket-Owner hinterlegen</t>
  </si>
  <si>
    <t>UHD - Autoresponder bei eingehenden Mails. (SLA)</t>
  </si>
  <si>
    <t>UHD - Incident-Antworten mit Company-Mail in CC (SLA) – An welche Mail?</t>
  </si>
  <si>
    <t>UHD - Parsing</t>
  </si>
  <si>
    <t>Optimierung Gruppenwarenkorb / Tutorial-Modus / inhouse Ordering / Menüreihenfolge</t>
  </si>
  <si>
    <t>QR-Code auf der Zwischenrechnung zum Zahlprozess (Chamäleon Berlin)</t>
  </si>
  <si>
    <t>NoCOO PAY</t>
  </si>
  <si>
    <t>Widerruf im Onlineshop (Pflicht ab 19.06.2026)</t>
  </si>
  <si>
    <t>Erst einmal nicht bzw. nur oberflächlcih prüfen und validiern.</t>
  </si>
  <si>
    <t>KI-Prompt-Interface für den Desktop-UHD. Eventuell mittels "MCP"</t>
  </si>
  <si>
    <t>Q32026</t>
  </si>
  <si>
    <t>Touchpoint-Lizensierung</t>
  </si>
  <si>
    <t>∑ Geschätzte Stunden gesamt</t>
  </si>
  <si>
    <t>Value: 🟢 Strengthen = strategische Stärkung  |  🔵 Innovation = neue Fähigkeiten  |  🔴 Repair = Fehler/Schulden beheben</t>
  </si>
  <si>
    <t>MoSCoW: Must = Pflicht · Should = Soll · Could = Optional · Won't = Ausgeschlossen   |   Team: WEB · Desktop · W-&gt;D · D-&gt;W (anteilig je 50% auf beide Teams)</t>
  </si>
  <si>
    <t>Größen: S &lt;10h · M 10–20h · L 20–40h · XL &gt;40h · XXL &gt;160h   |   Stunden = automatisch aus Größe   |   Kapazitäten (blaue Felder) = manuell</t>
  </si>
  <si>
    <t>ENTWICKLUNGS-ROADMAP  2026</t>
  </si>
  <si>
    <t>Q12026</t>
  </si>
  <si>
    <t>Q22026</t>
  </si>
  <si>
    <t>Kapazität</t>
  </si>
  <si>
    <t>Stunden</t>
  </si>
  <si>
    <t>Tage</t>
  </si>
  <si>
    <t>Gesamt verfügbar</t>
  </si>
  <si>
    <t>Team Desktop</t>
  </si>
  <si>
    <t>Team Web</t>
  </si>
  <si>
    <t>Grundlast-Verteilung (Ist)</t>
  </si>
  <si>
    <t>GL-Daily Meetings</t>
  </si>
  <si>
    <t>GL-Support/Incident</t>
  </si>
  <si>
    <t>GL-Updates</t>
  </si>
  <si>
    <t>GL-Verwaltung</t>
  </si>
  <si>
    <t>GL-Refinement</t>
  </si>
  <si>
    <t>GL-CodeReview</t>
  </si>
  <si>
    <t>GL-Technical Debt</t>
  </si>
  <si>
    <t>GL-Interne Tools</t>
  </si>
  <si>
    <t>Value</t>
  </si>
  <si>
    <t>∑ Geplante Stunden (Q12026)</t>
  </si>
  <si>
    <t>∑ Geplante Stunden (Q22026)</t>
  </si>
  <si>
    <t>∑ Geplante Stunden (Q32026)</t>
  </si>
  <si>
    <t>∑ Geplante Stunden (Q42026)</t>
  </si>
  <si>
    <t>ℹ️  Tage = manuelle Eingabe (blau) · Stunden = automatisch (Tage × 8)  |  Projekte: Zuweisung per Dropdown in Quartal-Blättern  |  🟡 Gelb = aus PO-Backlog</t>
  </si>
  <si>
    <t>🟢 Strengthen · 🔵 Innovation · 🔴 Repair   |   S &lt;10h · M 10–20h · L 20–40h · XL &gt;40h · XXL &gt;160h</t>
  </si>
  <si>
    <t>DASHBOARD — Roadmap 2026</t>
  </si>
  <si>
    <t>VALUE-BUCKET VERTEILUNG — Anzahl &amp; Prozent</t>
  </si>
  <si>
    <t>Q1</t>
  </si>
  <si>
    <t>Q2</t>
  </si>
  <si>
    <t>Q3</t>
  </si>
  <si>
    <t>Q4</t>
  </si>
  <si>
    <t>Gesamt Jahr</t>
  </si>
  <si>
    <t>Strengthen (Anzahl)</t>
  </si>
  <si>
    <t>Strengthen (%)</t>
  </si>
  <si>
    <t>Innovation (Anzahl)</t>
  </si>
  <si>
    <t>Innovation (%)</t>
  </si>
  <si>
    <t>Repair (Anzahl)</t>
  </si>
  <si>
    <t>Repair (%)</t>
  </si>
  <si>
    <t>Gesamt Projekte</t>
  </si>
  <si>
    <t>KAPAZITÄT vs. GEPLANTE STUNDEN — pro Quartal &amp; Team</t>
  </si>
  <si>
    <t>Kapazität Gesamt (h)</t>
  </si>
  <si>
    <t>→ Team Desktop (h)</t>
  </si>
  <si>
    <t>→ Team Web (h)</t>
  </si>
  <si>
    <t>Geplant Gesamt (h)</t>
  </si>
  <si>
    <t>→ Desktop geplant (h)</t>
  </si>
  <si>
    <t>→ Web geplant (h)</t>
  </si>
  <si>
    <t>→ W-&gt;D anteilig (h)</t>
  </si>
  <si>
    <t>→ D-&gt;W anteilig (h)</t>
  </si>
  <si>
    <t>Effektiv Desktop (h)</t>
  </si>
  <si>
    <t>Effektiv Web (h)</t>
  </si>
  <si>
    <t>Auslastung Desktop %</t>
  </si>
  <si>
    <t>Auslastung Web %</t>
  </si>
  <si>
    <t>MoSCoW VERTEILUNG — pro Quartal</t>
  </si>
  <si>
    <t>Gesamt</t>
  </si>
  <si>
    <t>Won't</t>
  </si>
  <si>
    <t>TEAM-ZUWEISUNG — Stunden pro Quartal</t>
  </si>
  <si>
    <t>Desktop</t>
  </si>
  <si>
    <t>D-&gt;W</t>
  </si>
  <si>
    <t>PO-BACKLOG — Einträge pro Quartal zugewiesen</t>
  </si>
  <si>
    <t>Aus PO-Backlog</t>
  </si>
  <si>
    <t>ℹ️  W-&gt;D und D-&gt;W werden je 50% auf Team Web und Team Desktop angerechnet  |  🟡 Gelbe Einträge auf der Roadmap = aus PO-Backlog  |  Kapazitäten aus Roadmap-Blatt</t>
  </si>
  <si>
    <t>Apple iOS SDK Anforderungen</t>
  </si>
  <si>
    <t>XL (&gt;40h)</t>
  </si>
  <si>
    <t>Repair</t>
  </si>
  <si>
    <t xml:space="preserve">mobilePeople.de - Vulnerabilitys Portal Live </t>
  </si>
  <si>
    <t>Webshop mit Newsletter Zustimmung</t>
  </si>
  <si>
    <t>M (10-20h)</t>
  </si>
  <si>
    <t>Strengthen</t>
  </si>
  <si>
    <t>Ticketshop mit Kalender &amp; Anzahl</t>
  </si>
  <si>
    <t xml:space="preserve">Fertig bis Ende März -&gt; Kunde hat schon Demo </t>
  </si>
  <si>
    <t>Optimierung SOT Sync</t>
  </si>
  <si>
    <t>L (20-40h)</t>
  </si>
  <si>
    <t>TWINT / Konstantin / HILTL</t>
  </si>
  <si>
    <t>OpenTable API</t>
  </si>
  <si>
    <t>Innovation</t>
  </si>
  <si>
    <t>Fertig von HS! Abstimmung auf der Internorga -&gt; liegt bei Erich &amp; Co.</t>
  </si>
  <si>
    <t>UHD | Incident Feedback an Kunde</t>
  </si>
  <si>
    <t>Start der Ausarbeitung in Q2 -&gt; Marco</t>
  </si>
  <si>
    <t>UHD | AI Agent - Support</t>
  </si>
  <si>
    <t>HeyRosi -&gt; API</t>
  </si>
  <si>
    <t>Reservierung fertig! Internorga | erst danach Planung für Bestellung -&gt; Q3</t>
  </si>
  <si>
    <t>Landingpage zur Registrierung</t>
  </si>
  <si>
    <t xml:space="preserve">3rd Party - Google Log In für APP </t>
  </si>
  <si>
    <t xml:space="preserve">SIG#156 Landingpage -&gt; Bonuspunkte anzeigen </t>
  </si>
  <si>
    <t>UI / Code - Portalmodernisierung | Benutzer</t>
  </si>
  <si>
    <t>XXL (&gt;160h)</t>
  </si>
  <si>
    <t>iCoupon</t>
  </si>
  <si>
    <t>Alex muss finalisieren (2-3 Stunden) dann zu Peter und/oder Farhad - mehrere Tage! Rabatte noch "unklar" und muss gff. nachgeliefert werden.</t>
  </si>
  <si>
    <t>Supportreduzierung: / Kontingent definieren</t>
  </si>
  <si>
    <t>Actian Umstellung</t>
  </si>
  <si>
    <t>ePOS mobile PRO V1</t>
  </si>
  <si>
    <t>Artikel-Tabellenbearbeitung auch Bilder (Shop) hinzufügen</t>
  </si>
  <si>
    <t>FRED?</t>
  </si>
  <si>
    <t>DSFinV-K: Verknüpfung von Bestellsignaturen</t>
  </si>
  <si>
    <t>FRED 
Die Bestellsignaturen werden beim Export noch nicht über die zwischenzeitlich eingefügte TraceID pro Buchung miteinander verknüpft,
da dieses System noch nicht komplett ist. Die Signaturen werden wie bisher über Datum/Uhrzeit/Artikelname verknüpft.</t>
  </si>
  <si>
    <t>GitHub - Umstellung</t>
  </si>
  <si>
    <t>Start nach Campaigns in Q2 ? Hypertron -&gt; Maik S.</t>
  </si>
  <si>
    <t>EFSTA - Anbindung (Spanien)</t>
  </si>
  <si>
    <t>DSFinV-K |  Startdatum der ersten Buchung</t>
  </si>
  <si>
    <t>Erst Peter -&gt; Fred</t>
  </si>
  <si>
    <t>Webhook Deliverect</t>
  </si>
  <si>
    <t>ist bereits zu 90% fertig -&gt; abschließen</t>
  </si>
  <si>
    <t>MwSt. Verteilung</t>
  </si>
  <si>
    <t>ePOS mobilePRO</t>
  </si>
  <si>
    <t>Protokollierung bei Lizenzzuweisungen. (Internal Audit)</t>
  </si>
  <si>
    <t>Trinkgeldentnahme signieren (ALEX-GRUPPE)</t>
  </si>
  <si>
    <t>Erst Fred und dann an Peter</t>
  </si>
  <si>
    <t>PLANUNG &amp; UMSETZUNG | ZOTT - neue Chipkarten</t>
  </si>
  <si>
    <t xml:space="preserve">DATEV | Lodas - Cloud MIgration ??? </t>
  </si>
  <si>
    <t>ALEX &amp; AI | Report Manager &lt;&gt; Peter</t>
  </si>
  <si>
    <t>SOT/Webshop &amp; POS | Grundlage / Basis der Kundenkarte QR-Code zur Identifikation</t>
  </si>
  <si>
    <t>Fahrplan von Sebastian (kurz) fehlt / Alternativ mit Niklas (oder anderem Domainenexperten) -&gt; Ausarbeitung via MO</t>
  </si>
  <si>
    <t>Benefits am SOT einlösen</t>
  </si>
  <si>
    <t>UHD | Rechnungsstellung in CHF</t>
  </si>
  <si>
    <t>3 Tage Frank
3 Tage Konstantin</t>
  </si>
  <si>
    <t xml:space="preserve">UHD | Filtermöglichkeit für „Priorisierung“ </t>
  </si>
  <si>
    <t>UHD | Bearbeiter ergänzen / anzeigen</t>
  </si>
  <si>
    <t xml:space="preserve">UHD | S, M, L im UH sichtbar/Filterbar. (Kritisch, Wichtig und Normal -&gt; sichtbar) </t>
  </si>
  <si>
    <t>Ausarbeitung Sebastian - End 03</t>
  </si>
  <si>
    <t>Loaylty | Bonussystem 2.0</t>
  </si>
  <si>
    <t>Wallet-Anbindung iOS &amp; Android | Web Gutscheine und Tickets</t>
  </si>
  <si>
    <t>API | Externer Kundenstamm</t>
  </si>
  <si>
    <t>Bidirektinaler Austausch der Registrierungen und Couponsdaten zwischen HS Kundenstamm und FW CRM</t>
  </si>
  <si>
    <t>Einmal einlösbare Coupons für die YourApp</t>
  </si>
  <si>
    <t>Erst nach -&gt; ID 9 SOT/Webshop &amp; POS</t>
  </si>
  <si>
    <t>ReFund Zahlung POS | Refund bei Adyen | Pfand-Gutschrift bei Kartenzahlung</t>
  </si>
  <si>
    <t>Abholmonitor (ggf. extern) | API</t>
  </si>
  <si>
    <t>Portal &amp; POS - UX Update (1)</t>
  </si>
  <si>
    <t>Artikelbestandteile im eCom abwählen</t>
  </si>
  <si>
    <t>KPI Dashboard mit KI</t>
  </si>
  <si>
    <t>Loyalty (4) | DataWarehouse und KI NOCH NICHT GEPLANT</t>
  </si>
  <si>
    <t>Jouney Gaps  (3)</t>
  </si>
  <si>
    <t>Artikelgenaue Übergabe an PMS-Interface (MEWS)</t>
  </si>
  <si>
    <t>ePOS Campaigns</t>
  </si>
  <si>
    <t>Deaktivierung von Order Channel an POS</t>
  </si>
  <si>
    <t>Kochlöffel!!!</t>
  </si>
  <si>
    <t>Accounting in YourAPP</t>
  </si>
  <si>
    <t>KHATIA???</t>
  </si>
  <si>
    <t>Signum Orga-Soft API erweitern</t>
  </si>
  <si>
    <t>Loyalty (3) | Couopons 2.0 NOCH NICHT GEPLANT</t>
  </si>
  <si>
    <t>Data Warehouse</t>
  </si>
  <si>
    <t>Paypal V2</t>
  </si>
  <si>
    <t>App-Systemstart beschleunigen / Code aktualisieren</t>
  </si>
  <si>
    <t>SIG - WAWI - Schnittstelle (Foodnotify / Apicbase) -&gt; CDS &amp; Vapiano</t>
  </si>
  <si>
    <t>???</t>
  </si>
  <si>
    <t>NoCOO Code am SOT mit optionalem Ausdruck / weitere Informationen müssen ergänzt werden (Superhelden, etc.) -&gt; Bewerten Q3</t>
  </si>
  <si>
    <t>Borland Code Migrieren in Visual Studio - bis Q4 muss das umgesetzt werden</t>
  </si>
  <si>
    <t>64 Bit Konvertierung</t>
  </si>
  <si>
    <t>Webshop und erweiterte Zeitsteuerung (Artikel nicht verfügbar, bei Bestellung morgens für Mittags) -&gt; CDS</t>
  </si>
  <si>
    <t>Q3 Release</t>
  </si>
  <si>
    <t>Digital Signage (Api)</t>
  </si>
  <si>
    <t>2-Faktor-Authentifizierung / Portal</t>
  </si>
  <si>
    <t>Webshop</t>
  </si>
  <si>
    <t>UHD - RMA Digitalisieren</t>
  </si>
  <si>
    <t>Ausarbeitung Sebastian</t>
  </si>
  <si>
    <t>Miles &amp; More - Integration</t>
  </si>
  <si>
    <t xml:space="preserve">Incident-Nr: 685474 | Fehler bei Bedienerwechsel </t>
  </si>
  <si>
    <t>Fertig!</t>
  </si>
  <si>
    <t>MobileEntry in das ePOS mobilePRO integrieren</t>
  </si>
  <si>
    <t>Titel</t>
  </si>
  <si>
    <t>Quelle</t>
  </si>
  <si>
    <t>helper_Q12026</t>
  </si>
  <si>
    <t>helper_Q22026</t>
  </si>
  <si>
    <t>helper_Q32026</t>
  </si>
  <si>
    <t>helper_Q42026</t>
  </si>
  <si>
    <t>helper_Backlog</t>
  </si>
  <si>
    <t>📥  PO-Backlog2027</t>
  </si>
  <si>
    <t>🗺️   ENTWICKLUNGS-ROADMAP  2027</t>
  </si>
  <si>
    <t>Q12027</t>
  </si>
  <si>
    <t>Q22027</t>
  </si>
  <si>
    <t>Q32027</t>
  </si>
  <si>
    <t>Q42027</t>
  </si>
  <si>
    <t>∑ Geplante Stunden (Q12027)</t>
  </si>
  <si>
    <t>∑ Geplante Stunden (Q22027)</t>
  </si>
  <si>
    <t>∑ Geplante Stunden (Q32027)</t>
  </si>
  <si>
    <t>∑ Geplante Stunden (Q42027)</t>
  </si>
  <si>
    <t>📊  DASHBOARD — Roadmap 2027</t>
  </si>
  <si>
    <t>📋  Q12027</t>
  </si>
  <si>
    <t>Neue Oracle Cloud- Schnittstelle auf Artikelebene</t>
  </si>
  <si>
    <t>Start Ausarbeitung -&gt; Q4 | Thorsten -&gt; Ax2</t>
  </si>
  <si>
    <t>Adyen Finance Plattform (AFP)</t>
  </si>
  <si>
    <t>Frühester Start Ausarbeitung -&gt; Q4</t>
  </si>
  <si>
    <t>Apaleo PMS</t>
  </si>
  <si>
    <t>ASA PMS | Artikelgenau XML-Schnittstelle / Protel?</t>
  </si>
  <si>
    <t>SOT Nach Verkaustelle (Statt HypCusNr) Optional</t>
  </si>
  <si>
    <t>Start Ausarbeitung in 2026</t>
  </si>
  <si>
    <t>📋  Q22027</t>
  </si>
  <si>
    <t>📋  Q32027</t>
  </si>
  <si>
    <t>📋  Q42027</t>
  </si>
  <si>
    <t>helper_Q12027</t>
  </si>
  <si>
    <t>helper_Q22027</t>
  </si>
  <si>
    <t>helper_Q32027</t>
  </si>
  <si>
    <t>helper_Q42027</t>
  </si>
  <si>
    <t>📥  PO-Backlog2028</t>
  </si>
  <si>
    <t>🗺️   ENTWICKLUNGS-ROADMAP  2028</t>
  </si>
  <si>
    <t>Q12028</t>
  </si>
  <si>
    <t>Q22028</t>
  </si>
  <si>
    <t>Q32028</t>
  </si>
  <si>
    <t>Q42028</t>
  </si>
  <si>
    <t>∑ Geplante Stunden (Q12028)</t>
  </si>
  <si>
    <t>∑ Geplante Stunden (Q22028)</t>
  </si>
  <si>
    <t>∑ Geplante Stunden (Q32028)</t>
  </si>
  <si>
    <t>∑ Geplante Stunden (Q42028)</t>
  </si>
  <si>
    <t>📊  DASHBOARD — Roadmap 2028</t>
  </si>
  <si>
    <t>📋  Q12028</t>
  </si>
  <si>
    <t>📋  Q22028</t>
  </si>
  <si>
    <t>📋  Q32028</t>
  </si>
  <si>
    <t>📋  Q42028</t>
  </si>
  <si>
    <t>helper_Q12028</t>
  </si>
  <si>
    <t>helper_Q22028</t>
  </si>
  <si>
    <t>helper_Q32028</t>
  </si>
  <si>
    <t>helper_Q42028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</si>
</sst>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h&quot;"/>
    <numFmt numFmtId="165" formatCode="0&quot; d&quot;"/>
    <numFmt numFmtId="166" formatCode="0.0%"/>
  </numFmts>
  <fonts count="45">
    <font>
      <sz val="11"/>
      <color theme="1"/>
      <name val="Calibri"/>
      <family val="2"/>
      <charset val="1"/>
    </font>
    <font>
      <b/>
      <sz val="22"/>
      <color rgb="FFFFFFFF"/>
      <name val="Arial"/>
      <charset val="1"/>
    </font>
    <font>
      <b/>
      <sz val="13"/>
      <color rgb="FFFFFFFF"/>
      <name val="Arial"/>
      <charset val="1"/>
    </font>
    <font>
      <b/>
      <sz val="9"/>
      <color rgb="FFFFFFFF"/>
      <name val="Arial"/>
      <charset val="1"/>
    </font>
    <font>
      <sz val="9"/>
      <color rgb="FF5A6A7A"/>
      <name val="Arial"/>
      <charset val="1"/>
    </font>
    <font>
      <b/>
      <sz val="10"/>
      <color rgb="FF1A6B3A"/>
      <name val="Arial"/>
      <charset val="1"/>
    </font>
    <font>
      <b/>
      <sz val="10"/>
      <color rgb="FF0000FF"/>
      <name val="Arial"/>
      <charset val="1"/>
    </font>
    <font>
      <b/>
      <sz val="9"/>
      <color rgb="FF0000FF"/>
      <name val="Arial"/>
      <charset val="1"/>
    </font>
    <font>
      <sz val="9"/>
      <color rgb="FF2C5A8A"/>
      <name val="Arial"/>
      <charset val="1"/>
    </font>
    <font>
      <b/>
      <sz val="10"/>
      <color rgb="FFFFFFFF"/>
      <name val="Arial"/>
      <charset val="1"/>
    </font>
    <font>
      <sz val="10"/>
      <color rgb="FF1E2A3A"/>
      <name val="Arial"/>
      <charset val="1"/>
    </font>
    <font>
      <b/>
      <sz val="11"/>
      <color rgb="FFFFFFFF"/>
      <name val="Arial"/>
      <charset val="1"/>
    </font>
    <font>
      <i/>
      <sz val="9"/>
      <color rgb="FF5A6A7A"/>
      <name val="Arial"/>
      <charset val="1"/>
    </font>
    <font>
      <b/>
      <sz val="20"/>
      <color rgb="FFFFFFFF"/>
      <name val="Arial"/>
      <charset val="1"/>
    </font>
    <font>
      <b/>
      <sz val="12"/>
      <color rgb="FFFFFFFF"/>
      <name val="Arial"/>
      <charset val="1"/>
    </font>
    <font>
      <b/>
      <sz val="11"/>
      <color rgb="FF1A6B3A"/>
      <name val="Arial"/>
      <charset val="1"/>
    </font>
    <font>
      <i/>
      <sz val="9"/>
      <color rgb="FF1A6B3A"/>
      <name val="Arial"/>
      <charset val="1"/>
    </font>
    <font>
      <b/>
      <sz val="10"/>
      <color rgb="FF1A3A8A"/>
      <name val="Arial"/>
      <charset val="1"/>
    </font>
    <font>
      <b/>
      <sz val="11"/>
      <color rgb="FF1A3A8A"/>
      <name val="Arial"/>
      <charset val="1"/>
    </font>
    <font>
      <i/>
      <sz val="9"/>
      <color rgb="FF1A3A8A"/>
      <name val="Arial"/>
      <charset val="1"/>
    </font>
    <font>
      <b/>
      <sz val="10"/>
      <color rgb="FF8A1A1A"/>
      <name val="Arial"/>
      <charset val="1"/>
    </font>
    <font>
      <b/>
      <sz val="11"/>
      <color rgb="FF8A1A1A"/>
      <name val="Arial"/>
      <charset val="1"/>
    </font>
    <font>
      <i/>
      <sz val="9"/>
      <color rgb="FF8A1A1A"/>
      <name val="Arial"/>
      <charset val="1"/>
    </font>
    <font>
      <b/>
      <sz val="10"/>
      <color rgb="FF1E2A3A"/>
      <name val="Arial"/>
      <charset val="1"/>
    </font>
    <font>
      <b/>
      <sz val="11"/>
      <color rgb="FF1E2A3A"/>
      <name val="Arial"/>
      <charset val="1"/>
    </font>
    <font>
      <b/>
      <sz val="16"/>
      <color rgb="FFFFFFFF"/>
      <name val="Arial"/>
      <charset val="1"/>
    </font>
    <font>
      <sz val="9"/>
      <color rgb="FF8090A8"/>
      <name val="Arial"/>
      <charset val="1"/>
    </font>
    <font>
      <sz val="10"/>
      <color rgb="FF1A6B3A"/>
      <name val="Arial"/>
      <charset val="1"/>
    </font>
    <font>
      <sz val="8"/>
      <color rgb="FFFFFFFF"/>
      <name val="Arial"/>
      <charset val="1"/>
    </font>
    <font>
      <b/>
      <sz val="22"/>
      <color rgb="FFFFFFFF"/>
      <name val="Aptos"/>
    </font>
    <font>
      <sz val="11"/>
      <color theme="1"/>
      <name val="Aptos"/>
    </font>
    <font>
      <b/>
      <sz val="13"/>
      <color rgb="FFFFFFFF"/>
      <name val="Aptos"/>
    </font>
    <font>
      <b/>
      <sz val="9"/>
      <color rgb="FFFFFFFF"/>
      <name val="Aptos"/>
    </font>
    <font>
      <sz val="9"/>
      <color rgb="FF5A6A7A"/>
      <name val="Aptos"/>
    </font>
    <font>
      <b/>
      <sz val="10"/>
      <color rgb="FF1A6B3A"/>
      <name val="Aptos"/>
    </font>
    <font>
      <b/>
      <sz val="10"/>
      <color rgb="FF0000FF"/>
      <name val="Aptos"/>
    </font>
    <font>
      <b/>
      <sz val="9"/>
      <color rgb="FF0000FF"/>
      <name val="Aptos"/>
    </font>
    <font>
      <sz val="9"/>
      <color rgb="FF2C5A8A"/>
      <name val="Aptos"/>
    </font>
    <font>
      <b/>
      <sz val="10"/>
      <color rgb="FFFFFFFF"/>
      <name val="Aptos"/>
    </font>
    <font>
      <sz val="10"/>
      <color rgb="FF1E2A3A"/>
      <name val="Aptos"/>
    </font>
    <font>
      <b/>
      <sz val="11"/>
      <color rgb="FFFFFFFF"/>
      <name val="Aptos"/>
    </font>
    <font>
      <i/>
      <sz val="9"/>
      <color rgb="FF5A6A7A"/>
      <name val="Aptos"/>
    </font>
    <font>
      <sz val="9"/>
      <color theme="1"/>
      <name val="Arial"/>
      <charset val="1"/>
    </font>
    <font>
      <sz val="10"/>
      <color theme="1"/>
      <name val="Arial"/>
      <charset val="1"/>
    </font>
    <font>
      <sz val="8"/>
      <color theme="1"/>
      <name val="Arial"/>
      <charset val="1"/>
    </font>
  </fonts>
  <fills count="36">
    <fill>
      <patternFill patternType="none"/>
    </fill>
    <fill>
      <patternFill patternType="gray125"/>
    </fill>
    <fill>
      <patternFill patternType="solid">
        <fgColor rgb="FF1E2A3A"/>
        <bgColor rgb="FF2C3E6B"/>
      </patternFill>
    </fill>
    <fill>
      <patternFill patternType="solid">
        <fgColor rgb="FF1A6B5E"/>
        <bgColor rgb="FF1A6B3A"/>
      </patternFill>
    </fill>
    <fill>
      <patternFill patternType="solid">
        <fgColor rgb="FF1A5C8A"/>
        <bgColor rgb="FF2C5A8A"/>
      </patternFill>
    </fill>
    <fill>
      <patternFill patternType="solid">
        <fgColor rgb="FF6B3A1A"/>
        <bgColor rgb="FF8A1A1A"/>
      </patternFill>
    </fill>
    <fill>
      <patternFill patternType="solid">
        <fgColor rgb="FF5A1A6B"/>
        <bgColor rgb="FF800080"/>
      </patternFill>
    </fill>
    <fill>
      <patternFill patternType="solid">
        <fgColor rgb="FF3D5A8A"/>
        <bgColor rgb="FF2C5A8A"/>
      </patternFill>
    </fill>
    <fill>
      <patternFill patternType="solid">
        <fgColor rgb="FFF0F4F8"/>
        <bgColor rgb="FFEEF2F7"/>
      </patternFill>
    </fill>
    <fill>
      <patternFill patternType="solid">
        <fgColor rgb="FFE8EDF4"/>
        <bgColor rgb="FFF0F0F0"/>
      </patternFill>
    </fill>
    <fill>
      <patternFill patternType="solid">
        <fgColor rgb="FF5A6A8A"/>
        <bgColor rgb="FF5A6A7A"/>
      </patternFill>
    </fill>
    <fill>
      <patternFill patternType="solid">
        <fgColor rgb="FFEEF2F7"/>
        <bgColor rgb="FFF0F4F8"/>
      </patternFill>
    </fill>
    <fill>
      <patternFill patternType="solid">
        <fgColor rgb="FF2C3E6B"/>
        <bgColor rgb="FF1A3A8A"/>
      </patternFill>
    </fill>
    <fill>
      <patternFill patternType="solid">
        <fgColor rgb="FFC8F0D8"/>
        <bgColor rgb="FFC8DCF5"/>
      </patternFill>
    </fill>
    <fill>
      <patternFill patternType="solid">
        <fgColor rgb="FFFAFAFA"/>
        <bgColor rgb="FFFFFFFF"/>
      </patternFill>
    </fill>
    <fill>
      <patternFill patternType="solid">
        <fgColor rgb="FFC8DCF5"/>
        <bgColor rgb="FFC8D4E0"/>
      </patternFill>
    </fill>
    <fill>
      <patternFill patternType="solid">
        <fgColor rgb="FFF5C8C8"/>
        <bgColor rgb="FFFFE0E0"/>
      </patternFill>
    </fill>
    <fill>
      <patternFill patternType="solid">
        <fgColor rgb="FFFFF8E1"/>
        <bgColor rgb="FFFFF3E0"/>
      </patternFill>
    </fill>
    <fill>
      <patternFill patternType="solid">
        <fgColor rgb="FFFFF3E0"/>
        <bgColor rgb="FFFFF8E1"/>
      </patternFill>
    </fill>
    <fill>
      <patternFill patternType="solid">
        <fgColor rgb="FFE8F5E9"/>
        <bgColor rgb="FFEEF2F7"/>
      </patternFill>
    </fill>
    <fill>
      <patternFill patternType="solid">
        <fgColor rgb="FFFBE9E7"/>
        <bgColor rgb="FFFCE4EC"/>
      </patternFill>
    </fill>
    <fill>
      <patternFill patternType="solid">
        <fgColor rgb="FFFFE0E0"/>
        <bgColor rgb="FFFCE4EC"/>
      </patternFill>
    </fill>
    <fill>
      <patternFill patternType="solid">
        <fgColor rgb="FFFFF3C8"/>
        <bgColor rgb="FFFFF3E0"/>
      </patternFill>
    </fill>
    <fill>
      <patternFill patternType="solid">
        <fgColor rgb="FFE0F0FF"/>
        <bgColor rgb="FFE3F2FD"/>
      </patternFill>
    </fill>
    <fill>
      <patternFill patternType="solid">
        <fgColor rgb="FFF0F0F0"/>
        <bgColor rgb="FFEEF2F7"/>
      </patternFill>
    </fill>
    <fill>
      <patternFill patternType="solid">
        <fgColor rgb="FFE3F2FD"/>
        <bgColor rgb="FFE0F0FF"/>
      </patternFill>
    </fill>
    <fill>
      <patternFill patternType="solid">
        <fgColor rgb="FFFCE4EC"/>
        <bgColor rgb="FFFBE9E7"/>
      </patternFill>
    </fill>
    <fill>
      <patternFill patternType="solid">
        <fgColor rgb="FFFFF176"/>
        <bgColor rgb="FFFFF3C8"/>
      </patternFill>
    </fill>
    <fill>
      <patternFill patternType="solid">
        <fgColor rgb="FFC00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7030A0"/>
        <bgColor indexed="64"/>
      </patternFill>
    </fill>
    <fill>
      <patternFill patternType="solid">
        <fgColor theme="7" tint="0.39997558519241921"/>
        <bgColor indexed="64"/>
      </patternFill>
    </fill>
    <fill>
      <patternFill patternType="solid">
        <fgColor rgb="FFFF0000"/>
        <bgColor indexed="64"/>
      </patternFill>
    </fill>
    <fill>
      <patternFill patternType="solid">
        <fgColor theme="5" tint="0.59999389629810485"/>
        <bgColor indexed="64"/>
      </patternFill>
    </fill>
    <fill>
      <patternFill patternType="solid">
        <fgColor rgb="FF92D050"/>
        <bgColor indexed="64"/>
      </patternFill>
    </fill>
  </fills>
  <borders count="2">
    <border>
      <left/>
      <right/>
      <top/>
      <bottom/>
      <diagonal/>
    </border>
    <border>
      <left style="thin">
        <color rgb="FFC8D4E0"/>
      </left>
      <right style="thin">
        <color rgb="FFC8D4E0"/>
      </right>
      <top style="thin">
        <color rgb="FFC8D4E0"/>
      </top>
      <bottom style="thin">
        <color rgb="FFC8D4E0"/>
      </bottom>
      <diagonal/>
    </border>
  </borders>
  <cellStyleXfs count="1">
    <xf numFmtId="0" fontId="0" fillId="0" borderId="0"/>
  </cellStyleXfs>
  <cellXfs count="162">
    <xf numFmtId="0" fontId="0" fillId="0" borderId="0" xfId="0"/>
    <xf numFmtId="0" fontId="3" fillId="7"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164" fontId="5" fillId="8" borderId="1" xfId="0" applyNumberFormat="1" applyFont="1" applyFill="1" applyBorder="1" applyAlignment="1">
      <alignment horizontal="center" vertical="center" wrapText="1"/>
    </xf>
    <xf numFmtId="165" fontId="6" fillId="8" borderId="1" xfId="0" applyNumberFormat="1" applyFont="1" applyFill="1" applyBorder="1" applyAlignment="1">
      <alignment horizontal="center" vertical="center" wrapText="1"/>
    </xf>
    <xf numFmtId="0" fontId="4" fillId="9" borderId="1" xfId="0" applyFont="1" applyFill="1" applyBorder="1" applyAlignment="1">
      <alignment horizontal="left" vertical="center" wrapText="1"/>
    </xf>
    <xf numFmtId="164" fontId="5" fillId="9" borderId="1" xfId="0" applyNumberFormat="1" applyFont="1" applyFill="1" applyBorder="1" applyAlignment="1">
      <alignment horizontal="center" vertical="center" wrapText="1"/>
    </xf>
    <xf numFmtId="165" fontId="6" fillId="9" borderId="1" xfId="0" applyNumberFormat="1" applyFont="1" applyFill="1" applyBorder="1" applyAlignment="1">
      <alignment horizontal="center" vertical="center" wrapText="1"/>
    </xf>
    <xf numFmtId="164" fontId="7" fillId="8" borderId="1" xfId="0" applyNumberFormat="1" applyFont="1" applyFill="1" applyBorder="1" applyAlignment="1">
      <alignment horizontal="center" vertical="center" wrapText="1"/>
    </xf>
    <xf numFmtId="9" fontId="8" fillId="8" borderId="1" xfId="0" applyNumberFormat="1" applyFont="1" applyFill="1" applyBorder="1" applyAlignment="1">
      <alignment horizontal="center" vertical="center" wrapText="1"/>
    </xf>
    <xf numFmtId="164" fontId="7" fillId="9" borderId="1" xfId="0" applyNumberFormat="1" applyFont="1" applyFill="1" applyBorder="1" applyAlignment="1">
      <alignment horizontal="center" vertical="center" wrapText="1"/>
    </xf>
    <xf numFmtId="9" fontId="8" fillId="9" borderId="1"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164" fontId="11" fillId="3" borderId="1" xfId="0" applyNumberFormat="1" applyFont="1" applyFill="1" applyBorder="1" applyAlignment="1">
      <alignment horizontal="center" vertical="center" wrapText="1"/>
    </xf>
    <xf numFmtId="164" fontId="11" fillId="4" borderId="1" xfId="0" applyNumberFormat="1" applyFont="1" applyFill="1" applyBorder="1" applyAlignment="1">
      <alignment horizontal="center" vertical="center" wrapText="1"/>
    </xf>
    <xf numFmtId="164" fontId="11" fillId="5" borderId="1" xfId="0" applyNumberFormat="1" applyFont="1" applyFill="1" applyBorder="1" applyAlignment="1">
      <alignment horizontal="center" vertical="center" wrapText="1"/>
    </xf>
    <xf numFmtId="164" fontId="11" fillId="6" borderId="1" xfId="0" applyNumberFormat="1" applyFont="1" applyFill="1" applyBorder="1" applyAlignment="1">
      <alignment horizontal="center" vertical="center" wrapText="1"/>
    </xf>
    <xf numFmtId="0" fontId="9" fillId="7"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0" fontId="15" fillId="13" borderId="1" xfId="0" applyFont="1" applyFill="1" applyBorder="1" applyAlignment="1">
      <alignment horizontal="center" vertical="center" wrapText="1"/>
    </xf>
    <xf numFmtId="0" fontId="16" fillId="14" borderId="1" xfId="0" applyFont="1" applyFill="1" applyBorder="1" applyAlignment="1">
      <alignment horizontal="left" vertical="center" wrapText="1"/>
    </xf>
    <xf numFmtId="166" fontId="16" fillId="14" borderId="1" xfId="0" applyNumberFormat="1" applyFont="1" applyFill="1" applyBorder="1" applyAlignment="1">
      <alignment horizontal="center" vertical="center" wrapText="1"/>
    </xf>
    <xf numFmtId="0" fontId="17" fillId="15" borderId="1" xfId="0" applyFont="1" applyFill="1" applyBorder="1" applyAlignment="1">
      <alignment horizontal="left" vertical="center" wrapText="1"/>
    </xf>
    <xf numFmtId="0" fontId="18" fillId="15" borderId="1" xfId="0" applyFont="1" applyFill="1" applyBorder="1" applyAlignment="1">
      <alignment horizontal="center" vertical="center" wrapText="1"/>
    </xf>
    <xf numFmtId="0" fontId="19" fillId="14" borderId="1" xfId="0" applyFont="1" applyFill="1" applyBorder="1" applyAlignment="1">
      <alignment horizontal="left" vertical="center" wrapText="1"/>
    </xf>
    <xf numFmtId="166" fontId="19" fillId="14" borderId="1" xfId="0" applyNumberFormat="1" applyFont="1" applyFill="1" applyBorder="1" applyAlignment="1">
      <alignment horizontal="center" vertical="center" wrapText="1"/>
    </xf>
    <xf numFmtId="0" fontId="20" fillId="16" borderId="1" xfId="0" applyFont="1" applyFill="1" applyBorder="1" applyAlignment="1">
      <alignment horizontal="left" vertical="center" wrapText="1"/>
    </xf>
    <xf numFmtId="0" fontId="21" fillId="16" borderId="1" xfId="0" applyFont="1" applyFill="1" applyBorder="1" applyAlignment="1">
      <alignment horizontal="center" vertical="center" wrapText="1"/>
    </xf>
    <xf numFmtId="0" fontId="22" fillId="14" borderId="1" xfId="0" applyFont="1" applyFill="1" applyBorder="1" applyAlignment="1">
      <alignment horizontal="left" vertical="center" wrapText="1"/>
    </xf>
    <xf numFmtId="166" fontId="22" fillId="14" borderId="1" xfId="0" applyNumberFormat="1" applyFont="1" applyFill="1" applyBorder="1" applyAlignment="1">
      <alignment horizontal="center" vertical="center" wrapText="1"/>
    </xf>
    <xf numFmtId="0" fontId="9"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164" fontId="10" fillId="8" borderId="1" xfId="0" applyNumberFormat="1" applyFont="1" applyFill="1" applyBorder="1" applyAlignment="1">
      <alignment horizontal="center" vertical="center" wrapText="1"/>
    </xf>
    <xf numFmtId="164" fontId="10" fillId="9" borderId="1" xfId="0" applyNumberFormat="1" applyFont="1" applyFill="1" applyBorder="1" applyAlignment="1">
      <alignment horizontal="center" vertical="center" wrapText="1"/>
    </xf>
    <xf numFmtId="0" fontId="10" fillId="17" borderId="1" xfId="0" applyFont="1" applyFill="1" applyBorder="1" applyAlignment="1">
      <alignment horizontal="left" vertical="center" wrapText="1"/>
    </xf>
    <xf numFmtId="164" fontId="10" fillId="17" borderId="1" xfId="0" applyNumberFormat="1" applyFont="1" applyFill="1" applyBorder="1" applyAlignment="1">
      <alignment horizontal="center" vertical="center" wrapText="1"/>
    </xf>
    <xf numFmtId="0" fontId="10" fillId="18" borderId="1" xfId="0" applyFont="1" applyFill="1" applyBorder="1" applyAlignment="1">
      <alignment horizontal="left" vertical="center" wrapText="1"/>
    </xf>
    <xf numFmtId="164" fontId="10" fillId="18" borderId="1" xfId="0" applyNumberFormat="1" applyFont="1" applyFill="1" applyBorder="1" applyAlignment="1">
      <alignment horizontal="center" vertical="center" wrapText="1"/>
    </xf>
    <xf numFmtId="0" fontId="23" fillId="19" borderId="1" xfId="0" applyFont="1" applyFill="1" applyBorder="1" applyAlignment="1">
      <alignment horizontal="left" vertical="center" wrapText="1"/>
    </xf>
    <xf numFmtId="164" fontId="23" fillId="19" borderId="1" xfId="0" applyNumberFormat="1" applyFont="1" applyFill="1" applyBorder="1" applyAlignment="1">
      <alignment horizontal="center" vertical="center" wrapText="1"/>
    </xf>
    <xf numFmtId="0" fontId="23" fillId="20" borderId="1" xfId="0" applyFont="1" applyFill="1" applyBorder="1" applyAlignment="1">
      <alignment horizontal="left" vertical="center" wrapText="1"/>
    </xf>
    <xf numFmtId="166" fontId="20" fillId="20" borderId="1" xfId="0" applyNumberFormat="1" applyFont="1" applyFill="1" applyBorder="1" applyAlignment="1">
      <alignment horizontal="center" vertical="center" wrapText="1"/>
    </xf>
    <xf numFmtId="0" fontId="23" fillId="21" borderId="1" xfId="0" applyFont="1" applyFill="1" applyBorder="1" applyAlignment="1">
      <alignment horizontal="left" vertical="center" wrapText="1"/>
    </xf>
    <xf numFmtId="0" fontId="24" fillId="21" borderId="1" xfId="0" applyFont="1" applyFill="1" applyBorder="1" applyAlignment="1">
      <alignment horizontal="center" vertical="center" wrapText="1"/>
    </xf>
    <xf numFmtId="0" fontId="23" fillId="22" borderId="1" xfId="0" applyFont="1" applyFill="1" applyBorder="1" applyAlignment="1">
      <alignment horizontal="left" vertical="center" wrapText="1"/>
    </xf>
    <xf numFmtId="0" fontId="24" fillId="22" borderId="1" xfId="0" applyFont="1" applyFill="1" applyBorder="1" applyAlignment="1">
      <alignment horizontal="center" vertical="center" wrapText="1"/>
    </xf>
    <xf numFmtId="0" fontId="23" fillId="23" borderId="1" xfId="0" applyFont="1" applyFill="1" applyBorder="1" applyAlignment="1">
      <alignment horizontal="left" vertical="center" wrapText="1"/>
    </xf>
    <xf numFmtId="0" fontId="24" fillId="23" borderId="1" xfId="0" applyFont="1" applyFill="1" applyBorder="1" applyAlignment="1">
      <alignment horizontal="center" vertical="center" wrapText="1"/>
    </xf>
    <xf numFmtId="0" fontId="23" fillId="24" borderId="1" xfId="0" applyFont="1" applyFill="1" applyBorder="1" applyAlignment="1">
      <alignment horizontal="left" vertical="center" wrapText="1"/>
    </xf>
    <xf numFmtId="0" fontId="24" fillId="24" borderId="1" xfId="0" applyFont="1" applyFill="1" applyBorder="1" applyAlignment="1">
      <alignment horizontal="center" vertical="center" wrapText="1"/>
    </xf>
    <xf numFmtId="0" fontId="23" fillId="25" borderId="1" xfId="0" applyFont="1" applyFill="1" applyBorder="1" applyAlignment="1">
      <alignment horizontal="left" vertical="center" wrapText="1"/>
    </xf>
    <xf numFmtId="164" fontId="10" fillId="25" borderId="1" xfId="0" applyNumberFormat="1" applyFont="1" applyFill="1" applyBorder="1" applyAlignment="1">
      <alignment horizontal="center" vertical="center" wrapText="1"/>
    </xf>
    <xf numFmtId="164" fontId="10" fillId="19" borderId="1" xfId="0" applyNumberFormat="1" applyFont="1" applyFill="1" applyBorder="1" applyAlignment="1">
      <alignment horizontal="center" vertical="center" wrapText="1"/>
    </xf>
    <xf numFmtId="0" fontId="23" fillId="18" borderId="1" xfId="0" applyFont="1" applyFill="1" applyBorder="1" applyAlignment="1">
      <alignment horizontal="left" vertical="center" wrapText="1"/>
    </xf>
    <xf numFmtId="0" fontId="23" fillId="26" borderId="1" xfId="0" applyFont="1" applyFill="1" applyBorder="1" applyAlignment="1">
      <alignment horizontal="left" vertical="center" wrapText="1"/>
    </xf>
    <xf numFmtId="164" fontId="10" fillId="26" borderId="1" xfId="0" applyNumberFormat="1" applyFont="1" applyFill="1" applyBorder="1" applyAlignment="1">
      <alignment horizontal="center" vertical="center" wrapText="1"/>
    </xf>
    <xf numFmtId="0" fontId="23" fillId="27" borderId="1" xfId="0" applyFont="1" applyFill="1" applyBorder="1" applyAlignment="1">
      <alignment horizontal="left" vertical="center" wrapText="1"/>
    </xf>
    <xf numFmtId="0" fontId="24" fillId="27"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164" fontId="27" fillId="8" borderId="1" xfId="0" applyNumberFormat="1" applyFont="1" applyFill="1" applyBorder="1" applyAlignment="1">
      <alignment horizontal="center" vertical="center" wrapText="1"/>
    </xf>
    <xf numFmtId="0" fontId="28" fillId="0" borderId="0" xfId="0" applyFont="1"/>
    <xf numFmtId="0" fontId="26" fillId="9" borderId="1" xfId="0" applyFont="1" applyFill="1" applyBorder="1" applyAlignment="1">
      <alignment horizontal="center" vertical="center" wrapText="1"/>
    </xf>
    <xf numFmtId="164" fontId="27" fillId="9" borderId="1" xfId="0" applyNumberFormat="1" applyFont="1" applyFill="1" applyBorder="1" applyAlignment="1">
      <alignment horizontal="center" vertical="center" wrapText="1"/>
    </xf>
    <xf numFmtId="0" fontId="10" fillId="3" borderId="1" xfId="0" applyFont="1" applyFill="1" applyBorder="1"/>
    <xf numFmtId="0" fontId="10" fillId="4" borderId="1" xfId="0" applyFont="1" applyFill="1" applyBorder="1"/>
    <xf numFmtId="0" fontId="10" fillId="5" borderId="1" xfId="0" applyFont="1" applyFill="1" applyBorder="1"/>
    <xf numFmtId="0" fontId="10" fillId="6" borderId="1" xfId="0" applyFont="1" applyFill="1" applyBorder="1"/>
    <xf numFmtId="0" fontId="30" fillId="0" borderId="0" xfId="0" applyFont="1"/>
    <xf numFmtId="0" fontId="32" fillId="7" borderId="1" xfId="0" applyFont="1" applyFill="1" applyBorder="1" applyAlignment="1">
      <alignment horizontal="center" vertical="center" wrapText="1"/>
    </xf>
    <xf numFmtId="0" fontId="33" fillId="8" borderId="1" xfId="0" applyFont="1" applyFill="1" applyBorder="1" applyAlignment="1">
      <alignment horizontal="left" vertical="center" wrapText="1"/>
    </xf>
    <xf numFmtId="164" fontId="34" fillId="8" borderId="1" xfId="0" applyNumberFormat="1" applyFont="1" applyFill="1" applyBorder="1" applyAlignment="1">
      <alignment horizontal="center" vertical="center" wrapText="1"/>
    </xf>
    <xf numFmtId="165" fontId="35" fillId="8" borderId="1" xfId="0" applyNumberFormat="1" applyFont="1" applyFill="1" applyBorder="1" applyAlignment="1">
      <alignment horizontal="center" vertical="center" wrapText="1"/>
    </xf>
    <xf numFmtId="0" fontId="33" fillId="9" borderId="1" xfId="0" applyFont="1" applyFill="1" applyBorder="1" applyAlignment="1">
      <alignment horizontal="left" vertical="center" wrapText="1"/>
    </xf>
    <xf numFmtId="164" fontId="34" fillId="9" borderId="1" xfId="0" applyNumberFormat="1" applyFont="1" applyFill="1" applyBorder="1" applyAlignment="1">
      <alignment horizontal="center" vertical="center" wrapText="1"/>
    </xf>
    <xf numFmtId="165" fontId="35" fillId="9" borderId="1" xfId="0" applyNumberFormat="1" applyFont="1" applyFill="1" applyBorder="1" applyAlignment="1">
      <alignment horizontal="center" vertical="center" wrapText="1"/>
    </xf>
    <xf numFmtId="164" fontId="36" fillId="8" borderId="1" xfId="0" applyNumberFormat="1" applyFont="1" applyFill="1" applyBorder="1" applyAlignment="1">
      <alignment horizontal="center" vertical="center" wrapText="1"/>
    </xf>
    <xf numFmtId="9" fontId="37" fillId="8" borderId="1" xfId="0" applyNumberFormat="1" applyFont="1" applyFill="1" applyBorder="1" applyAlignment="1">
      <alignment horizontal="center" vertical="center" wrapText="1"/>
    </xf>
    <xf numFmtId="164" fontId="36" fillId="9" borderId="1" xfId="0" applyNumberFormat="1" applyFont="1" applyFill="1" applyBorder="1" applyAlignment="1">
      <alignment horizontal="center" vertical="center" wrapText="1"/>
    </xf>
    <xf numFmtId="9" fontId="37" fillId="9" borderId="1" xfId="0" applyNumberFormat="1" applyFont="1" applyFill="1" applyBorder="1" applyAlignment="1">
      <alignment horizontal="center" vertical="center" wrapText="1"/>
    </xf>
    <xf numFmtId="0" fontId="38" fillId="3" borderId="1" xfId="0" applyFont="1" applyFill="1" applyBorder="1" applyAlignment="1">
      <alignment horizontal="center" vertical="center" wrapText="1"/>
    </xf>
    <xf numFmtId="0" fontId="38" fillId="4" borderId="1" xfId="0" applyFont="1" applyFill="1" applyBorder="1" applyAlignment="1">
      <alignment horizontal="center" vertical="center" wrapText="1"/>
    </xf>
    <xf numFmtId="0" fontId="38" fillId="5" borderId="1" xfId="0" applyFont="1" applyFill="1" applyBorder="1" applyAlignment="1">
      <alignment horizontal="center" vertical="center" wrapText="1"/>
    </xf>
    <xf numFmtId="0" fontId="38" fillId="6" borderId="1" xfId="0" applyFont="1" applyFill="1" applyBorder="1" applyAlignment="1">
      <alignment horizontal="center" vertical="center" wrapText="1"/>
    </xf>
    <xf numFmtId="0" fontId="39" fillId="8" borderId="1" xfId="0" applyFont="1" applyFill="1" applyBorder="1" applyAlignment="1">
      <alignment horizontal="left" vertical="center" wrapText="1"/>
    </xf>
    <xf numFmtId="0" fontId="39" fillId="8" borderId="1" xfId="0" applyFont="1" applyFill="1" applyBorder="1" applyAlignment="1">
      <alignment horizontal="center" vertical="center" wrapText="1"/>
    </xf>
    <xf numFmtId="0" fontId="39" fillId="9" borderId="1" xfId="0" applyFont="1" applyFill="1" applyBorder="1" applyAlignment="1">
      <alignment horizontal="left" vertical="center" wrapText="1"/>
    </xf>
    <xf numFmtId="0" fontId="39" fillId="9" borderId="1" xfId="0" applyFont="1" applyFill="1" applyBorder="1" applyAlignment="1">
      <alignment horizontal="center" vertical="center" wrapText="1"/>
    </xf>
    <xf numFmtId="164" fontId="40" fillId="3" borderId="1" xfId="0" applyNumberFormat="1" applyFont="1" applyFill="1" applyBorder="1" applyAlignment="1">
      <alignment horizontal="center" vertical="center" wrapText="1"/>
    </xf>
    <xf numFmtId="164" fontId="40" fillId="4" borderId="1" xfId="0" applyNumberFormat="1" applyFont="1" applyFill="1" applyBorder="1" applyAlignment="1">
      <alignment horizontal="center" vertical="center" wrapText="1"/>
    </xf>
    <xf numFmtId="164" fontId="40" fillId="5" borderId="1" xfId="0" applyNumberFormat="1" applyFont="1" applyFill="1" applyBorder="1" applyAlignment="1">
      <alignment horizontal="center" vertical="center" wrapText="1"/>
    </xf>
    <xf numFmtId="164" fontId="40" fillId="6" borderId="1" xfId="0" applyNumberFormat="1" applyFont="1" applyFill="1" applyBorder="1" applyAlignment="1">
      <alignment horizontal="center" vertical="center" wrapText="1"/>
    </xf>
    <xf numFmtId="0" fontId="39" fillId="9" borderId="1" xfId="0" applyFont="1" applyFill="1" applyBorder="1" applyAlignment="1">
      <alignment horizontal="left" vertical="top" wrapText="1"/>
    </xf>
    <xf numFmtId="0" fontId="39" fillId="8" borderId="1" xfId="0" applyFont="1" applyFill="1" applyBorder="1" applyAlignment="1">
      <alignment horizontal="left" vertical="top" wrapText="1"/>
    </xf>
    <xf numFmtId="0" fontId="26" fillId="29"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164" fontId="27" fillId="0" borderId="1" xfId="0" applyNumberFormat="1" applyFont="1" applyBorder="1" applyAlignment="1">
      <alignment horizontal="center" vertical="center" wrapText="1"/>
    </xf>
    <xf numFmtId="0" fontId="26" fillId="30" borderId="1" xfId="0" applyFont="1" applyFill="1" applyBorder="1" applyAlignment="1">
      <alignment horizontal="center" vertical="center" wrapText="1"/>
    </xf>
    <xf numFmtId="0" fontId="42" fillId="28" borderId="1" xfId="0" applyFont="1" applyFill="1" applyBorder="1" applyAlignment="1">
      <alignment horizontal="center" vertical="center" wrapText="1"/>
    </xf>
    <xf numFmtId="0" fontId="10" fillId="8" borderId="1" xfId="0" applyFont="1" applyFill="1" applyBorder="1" applyAlignment="1">
      <alignment horizontal="left" vertical="top"/>
    </xf>
    <xf numFmtId="0" fontId="26" fillId="31" borderId="1" xfId="0" applyFont="1" applyFill="1" applyBorder="1" applyAlignment="1">
      <alignment horizontal="center" vertical="center" wrapText="1"/>
    </xf>
    <xf numFmtId="0" fontId="26" fillId="32" borderId="1" xfId="0" applyFont="1" applyFill="1" applyBorder="1" applyAlignment="1">
      <alignment horizontal="center" vertical="center" wrapText="1"/>
    </xf>
    <xf numFmtId="0" fontId="25" fillId="5" borderId="0" xfId="0" applyFont="1" applyFill="1" applyAlignment="1">
      <alignment horizontal="center" vertical="center" wrapText="1"/>
    </xf>
    <xf numFmtId="0" fontId="9" fillId="5" borderId="1" xfId="0" applyFont="1" applyFill="1" applyBorder="1" applyAlignment="1">
      <alignment horizontal="right" vertical="center" wrapText="1"/>
    </xf>
    <xf numFmtId="0" fontId="12" fillId="11" borderId="0" xfId="0" applyFont="1" applyFill="1" applyAlignment="1">
      <alignment horizontal="left" vertical="center" wrapText="1"/>
    </xf>
    <xf numFmtId="0" fontId="25" fillId="3" borderId="0" xfId="0" applyFont="1" applyFill="1" applyAlignment="1">
      <alignment horizontal="center" vertical="center" wrapText="1"/>
    </xf>
    <xf numFmtId="0" fontId="9" fillId="3" borderId="1" xfId="0" applyFont="1" applyFill="1" applyBorder="1" applyAlignment="1">
      <alignment horizontal="right" vertical="center" wrapText="1"/>
    </xf>
    <xf numFmtId="0" fontId="29" fillId="2" borderId="0" xfId="0" applyFont="1" applyFill="1" applyAlignment="1">
      <alignment horizontal="center" vertical="center" wrapText="1"/>
    </xf>
    <xf numFmtId="0" fontId="31" fillId="3" borderId="0" xfId="0" applyFont="1" applyFill="1" applyAlignment="1">
      <alignment horizontal="center" vertical="center" wrapText="1"/>
    </xf>
    <xf numFmtId="0" fontId="31" fillId="4" borderId="0" xfId="0" applyFont="1" applyFill="1" applyAlignment="1">
      <alignment horizontal="center" vertical="center" wrapText="1"/>
    </xf>
    <xf numFmtId="0" fontId="31" fillId="5" borderId="0" xfId="0" applyFont="1" applyFill="1" applyAlignment="1">
      <alignment horizontal="center" vertical="center" wrapText="1"/>
    </xf>
    <xf numFmtId="0" fontId="31" fillId="6" borderId="0" xfId="0" applyFont="1" applyFill="1" applyAlignment="1">
      <alignment horizontal="center" vertical="center" wrapText="1"/>
    </xf>
    <xf numFmtId="0" fontId="32" fillId="10" borderId="0" xfId="0" applyFont="1" applyFill="1" applyAlignment="1">
      <alignment horizontal="center" vertical="center" wrapText="1"/>
    </xf>
    <xf numFmtId="0" fontId="41" fillId="11" borderId="0" xfId="0" applyFont="1" applyFill="1" applyAlignment="1">
      <alignment horizontal="left" vertical="center" wrapText="1"/>
    </xf>
    <xf numFmtId="0" fontId="32" fillId="3" borderId="1" xfId="0" applyFont="1" applyFill="1" applyBorder="1" applyAlignment="1">
      <alignment horizontal="right" vertical="center" wrapText="1"/>
    </xf>
    <xf numFmtId="0" fontId="32" fillId="4" borderId="1" xfId="0" applyFont="1" applyFill="1" applyBorder="1" applyAlignment="1">
      <alignment horizontal="right" vertical="center" wrapText="1"/>
    </xf>
    <xf numFmtId="0" fontId="32" fillId="5" borderId="1" xfId="0" applyFont="1" applyFill="1" applyBorder="1" applyAlignment="1">
      <alignment horizontal="right" vertical="center" wrapText="1"/>
    </xf>
    <xf numFmtId="0" fontId="32" fillId="6" borderId="1" xfId="0" applyFont="1" applyFill="1" applyBorder="1" applyAlignment="1">
      <alignment horizontal="right" vertical="center" wrapText="1"/>
    </xf>
    <xf numFmtId="0" fontId="14" fillId="12" borderId="0" xfId="0" applyFont="1" applyFill="1" applyAlignment="1">
      <alignment horizontal="center" vertical="center" wrapText="1"/>
    </xf>
    <xf numFmtId="0" fontId="13" fillId="2" borderId="0" xfId="0" applyFont="1" applyFill="1" applyAlignment="1">
      <alignment horizontal="center" vertical="center" wrapText="1"/>
    </xf>
    <xf numFmtId="0" fontId="25" fillId="4" borderId="0" xfId="0" applyFont="1" applyFill="1" applyAlignment="1">
      <alignment horizontal="center" vertical="center" wrapText="1"/>
    </xf>
    <xf numFmtId="0" fontId="9" fillId="4" borderId="1" xfId="0" applyFont="1" applyFill="1" applyBorder="1" applyAlignment="1">
      <alignment horizontal="right" vertical="center" wrapText="1"/>
    </xf>
    <xf numFmtId="0" fontId="25" fillId="6" borderId="0" xfId="0" applyFont="1" applyFill="1" applyAlignment="1">
      <alignment horizontal="center" vertical="center" wrapText="1"/>
    </xf>
    <xf numFmtId="0" fontId="9" fillId="6" borderId="1" xfId="0" applyFont="1" applyFill="1" applyBorder="1" applyAlignment="1">
      <alignment horizontal="right"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3" fillId="10" borderId="0" xfId="0" applyFont="1" applyFill="1" applyAlignment="1">
      <alignment horizontal="center" vertical="center" wrapText="1"/>
    </xf>
    <xf numFmtId="0" fontId="3" fillId="3" borderId="1" xfId="0" applyFont="1" applyFill="1" applyBorder="1" applyAlignment="1">
      <alignment horizontal="right" vertical="center" wrapText="1"/>
    </xf>
    <xf numFmtId="0" fontId="3" fillId="4" borderId="1" xfId="0" applyFont="1" applyFill="1" applyBorder="1" applyAlignment="1">
      <alignment horizontal="right" vertical="center" wrapText="1"/>
    </xf>
    <xf numFmtId="0" fontId="3" fillId="5" borderId="1" xfId="0" applyFont="1" applyFill="1" applyBorder="1" applyAlignment="1">
      <alignment horizontal="right" vertical="center" wrapText="1"/>
    </xf>
    <xf numFmtId="0" fontId="3" fillId="6" borderId="1" xfId="0" applyFont="1" applyFill="1" applyBorder="1" applyAlignment="1">
      <alignment horizontal="right" vertical="center" wrapText="1"/>
    </xf>
    <xf numFmtId="0" fontId="26" fillId="33" borderId="1" xfId="0" applyFont="1" applyFill="1" applyBorder="1" applyAlignment="1">
      <alignment horizontal="center" vertical="center" wrapText="1"/>
    </xf>
    <xf numFmtId="0" fontId="26" fillId="34" borderId="1" xfId="0" applyFont="1" applyFill="1" applyBorder="1" applyAlignment="1">
      <alignment horizontal="center" vertical="center" wrapText="1"/>
    </xf>
    <xf numFmtId="0" fontId="26" fillId="35" borderId="1" xfId="0" applyFont="1" applyFill="1" applyBorder="1" applyAlignment="1">
      <alignment horizontal="center" vertical="center" wrapText="1"/>
    </xf>
    <xf numFmtId="0" fontId="10" fillId="35" borderId="1" xfId="0" applyFont="1" applyFill="1" applyBorder="1" applyAlignment="1">
      <alignment horizontal="left" vertical="center" wrapText="1"/>
    </xf>
    <xf numFmtId="0" fontId="10" fillId="35" borderId="1" xfId="0" applyFont="1" applyFill="1" applyBorder="1" applyAlignment="1">
      <alignment horizontal="center" vertical="center" wrapText="1"/>
    </xf>
    <xf numFmtId="164" fontId="27" fillId="35" borderId="1" xfId="0" applyNumberFormat="1" applyFont="1" applyFill="1" applyBorder="1" applyAlignment="1">
      <alignment horizontal="center" vertical="center" wrapText="1"/>
    </xf>
    <xf numFmtId="0" fontId="43" fillId="8" borderId="1" xfId="0" applyFont="1" applyFill="1" applyBorder="1" applyAlignment="1">
      <alignment horizontal="left" vertical="center" wrapText="1"/>
    </xf>
    <xf numFmtId="0" fontId="43" fillId="8"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164" fontId="43" fillId="8" borderId="1" xfId="0" applyNumberFormat="1" applyFont="1" applyFill="1" applyBorder="1" applyAlignment="1">
      <alignment horizontal="center" vertical="center" wrapText="1"/>
    </xf>
    <xf numFmtId="0" fontId="44" fillId="0" borderId="0" xfId="0" applyFont="1"/>
    <xf numFmtId="0" fontId="0" fillId="0" borderId="0" xfId="0" applyFont="1"/>
    <xf numFmtId="0" fontId="42" fillId="33" borderId="1" xfId="0" applyFont="1" applyFill="1" applyBorder="1" applyAlignment="1">
      <alignment horizontal="center" vertical="center" wrapText="1"/>
    </xf>
    <xf numFmtId="0" fontId="30" fillId="3" borderId="0" xfId="0" applyFont="1" applyFill="1" applyAlignment="1"/>
    <xf numFmtId="0" fontId="30" fillId="4" borderId="0" xfId="0" applyFont="1" applyFill="1" applyAlignment="1"/>
    <xf numFmtId="0" fontId="30" fillId="5" borderId="0" xfId="0" applyFont="1" applyFill="1" applyAlignment="1"/>
    <xf numFmtId="0" fontId="30" fillId="6" borderId="0" xfId="0" applyFont="1" applyFill="1" applyAlignment="1"/>
    <xf numFmtId="0" fontId="0" fillId="3" borderId="0" xfId="0" applyFill="1" applyAlignment="1"/>
    <xf numFmtId="0" fontId="0" fillId="4" borderId="0" xfId="0" applyFill="1" applyAlignment="1"/>
    <xf numFmtId="0" fontId="0" fillId="5" borderId="0" xfId="0" applyFill="1" applyAlignment="1"/>
    <xf numFmtId="0" fontId="0" fillId="6" borderId="0" xfId="0" applyFill="1" applyAlignment="1"/>
  </cellXfs>
  <cellStyles count="1">
    <cellStyle name="Standard" xfId="0" builtinId="0"/>
  </cellStyles>
  <dxfs count="122">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FF176"/>
        </patternFill>
      </fill>
    </dxf>
    <dxf>
      <fill>
        <patternFill>
          <bgColor rgb="FFFFF176"/>
        </patternFill>
      </fill>
    </dxf>
    <dxf>
      <fill>
        <patternFill>
          <bgColor rgb="FFFFF176"/>
        </patternFill>
      </fill>
    </dxf>
    <dxf>
      <fill>
        <patternFill>
          <bgColor rgb="FFFFF176"/>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FF176"/>
        </patternFill>
      </fill>
    </dxf>
    <dxf>
      <fill>
        <patternFill>
          <bgColor rgb="FFFFF176"/>
        </patternFill>
      </fill>
    </dxf>
    <dxf>
      <fill>
        <patternFill>
          <bgColor rgb="FFFFF176"/>
        </patternFill>
      </fill>
    </dxf>
    <dxf>
      <fill>
        <patternFill>
          <bgColor rgb="FFFFF176"/>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ont>
        <name val="Aptos"/>
      </font>
    </dxf>
    <dxf>
      <font>
        <name val="Aptos"/>
      </font>
    </dxf>
    <dxf>
      <font>
        <name val="Aptos"/>
      </font>
      <alignment vertical="top"/>
    </dxf>
    <dxf>
      <font>
        <name val="Aptos"/>
      </font>
    </dxf>
    <dxf>
      <font>
        <name val="Aptos"/>
      </font>
    </dxf>
    <dxf>
      <font>
        <name val="Aptos"/>
      </font>
    </dxf>
    <dxf>
      <font>
        <name val="Aptos"/>
      </font>
    </dxf>
    <dxf>
      <font>
        <name val="Aptos"/>
      </font>
      <alignment vertical="top"/>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ill>
        <patternFill>
          <bgColor rgb="FFFFF176"/>
        </patternFill>
      </fill>
    </dxf>
    <dxf>
      <fill>
        <patternFill>
          <bgColor rgb="FFFFF176"/>
        </patternFill>
      </fill>
    </dxf>
    <dxf>
      <fill>
        <patternFill>
          <bgColor rgb="FFFFF176"/>
        </patternFill>
      </fill>
    </dxf>
    <dxf>
      <fill>
        <patternFill>
          <bgColor rgb="FFFFF176"/>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
      <fill>
        <patternFill>
          <bgColor rgb="FFF5C8C8"/>
        </patternFill>
      </fill>
    </dxf>
    <dxf>
      <fill>
        <patternFill>
          <bgColor rgb="FFC8DCF5"/>
        </patternFill>
      </fill>
    </dxf>
    <dxf>
      <fill>
        <patternFill>
          <bgColor rgb="FFC8F0D8"/>
        </patternFill>
      </fill>
    </dxf>
  </dxfs>
  <tableStyles count="0" defaultTableStyle="TableStyleMedium2" defaultPivotStyle="PivotStyleLight16"/>
  <colors>
    <indexedColors>
      <rgbColor rgb="FF000000"/>
      <rgbColor rgb="FFFFFFFF"/>
      <rgbColor rgb="FFFF0000"/>
      <rgbColor rgb="FFF0F4F8"/>
      <rgbColor rgb="FF0000FF"/>
      <rgbColor rgb="FFFFF3C8"/>
      <rgbColor rgb="FFFCE4EC"/>
      <rgbColor rgb="FFE8EDF4"/>
      <rgbColor rgb="FF8A1A1A"/>
      <rgbColor rgb="FF1A6B3A"/>
      <rgbColor rgb="FF000080"/>
      <rgbColor rgb="FF8AA64F"/>
      <rgbColor rgb="FFFAFAFA"/>
      <rgbColor rgb="FF1A6B5E"/>
      <rgbColor rgb="FFB8CD97"/>
      <rgbColor rgb="FF878787"/>
      <rgbColor rgb="FF93A9CE"/>
      <rgbColor rgb="FFAB4744"/>
      <rgbColor rgb="FFFFF8E1"/>
      <rgbColor rgb="FFE0F0FF"/>
      <rgbColor rgb="FF5A1A6B"/>
      <rgbColor rgb="FFDC853E"/>
      <rgbColor rgb="FF1A5C8A"/>
      <rgbColor rgb="FFC8D4E0"/>
      <rgbColor rgb="FF000080"/>
      <rgbColor rgb="FFFBE9E7"/>
      <rgbColor rgb="FFFFF3E0"/>
      <rgbColor rgb="FFEEF2F7"/>
      <rgbColor rgb="FF800080"/>
      <rgbColor rgb="FF800000"/>
      <rgbColor rgb="FF2C5A8A"/>
      <rgbColor rgb="FF0000FF"/>
      <rgbColor rgb="FFF0F0F0"/>
      <rgbColor rgb="FFE3F2FD"/>
      <rgbColor rgb="FFC8F0D8"/>
      <rgbColor rgb="FFFFF176"/>
      <rgbColor rgb="FF92C3D5"/>
      <rgbColor rgb="FFF8B590"/>
      <rgbColor rgb="FFA99BBD"/>
      <rgbColor rgb="FFF5C8C8"/>
      <rgbColor rgb="FF4672A8"/>
      <rgbColor rgb="FFC8DCF5"/>
      <rgbColor rgb="FFE8F5E9"/>
      <rgbColor rgb="FFD9D9D9"/>
      <rgbColor rgb="FFD09493"/>
      <rgbColor rgb="FFFFE0E0"/>
      <rgbColor rgb="FF5A6A8A"/>
      <rgbColor rgb="FF8090A8"/>
      <rgbColor rgb="FF2C3E6B"/>
      <rgbColor rgb="FF4299B0"/>
      <rgbColor rgb="FF5A6A7A"/>
      <rgbColor rgb="FF3D5A8A"/>
      <rgbColor rgb="FF6B3A1A"/>
      <rgbColor rgb="FF725990"/>
      <rgbColor rgb="FF1A3A8A"/>
      <rgbColor rgb="FF1E2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Value-Bucket Verteilung 2026</a:t>
            </a:r>
          </a:p>
        </c:rich>
      </c:tx>
      <c:overlay val="0"/>
      <c:spPr>
        <a:noFill/>
        <a:ln w="0">
          <a:noFill/>
        </a:ln>
      </c:spPr>
    </c:title>
    <c:autoTitleDeleted val="0"/>
    <c:plotArea>
      <c:layout/>
      <c:barChart>
        <c:barDir val="col"/>
        <c:grouping val="stacked"/>
        <c:varyColors val="0"/>
        <c:ser>
          <c:idx val="0"/>
          <c:order val="0"/>
          <c:spPr>
            <a:solidFill>
              <a:srgbClr val="4672A8"/>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Dashboard2026!$B$5</c:f>
              <c:numCache>
                <c:formatCode>General</c:formatCode>
                <c:ptCount val="1"/>
                <c:pt idx="0">
                  <c:v>0</c:v>
                </c:pt>
              </c:numCache>
            </c:numRef>
          </c:val>
          <c:extLst>
            <c:ext xmlns:c16="http://schemas.microsoft.com/office/drawing/2014/chart" uri="{C3380CC4-5D6E-409C-BE32-E72D297353CC}">
              <c16:uniqueId val="{00000000-60B4-4DF7-8F44-6508DF949C42}"/>
            </c:ext>
          </c:extLst>
        </c:ser>
        <c:ser>
          <c:idx val="1"/>
          <c:order val="1"/>
          <c:spPr>
            <a:solidFill>
              <a:srgbClr val="AB47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Dashboard2026!$C$5</c:f>
              <c:numCache>
                <c:formatCode>General</c:formatCode>
                <c:ptCount val="1"/>
                <c:pt idx="0">
                  <c:v>7</c:v>
                </c:pt>
              </c:numCache>
            </c:numRef>
          </c:val>
          <c:extLst>
            <c:ext xmlns:c16="http://schemas.microsoft.com/office/drawing/2014/chart" uri="{C3380CC4-5D6E-409C-BE32-E72D297353CC}">
              <c16:uniqueId val="{00000001-60B4-4DF7-8F44-6508DF949C42}"/>
            </c:ext>
          </c:extLst>
        </c:ser>
        <c:ser>
          <c:idx val="2"/>
          <c:order val="2"/>
          <c:spPr>
            <a:solidFill>
              <a:srgbClr val="8AA64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Dashboard2026!$D$5</c:f>
              <c:numCache>
                <c:formatCode>General</c:formatCode>
                <c:ptCount val="1"/>
                <c:pt idx="0">
                  <c:v>16</c:v>
                </c:pt>
              </c:numCache>
            </c:numRef>
          </c:val>
          <c:extLst>
            <c:ext xmlns:c16="http://schemas.microsoft.com/office/drawing/2014/chart" uri="{C3380CC4-5D6E-409C-BE32-E72D297353CC}">
              <c16:uniqueId val="{00000002-60B4-4DF7-8F44-6508DF949C42}"/>
            </c:ext>
          </c:extLst>
        </c:ser>
        <c:ser>
          <c:idx val="3"/>
          <c:order val="3"/>
          <c:tx>
            <c:strRef>
              <c:f>"Strengthen"</c:f>
              <c:strCache>
                <c:ptCount val="1"/>
                <c:pt idx="0">
                  <c:v>Strengthen</c:v>
                </c:pt>
              </c:strCache>
            </c:strRef>
          </c:tx>
          <c:spPr>
            <a:solidFill>
              <a:srgbClr val="7259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Dashboard2026!$E$5</c:f>
              <c:numCache>
                <c:formatCode>General</c:formatCode>
                <c:ptCount val="1"/>
                <c:pt idx="0">
                  <c:v>11</c:v>
                </c:pt>
              </c:numCache>
            </c:numRef>
          </c:val>
          <c:extLst>
            <c:ext xmlns:c16="http://schemas.microsoft.com/office/drawing/2014/chart" uri="{C3380CC4-5D6E-409C-BE32-E72D297353CC}">
              <c16:uniqueId val="{00000003-60B4-4DF7-8F44-6508DF949C42}"/>
            </c:ext>
          </c:extLst>
        </c:ser>
        <c:ser>
          <c:idx val="4"/>
          <c:order val="4"/>
          <c:spPr>
            <a:solidFill>
              <a:srgbClr val="4299B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Dashboard2026!$B$7</c:f>
              <c:numCache>
                <c:formatCode>General</c:formatCode>
                <c:ptCount val="1"/>
                <c:pt idx="0">
                  <c:v>0</c:v>
                </c:pt>
              </c:numCache>
            </c:numRef>
          </c:val>
          <c:extLst>
            <c:ext xmlns:c16="http://schemas.microsoft.com/office/drawing/2014/chart" uri="{C3380CC4-5D6E-409C-BE32-E72D297353CC}">
              <c16:uniqueId val="{00000004-60B4-4DF7-8F44-6508DF949C42}"/>
            </c:ext>
          </c:extLst>
        </c:ser>
        <c:ser>
          <c:idx val="5"/>
          <c:order val="5"/>
          <c:spPr>
            <a:solidFill>
              <a:srgbClr val="DC853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Dashboard2026!$C$7</c:f>
              <c:numCache>
                <c:formatCode>General</c:formatCode>
                <c:ptCount val="1"/>
                <c:pt idx="0">
                  <c:v>1</c:v>
                </c:pt>
              </c:numCache>
            </c:numRef>
          </c:val>
          <c:extLst>
            <c:ext xmlns:c16="http://schemas.microsoft.com/office/drawing/2014/chart" uri="{C3380CC4-5D6E-409C-BE32-E72D297353CC}">
              <c16:uniqueId val="{00000005-60B4-4DF7-8F44-6508DF949C42}"/>
            </c:ext>
          </c:extLst>
        </c:ser>
        <c:ser>
          <c:idx val="6"/>
          <c:order val="6"/>
          <c:spPr>
            <a:solidFill>
              <a:srgbClr val="93A9C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Dashboard2026!$D$7</c:f>
              <c:numCache>
                <c:formatCode>General</c:formatCode>
                <c:ptCount val="1"/>
                <c:pt idx="0">
                  <c:v>5</c:v>
                </c:pt>
              </c:numCache>
            </c:numRef>
          </c:val>
          <c:extLst>
            <c:ext xmlns:c16="http://schemas.microsoft.com/office/drawing/2014/chart" uri="{C3380CC4-5D6E-409C-BE32-E72D297353CC}">
              <c16:uniqueId val="{00000006-60B4-4DF7-8F44-6508DF949C42}"/>
            </c:ext>
          </c:extLst>
        </c:ser>
        <c:ser>
          <c:idx val="7"/>
          <c:order val="7"/>
          <c:tx>
            <c:strRef>
              <c:f>"Innovation"</c:f>
              <c:strCache>
                <c:ptCount val="1"/>
                <c:pt idx="0">
                  <c:v>Innovation</c:v>
                </c:pt>
              </c:strCache>
            </c:strRef>
          </c:tx>
          <c:spPr>
            <a:solidFill>
              <a:srgbClr val="D09493"/>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Dashboard2026!$E$7</c:f>
              <c:numCache>
                <c:formatCode>General</c:formatCode>
                <c:ptCount val="1"/>
                <c:pt idx="0">
                  <c:v>5</c:v>
                </c:pt>
              </c:numCache>
            </c:numRef>
          </c:val>
          <c:extLst>
            <c:ext xmlns:c16="http://schemas.microsoft.com/office/drawing/2014/chart" uri="{C3380CC4-5D6E-409C-BE32-E72D297353CC}">
              <c16:uniqueId val="{00000007-60B4-4DF7-8F44-6508DF949C42}"/>
            </c:ext>
          </c:extLst>
        </c:ser>
        <c:ser>
          <c:idx val="8"/>
          <c:order val="8"/>
          <c:spPr>
            <a:solidFill>
              <a:srgbClr val="B8CD9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Dashboard2026!$B$9</c:f>
              <c:numCache>
                <c:formatCode>General</c:formatCode>
                <c:ptCount val="1"/>
                <c:pt idx="0">
                  <c:v>0</c:v>
                </c:pt>
              </c:numCache>
            </c:numRef>
          </c:val>
          <c:extLst>
            <c:ext xmlns:c16="http://schemas.microsoft.com/office/drawing/2014/chart" uri="{C3380CC4-5D6E-409C-BE32-E72D297353CC}">
              <c16:uniqueId val="{00000008-60B4-4DF7-8F44-6508DF949C42}"/>
            </c:ext>
          </c:extLst>
        </c:ser>
        <c:ser>
          <c:idx val="9"/>
          <c:order val="9"/>
          <c:spPr>
            <a:solidFill>
              <a:srgbClr val="A99B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Dashboard2026!$C$9</c:f>
              <c:numCache>
                <c:formatCode>General</c:formatCode>
                <c:ptCount val="1"/>
                <c:pt idx="0">
                  <c:v>6</c:v>
                </c:pt>
              </c:numCache>
            </c:numRef>
          </c:val>
          <c:extLst>
            <c:ext xmlns:c16="http://schemas.microsoft.com/office/drawing/2014/chart" uri="{C3380CC4-5D6E-409C-BE32-E72D297353CC}">
              <c16:uniqueId val="{00000009-60B4-4DF7-8F44-6508DF949C42}"/>
            </c:ext>
          </c:extLst>
        </c:ser>
        <c:ser>
          <c:idx val="10"/>
          <c:order val="10"/>
          <c:spPr>
            <a:solidFill>
              <a:srgbClr val="92C3D5"/>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Dashboard2026!$D$9</c:f>
              <c:numCache>
                <c:formatCode>General</c:formatCode>
                <c:ptCount val="1"/>
                <c:pt idx="0">
                  <c:v>3</c:v>
                </c:pt>
              </c:numCache>
            </c:numRef>
          </c:val>
          <c:extLst>
            <c:ext xmlns:c16="http://schemas.microsoft.com/office/drawing/2014/chart" uri="{C3380CC4-5D6E-409C-BE32-E72D297353CC}">
              <c16:uniqueId val="{0000000A-60B4-4DF7-8F44-6508DF949C42}"/>
            </c:ext>
          </c:extLst>
        </c:ser>
        <c:ser>
          <c:idx val="11"/>
          <c:order val="11"/>
          <c:tx>
            <c:strRef>
              <c:f>"Repair"</c:f>
              <c:strCache>
                <c:ptCount val="1"/>
                <c:pt idx="0">
                  <c:v>Repair</c:v>
                </c:pt>
              </c:strCache>
            </c:strRef>
          </c:tx>
          <c:spPr>
            <a:solidFill>
              <a:srgbClr val="F8B5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Dashboard2026!$B$4:$E$4</c:f>
              <c:strCache>
                <c:ptCount val="4"/>
                <c:pt idx="0">
                  <c:v>Q1</c:v>
                </c:pt>
                <c:pt idx="1">
                  <c:v>Q2</c:v>
                </c:pt>
                <c:pt idx="2">
                  <c:v>Q3</c:v>
                </c:pt>
                <c:pt idx="3">
                  <c:v>Q4</c:v>
                </c:pt>
              </c:strCache>
            </c:strRef>
          </c:cat>
          <c:val>
            <c:numRef>
              <c:f>Dashboard2026!$E$9</c:f>
              <c:numCache>
                <c:formatCode>General</c:formatCode>
                <c:ptCount val="1"/>
                <c:pt idx="0">
                  <c:v>1</c:v>
                </c:pt>
              </c:numCache>
            </c:numRef>
          </c:val>
          <c:extLst>
            <c:ext xmlns:c16="http://schemas.microsoft.com/office/drawing/2014/chart" uri="{C3380CC4-5D6E-409C-BE32-E72D297353CC}">
              <c16:uniqueId val="{0000000B-60B4-4DF7-8F44-6508DF949C42}"/>
            </c:ext>
          </c:extLst>
        </c:ser>
        <c:dLbls>
          <c:showLegendKey val="0"/>
          <c:showVal val="0"/>
          <c:showCatName val="0"/>
          <c:showSerName val="0"/>
          <c:showPercent val="0"/>
          <c:showBubbleSize val="0"/>
        </c:dLbls>
        <c:gapWidth val="150"/>
        <c:overlap val="100"/>
        <c:axId val="1121424"/>
        <c:axId val="52828712"/>
      </c:barChart>
      <c:catAx>
        <c:axId val="112142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Quartal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828712"/>
        <c:crosses val="autoZero"/>
        <c:auto val="1"/>
        <c:lblAlgn val="ctr"/>
        <c:lblOffset val="100"/>
        <c:noMultiLvlLbl val="0"/>
      </c:catAx>
      <c:valAx>
        <c:axId val="5282871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Anzahl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2142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Kapazität vs. Geplante Stunden 2026</a:t>
            </a:r>
          </a:p>
        </c:rich>
      </c:tx>
      <c:overlay val="0"/>
      <c:spPr>
        <a:noFill/>
        <a:ln w="0">
          <a:noFill/>
        </a:ln>
      </c:spPr>
    </c:title>
    <c:autoTitleDeleted val="0"/>
    <c:plotArea>
      <c:layout/>
      <c:barChart>
        <c:barDir val="col"/>
        <c:grouping val="clustered"/>
        <c:varyColors val="0"/>
        <c:ser>
          <c:idx val="0"/>
          <c:order val="0"/>
          <c:spPr>
            <a:solidFill>
              <a:srgbClr val="4672A8"/>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Dashboard2026!$B$15:$E$15</c:f>
              <c:strCache>
                <c:ptCount val="4"/>
                <c:pt idx="0">
                  <c:v>Q1</c:v>
                </c:pt>
                <c:pt idx="1">
                  <c:v>Q2</c:v>
                </c:pt>
                <c:pt idx="2">
                  <c:v>Q3</c:v>
                </c:pt>
                <c:pt idx="3">
                  <c:v>Q4</c:v>
                </c:pt>
              </c:strCache>
            </c:strRef>
          </c:cat>
          <c:val>
            <c:numRef>
              <c:f>Dashboard2026!$B$16</c:f>
              <c:numCache>
                <c:formatCode>0" h"</c:formatCode>
                <c:ptCount val="1"/>
                <c:pt idx="0">
                  <c:v>0</c:v>
                </c:pt>
              </c:numCache>
            </c:numRef>
          </c:val>
          <c:extLst>
            <c:ext xmlns:c16="http://schemas.microsoft.com/office/drawing/2014/chart" uri="{C3380CC4-5D6E-409C-BE32-E72D297353CC}">
              <c16:uniqueId val="{00000000-766D-4517-86CB-918D417127FD}"/>
            </c:ext>
          </c:extLst>
        </c:ser>
        <c:ser>
          <c:idx val="1"/>
          <c:order val="1"/>
          <c:spPr>
            <a:solidFill>
              <a:srgbClr val="AB47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Dashboard2026!$B$15:$E$15</c:f>
              <c:strCache>
                <c:ptCount val="4"/>
                <c:pt idx="0">
                  <c:v>Q1</c:v>
                </c:pt>
                <c:pt idx="1">
                  <c:v>Q2</c:v>
                </c:pt>
                <c:pt idx="2">
                  <c:v>Q3</c:v>
                </c:pt>
                <c:pt idx="3">
                  <c:v>Q4</c:v>
                </c:pt>
              </c:strCache>
            </c:strRef>
          </c:cat>
          <c:val>
            <c:numRef>
              <c:f>Dashboard2026!$C$16</c:f>
              <c:numCache>
                <c:formatCode>0" h"</c:formatCode>
                <c:ptCount val="1"/>
                <c:pt idx="0">
                  <c:v>0</c:v>
                </c:pt>
              </c:numCache>
            </c:numRef>
          </c:val>
          <c:extLst>
            <c:ext xmlns:c16="http://schemas.microsoft.com/office/drawing/2014/chart" uri="{C3380CC4-5D6E-409C-BE32-E72D297353CC}">
              <c16:uniqueId val="{00000001-766D-4517-86CB-918D417127FD}"/>
            </c:ext>
          </c:extLst>
        </c:ser>
        <c:ser>
          <c:idx val="2"/>
          <c:order val="2"/>
          <c:spPr>
            <a:solidFill>
              <a:srgbClr val="8AA64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Dashboard2026!$B$15:$E$15</c:f>
              <c:strCache>
                <c:ptCount val="4"/>
                <c:pt idx="0">
                  <c:v>Q1</c:v>
                </c:pt>
                <c:pt idx="1">
                  <c:v>Q2</c:v>
                </c:pt>
                <c:pt idx="2">
                  <c:v>Q3</c:v>
                </c:pt>
                <c:pt idx="3">
                  <c:v>Q4</c:v>
                </c:pt>
              </c:strCache>
            </c:strRef>
          </c:cat>
          <c:val>
            <c:numRef>
              <c:f>Dashboard2026!$D$16</c:f>
              <c:numCache>
                <c:formatCode>0" h"</c:formatCode>
                <c:ptCount val="1"/>
                <c:pt idx="0">
                  <c:v>1192</c:v>
                </c:pt>
              </c:numCache>
            </c:numRef>
          </c:val>
          <c:extLst>
            <c:ext xmlns:c16="http://schemas.microsoft.com/office/drawing/2014/chart" uri="{C3380CC4-5D6E-409C-BE32-E72D297353CC}">
              <c16:uniqueId val="{00000002-766D-4517-86CB-918D417127FD}"/>
            </c:ext>
          </c:extLst>
        </c:ser>
        <c:ser>
          <c:idx val="3"/>
          <c:order val="3"/>
          <c:tx>
            <c:strRef>
              <c:f>"Kapazität"</c:f>
              <c:strCache>
                <c:ptCount val="1"/>
                <c:pt idx="0">
                  <c:v>Kapazität</c:v>
                </c:pt>
              </c:strCache>
            </c:strRef>
          </c:tx>
          <c:spPr>
            <a:solidFill>
              <a:srgbClr val="7259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Dashboard2026!$B$15:$E$15</c:f>
              <c:strCache>
                <c:ptCount val="4"/>
                <c:pt idx="0">
                  <c:v>Q1</c:v>
                </c:pt>
                <c:pt idx="1">
                  <c:v>Q2</c:v>
                </c:pt>
                <c:pt idx="2">
                  <c:v>Q3</c:v>
                </c:pt>
                <c:pt idx="3">
                  <c:v>Q4</c:v>
                </c:pt>
              </c:strCache>
            </c:strRef>
          </c:cat>
          <c:val>
            <c:numRef>
              <c:f>Dashboard2026!$E$16</c:f>
              <c:numCache>
                <c:formatCode>0" h"</c:formatCode>
                <c:ptCount val="1"/>
                <c:pt idx="0">
                  <c:v>0</c:v>
                </c:pt>
              </c:numCache>
            </c:numRef>
          </c:val>
          <c:extLst>
            <c:ext xmlns:c16="http://schemas.microsoft.com/office/drawing/2014/chart" uri="{C3380CC4-5D6E-409C-BE32-E72D297353CC}">
              <c16:uniqueId val="{00000003-766D-4517-86CB-918D417127FD}"/>
            </c:ext>
          </c:extLst>
        </c:ser>
        <c:ser>
          <c:idx val="4"/>
          <c:order val="4"/>
          <c:spPr>
            <a:solidFill>
              <a:srgbClr val="4299B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Dashboard2026!$B$15:$E$15</c:f>
              <c:strCache>
                <c:ptCount val="4"/>
                <c:pt idx="0">
                  <c:v>Q1</c:v>
                </c:pt>
                <c:pt idx="1">
                  <c:v>Q2</c:v>
                </c:pt>
                <c:pt idx="2">
                  <c:v>Q3</c:v>
                </c:pt>
                <c:pt idx="3">
                  <c:v>Q4</c:v>
                </c:pt>
              </c:strCache>
            </c:strRef>
          </c:cat>
          <c:val>
            <c:numRef>
              <c:f>Dashboard2026!$B$19</c:f>
              <c:numCache>
                <c:formatCode>0" h"</c:formatCode>
                <c:ptCount val="1"/>
                <c:pt idx="0">
                  <c:v>0</c:v>
                </c:pt>
              </c:numCache>
            </c:numRef>
          </c:val>
          <c:extLst>
            <c:ext xmlns:c16="http://schemas.microsoft.com/office/drawing/2014/chart" uri="{C3380CC4-5D6E-409C-BE32-E72D297353CC}">
              <c16:uniqueId val="{00000004-766D-4517-86CB-918D417127FD}"/>
            </c:ext>
          </c:extLst>
        </c:ser>
        <c:ser>
          <c:idx val="5"/>
          <c:order val="5"/>
          <c:spPr>
            <a:solidFill>
              <a:srgbClr val="DC853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Dashboard2026!$B$15:$E$15</c:f>
              <c:strCache>
                <c:ptCount val="4"/>
                <c:pt idx="0">
                  <c:v>Q1</c:v>
                </c:pt>
                <c:pt idx="1">
                  <c:v>Q2</c:v>
                </c:pt>
                <c:pt idx="2">
                  <c:v>Q3</c:v>
                </c:pt>
                <c:pt idx="3">
                  <c:v>Q4</c:v>
                </c:pt>
              </c:strCache>
            </c:strRef>
          </c:cat>
          <c:val>
            <c:numRef>
              <c:f>Dashboard2026!$C$19</c:f>
              <c:numCache>
                <c:formatCode>0" h"</c:formatCode>
                <c:ptCount val="1"/>
                <c:pt idx="0">
                  <c:v>660</c:v>
                </c:pt>
              </c:numCache>
            </c:numRef>
          </c:val>
          <c:extLst>
            <c:ext xmlns:c16="http://schemas.microsoft.com/office/drawing/2014/chart" uri="{C3380CC4-5D6E-409C-BE32-E72D297353CC}">
              <c16:uniqueId val="{00000005-766D-4517-86CB-918D417127FD}"/>
            </c:ext>
          </c:extLst>
        </c:ser>
        <c:ser>
          <c:idx val="6"/>
          <c:order val="6"/>
          <c:spPr>
            <a:solidFill>
              <a:srgbClr val="93A9C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Dashboard2026!$B$15:$E$15</c:f>
              <c:strCache>
                <c:ptCount val="4"/>
                <c:pt idx="0">
                  <c:v>Q1</c:v>
                </c:pt>
                <c:pt idx="1">
                  <c:v>Q2</c:v>
                </c:pt>
                <c:pt idx="2">
                  <c:v>Q3</c:v>
                </c:pt>
                <c:pt idx="3">
                  <c:v>Q4</c:v>
                </c:pt>
              </c:strCache>
            </c:strRef>
          </c:cat>
          <c:val>
            <c:numRef>
              <c:f>Dashboard2026!$D$19</c:f>
              <c:numCache>
                <c:formatCode>0" h"</c:formatCode>
                <c:ptCount val="1"/>
                <c:pt idx="0">
                  <c:v>1269</c:v>
                </c:pt>
              </c:numCache>
            </c:numRef>
          </c:val>
          <c:extLst>
            <c:ext xmlns:c16="http://schemas.microsoft.com/office/drawing/2014/chart" uri="{C3380CC4-5D6E-409C-BE32-E72D297353CC}">
              <c16:uniqueId val="{00000006-766D-4517-86CB-918D417127FD}"/>
            </c:ext>
          </c:extLst>
        </c:ser>
        <c:ser>
          <c:idx val="7"/>
          <c:order val="7"/>
          <c:tx>
            <c:strRef>
              <c:f>"Geplant"</c:f>
              <c:strCache>
                <c:ptCount val="1"/>
                <c:pt idx="0">
                  <c:v>Geplant</c:v>
                </c:pt>
              </c:strCache>
            </c:strRef>
          </c:tx>
          <c:spPr>
            <a:solidFill>
              <a:srgbClr val="D09493"/>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Dashboard2026!$B$15:$E$15</c:f>
              <c:strCache>
                <c:ptCount val="4"/>
                <c:pt idx="0">
                  <c:v>Q1</c:v>
                </c:pt>
                <c:pt idx="1">
                  <c:v>Q2</c:v>
                </c:pt>
                <c:pt idx="2">
                  <c:v>Q3</c:v>
                </c:pt>
                <c:pt idx="3">
                  <c:v>Q4</c:v>
                </c:pt>
              </c:strCache>
            </c:strRef>
          </c:cat>
          <c:val>
            <c:numRef>
              <c:f>Dashboard2026!$E$19</c:f>
              <c:numCache>
                <c:formatCode>0" h"</c:formatCode>
                <c:ptCount val="1"/>
                <c:pt idx="0">
                  <c:v>0</c:v>
                </c:pt>
              </c:numCache>
            </c:numRef>
          </c:val>
          <c:extLst>
            <c:ext xmlns:c16="http://schemas.microsoft.com/office/drawing/2014/chart" uri="{C3380CC4-5D6E-409C-BE32-E72D297353CC}">
              <c16:uniqueId val="{00000007-766D-4517-86CB-918D417127FD}"/>
            </c:ext>
          </c:extLst>
        </c:ser>
        <c:dLbls>
          <c:showLegendKey val="0"/>
          <c:showVal val="0"/>
          <c:showCatName val="0"/>
          <c:showSerName val="0"/>
          <c:showPercent val="0"/>
          <c:showBubbleSize val="0"/>
        </c:dLbls>
        <c:gapWidth val="150"/>
        <c:axId val="18220858"/>
        <c:axId val="67834963"/>
      </c:barChart>
      <c:catAx>
        <c:axId val="1822085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Quartal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834963"/>
        <c:crosses val="autoZero"/>
        <c:auto val="1"/>
        <c:lblAlgn val="ctr"/>
        <c:lblOffset val="100"/>
        <c:noMultiLvlLbl val="0"/>
      </c:catAx>
      <c:valAx>
        <c:axId val="6783496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Stunden</a:t>
                </a:r>
              </a:p>
            </c:rich>
          </c:tx>
          <c:overlay val="0"/>
          <c:spPr>
            <a:noFill/>
            <a:ln w="0">
              <a:noFill/>
            </a:ln>
          </c:spPr>
        </c:title>
        <c:numFmt formatCode="0&quot; h&quot;"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822085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Value-Bucket Verteilung 2027</a:t>
            </a:r>
          </a:p>
        </c:rich>
      </c:tx>
      <c:overlay val="0"/>
      <c:spPr>
        <a:noFill/>
        <a:ln w="0">
          <a:noFill/>
        </a:ln>
      </c:spPr>
    </c:title>
    <c:autoTitleDeleted val="0"/>
    <c:plotArea>
      <c:layout/>
      <c:barChart>
        <c:barDir val="col"/>
        <c:grouping val="stacked"/>
        <c:varyColors val="0"/>
        <c:ser>
          <c:idx val="0"/>
          <c:order val="0"/>
          <c:spPr>
            <a:solidFill>
              <a:srgbClr val="4672A8"/>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Dashboard2027!$B$5</c:f>
              <c:numCache>
                <c:formatCode>General</c:formatCode>
                <c:ptCount val="1"/>
                <c:pt idx="0">
                  <c:v>3</c:v>
                </c:pt>
              </c:numCache>
            </c:numRef>
          </c:val>
          <c:extLst>
            <c:ext xmlns:c16="http://schemas.microsoft.com/office/drawing/2014/chart" uri="{C3380CC4-5D6E-409C-BE32-E72D297353CC}">
              <c16:uniqueId val="{00000000-50D1-41A1-9936-96FA05591B82}"/>
            </c:ext>
          </c:extLst>
        </c:ser>
        <c:ser>
          <c:idx val="1"/>
          <c:order val="1"/>
          <c:spPr>
            <a:solidFill>
              <a:srgbClr val="AB47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Dashboard2027!$C$5</c:f>
              <c:numCache>
                <c:formatCode>General</c:formatCode>
                <c:ptCount val="1"/>
                <c:pt idx="0">
                  <c:v>0</c:v>
                </c:pt>
              </c:numCache>
            </c:numRef>
          </c:val>
          <c:extLst>
            <c:ext xmlns:c16="http://schemas.microsoft.com/office/drawing/2014/chart" uri="{C3380CC4-5D6E-409C-BE32-E72D297353CC}">
              <c16:uniqueId val="{00000001-50D1-41A1-9936-96FA05591B82}"/>
            </c:ext>
          </c:extLst>
        </c:ser>
        <c:ser>
          <c:idx val="2"/>
          <c:order val="2"/>
          <c:spPr>
            <a:solidFill>
              <a:srgbClr val="8AA64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Dashboard2027!$D$5</c:f>
              <c:numCache>
                <c:formatCode>General</c:formatCode>
                <c:ptCount val="1"/>
                <c:pt idx="0">
                  <c:v>0</c:v>
                </c:pt>
              </c:numCache>
            </c:numRef>
          </c:val>
          <c:extLst>
            <c:ext xmlns:c16="http://schemas.microsoft.com/office/drawing/2014/chart" uri="{C3380CC4-5D6E-409C-BE32-E72D297353CC}">
              <c16:uniqueId val="{00000002-50D1-41A1-9936-96FA05591B82}"/>
            </c:ext>
          </c:extLst>
        </c:ser>
        <c:ser>
          <c:idx val="3"/>
          <c:order val="3"/>
          <c:tx>
            <c:strRef>
              <c:f>"Strengthen"</c:f>
              <c:strCache>
                <c:ptCount val="1"/>
                <c:pt idx="0">
                  <c:v>Strengthen</c:v>
                </c:pt>
              </c:strCache>
            </c:strRef>
          </c:tx>
          <c:spPr>
            <a:solidFill>
              <a:srgbClr val="7259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Dashboard2027!$E$5</c:f>
              <c:numCache>
                <c:formatCode>General</c:formatCode>
                <c:ptCount val="1"/>
                <c:pt idx="0">
                  <c:v>0</c:v>
                </c:pt>
              </c:numCache>
            </c:numRef>
          </c:val>
          <c:extLst>
            <c:ext xmlns:c16="http://schemas.microsoft.com/office/drawing/2014/chart" uri="{C3380CC4-5D6E-409C-BE32-E72D297353CC}">
              <c16:uniqueId val="{00000003-50D1-41A1-9936-96FA05591B82}"/>
            </c:ext>
          </c:extLst>
        </c:ser>
        <c:ser>
          <c:idx val="4"/>
          <c:order val="4"/>
          <c:spPr>
            <a:solidFill>
              <a:srgbClr val="4299B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Dashboard2027!$B$7</c:f>
              <c:numCache>
                <c:formatCode>General</c:formatCode>
                <c:ptCount val="1"/>
                <c:pt idx="0">
                  <c:v>2</c:v>
                </c:pt>
              </c:numCache>
            </c:numRef>
          </c:val>
          <c:extLst>
            <c:ext xmlns:c16="http://schemas.microsoft.com/office/drawing/2014/chart" uri="{C3380CC4-5D6E-409C-BE32-E72D297353CC}">
              <c16:uniqueId val="{00000004-50D1-41A1-9936-96FA05591B82}"/>
            </c:ext>
          </c:extLst>
        </c:ser>
        <c:ser>
          <c:idx val="5"/>
          <c:order val="5"/>
          <c:spPr>
            <a:solidFill>
              <a:srgbClr val="DC853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Dashboard2027!$C$7</c:f>
              <c:numCache>
                <c:formatCode>General</c:formatCode>
                <c:ptCount val="1"/>
                <c:pt idx="0">
                  <c:v>0</c:v>
                </c:pt>
              </c:numCache>
            </c:numRef>
          </c:val>
          <c:extLst>
            <c:ext xmlns:c16="http://schemas.microsoft.com/office/drawing/2014/chart" uri="{C3380CC4-5D6E-409C-BE32-E72D297353CC}">
              <c16:uniqueId val="{00000005-50D1-41A1-9936-96FA05591B82}"/>
            </c:ext>
          </c:extLst>
        </c:ser>
        <c:ser>
          <c:idx val="6"/>
          <c:order val="6"/>
          <c:spPr>
            <a:solidFill>
              <a:srgbClr val="93A9C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Dashboard2027!$D$7</c:f>
              <c:numCache>
                <c:formatCode>General</c:formatCode>
                <c:ptCount val="1"/>
                <c:pt idx="0">
                  <c:v>0</c:v>
                </c:pt>
              </c:numCache>
            </c:numRef>
          </c:val>
          <c:extLst>
            <c:ext xmlns:c16="http://schemas.microsoft.com/office/drawing/2014/chart" uri="{C3380CC4-5D6E-409C-BE32-E72D297353CC}">
              <c16:uniqueId val="{00000006-50D1-41A1-9936-96FA05591B82}"/>
            </c:ext>
          </c:extLst>
        </c:ser>
        <c:ser>
          <c:idx val="7"/>
          <c:order val="7"/>
          <c:tx>
            <c:strRef>
              <c:f>"Innovation"</c:f>
              <c:strCache>
                <c:ptCount val="1"/>
                <c:pt idx="0">
                  <c:v>Innovation</c:v>
                </c:pt>
              </c:strCache>
            </c:strRef>
          </c:tx>
          <c:spPr>
            <a:solidFill>
              <a:srgbClr val="D09493"/>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Dashboard2027!$E$7</c:f>
              <c:numCache>
                <c:formatCode>General</c:formatCode>
                <c:ptCount val="1"/>
                <c:pt idx="0">
                  <c:v>0</c:v>
                </c:pt>
              </c:numCache>
            </c:numRef>
          </c:val>
          <c:extLst>
            <c:ext xmlns:c16="http://schemas.microsoft.com/office/drawing/2014/chart" uri="{C3380CC4-5D6E-409C-BE32-E72D297353CC}">
              <c16:uniqueId val="{00000007-50D1-41A1-9936-96FA05591B82}"/>
            </c:ext>
          </c:extLst>
        </c:ser>
        <c:ser>
          <c:idx val="8"/>
          <c:order val="8"/>
          <c:spPr>
            <a:solidFill>
              <a:srgbClr val="B8CD9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Dashboard2027!$B$9</c:f>
              <c:numCache>
                <c:formatCode>General</c:formatCode>
                <c:ptCount val="1"/>
                <c:pt idx="0">
                  <c:v>1</c:v>
                </c:pt>
              </c:numCache>
            </c:numRef>
          </c:val>
          <c:extLst>
            <c:ext xmlns:c16="http://schemas.microsoft.com/office/drawing/2014/chart" uri="{C3380CC4-5D6E-409C-BE32-E72D297353CC}">
              <c16:uniqueId val="{00000008-50D1-41A1-9936-96FA05591B82}"/>
            </c:ext>
          </c:extLst>
        </c:ser>
        <c:ser>
          <c:idx val="9"/>
          <c:order val="9"/>
          <c:spPr>
            <a:solidFill>
              <a:srgbClr val="A99B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Dashboard2027!$C$9</c:f>
              <c:numCache>
                <c:formatCode>General</c:formatCode>
                <c:ptCount val="1"/>
                <c:pt idx="0">
                  <c:v>0</c:v>
                </c:pt>
              </c:numCache>
            </c:numRef>
          </c:val>
          <c:extLst>
            <c:ext xmlns:c16="http://schemas.microsoft.com/office/drawing/2014/chart" uri="{C3380CC4-5D6E-409C-BE32-E72D297353CC}">
              <c16:uniqueId val="{00000009-50D1-41A1-9936-96FA05591B82}"/>
            </c:ext>
          </c:extLst>
        </c:ser>
        <c:ser>
          <c:idx val="10"/>
          <c:order val="10"/>
          <c:spPr>
            <a:solidFill>
              <a:srgbClr val="92C3D5"/>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Dashboard2027!$D$9</c:f>
              <c:numCache>
                <c:formatCode>General</c:formatCode>
                <c:ptCount val="1"/>
                <c:pt idx="0">
                  <c:v>0</c:v>
                </c:pt>
              </c:numCache>
            </c:numRef>
          </c:val>
          <c:extLst>
            <c:ext xmlns:c16="http://schemas.microsoft.com/office/drawing/2014/chart" uri="{C3380CC4-5D6E-409C-BE32-E72D297353CC}">
              <c16:uniqueId val="{0000000A-50D1-41A1-9936-96FA05591B82}"/>
            </c:ext>
          </c:extLst>
        </c:ser>
        <c:ser>
          <c:idx val="11"/>
          <c:order val="11"/>
          <c:tx>
            <c:strRef>
              <c:f>"Repair"</c:f>
              <c:strCache>
                <c:ptCount val="1"/>
                <c:pt idx="0">
                  <c:v>Repair</c:v>
                </c:pt>
              </c:strCache>
            </c:strRef>
          </c:tx>
          <c:spPr>
            <a:solidFill>
              <a:srgbClr val="F8B5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Dashboard2027!$B$4:$E$4</c:f>
              <c:strCache>
                <c:ptCount val="4"/>
                <c:pt idx="0">
                  <c:v>Q1</c:v>
                </c:pt>
                <c:pt idx="1">
                  <c:v>Q2</c:v>
                </c:pt>
                <c:pt idx="2">
                  <c:v>Q3</c:v>
                </c:pt>
                <c:pt idx="3">
                  <c:v>Q4</c:v>
                </c:pt>
              </c:strCache>
            </c:strRef>
          </c:cat>
          <c:val>
            <c:numRef>
              <c:f>Dashboard2027!$E$9</c:f>
              <c:numCache>
                <c:formatCode>General</c:formatCode>
                <c:ptCount val="1"/>
                <c:pt idx="0">
                  <c:v>0</c:v>
                </c:pt>
              </c:numCache>
            </c:numRef>
          </c:val>
          <c:extLst>
            <c:ext xmlns:c16="http://schemas.microsoft.com/office/drawing/2014/chart" uri="{C3380CC4-5D6E-409C-BE32-E72D297353CC}">
              <c16:uniqueId val="{0000000B-50D1-41A1-9936-96FA05591B82}"/>
            </c:ext>
          </c:extLst>
        </c:ser>
        <c:dLbls>
          <c:showLegendKey val="0"/>
          <c:showVal val="0"/>
          <c:showCatName val="0"/>
          <c:showSerName val="0"/>
          <c:showPercent val="0"/>
          <c:showBubbleSize val="0"/>
        </c:dLbls>
        <c:gapWidth val="150"/>
        <c:overlap val="100"/>
        <c:axId val="99442914"/>
        <c:axId val="89209901"/>
      </c:barChart>
      <c:catAx>
        <c:axId val="9944291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Quartal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209901"/>
        <c:crosses val="autoZero"/>
        <c:auto val="1"/>
        <c:lblAlgn val="ctr"/>
        <c:lblOffset val="100"/>
        <c:noMultiLvlLbl val="0"/>
      </c:catAx>
      <c:valAx>
        <c:axId val="8920990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Anzahl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44291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Kapazität vs. Geplante Stunden 2027</a:t>
            </a:r>
          </a:p>
        </c:rich>
      </c:tx>
      <c:overlay val="0"/>
      <c:spPr>
        <a:noFill/>
        <a:ln w="0">
          <a:noFill/>
        </a:ln>
      </c:spPr>
    </c:title>
    <c:autoTitleDeleted val="0"/>
    <c:plotArea>
      <c:layout/>
      <c:barChart>
        <c:barDir val="col"/>
        <c:grouping val="clustered"/>
        <c:varyColors val="0"/>
        <c:ser>
          <c:idx val="0"/>
          <c:order val="0"/>
          <c:spPr>
            <a:solidFill>
              <a:srgbClr val="4672A8"/>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Dashboard2027!$B$15:$E$15</c:f>
              <c:strCache>
                <c:ptCount val="4"/>
                <c:pt idx="0">
                  <c:v>Q1</c:v>
                </c:pt>
                <c:pt idx="1">
                  <c:v>Q2</c:v>
                </c:pt>
                <c:pt idx="2">
                  <c:v>Q3</c:v>
                </c:pt>
                <c:pt idx="3">
                  <c:v>Q4</c:v>
                </c:pt>
              </c:strCache>
            </c:strRef>
          </c:cat>
          <c:val>
            <c:numRef>
              <c:f>Dashboard2027!$B$16</c:f>
              <c:numCache>
                <c:formatCode>0" h"</c:formatCode>
                <c:ptCount val="1"/>
                <c:pt idx="0">
                  <c:v>0</c:v>
                </c:pt>
              </c:numCache>
            </c:numRef>
          </c:val>
          <c:extLst>
            <c:ext xmlns:c16="http://schemas.microsoft.com/office/drawing/2014/chart" uri="{C3380CC4-5D6E-409C-BE32-E72D297353CC}">
              <c16:uniqueId val="{00000000-355E-44DA-9699-33C74F742ED9}"/>
            </c:ext>
          </c:extLst>
        </c:ser>
        <c:ser>
          <c:idx val="1"/>
          <c:order val="1"/>
          <c:spPr>
            <a:solidFill>
              <a:srgbClr val="AB47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Dashboard2027!$B$15:$E$15</c:f>
              <c:strCache>
                <c:ptCount val="4"/>
                <c:pt idx="0">
                  <c:v>Q1</c:v>
                </c:pt>
                <c:pt idx="1">
                  <c:v>Q2</c:v>
                </c:pt>
                <c:pt idx="2">
                  <c:v>Q3</c:v>
                </c:pt>
                <c:pt idx="3">
                  <c:v>Q4</c:v>
                </c:pt>
              </c:strCache>
            </c:strRef>
          </c:cat>
          <c:val>
            <c:numRef>
              <c:f>Dashboard2027!$C$16</c:f>
              <c:numCache>
                <c:formatCode>0" h"</c:formatCode>
                <c:ptCount val="1"/>
                <c:pt idx="0">
                  <c:v>0</c:v>
                </c:pt>
              </c:numCache>
            </c:numRef>
          </c:val>
          <c:extLst>
            <c:ext xmlns:c16="http://schemas.microsoft.com/office/drawing/2014/chart" uri="{C3380CC4-5D6E-409C-BE32-E72D297353CC}">
              <c16:uniqueId val="{00000001-355E-44DA-9699-33C74F742ED9}"/>
            </c:ext>
          </c:extLst>
        </c:ser>
        <c:ser>
          <c:idx val="2"/>
          <c:order val="2"/>
          <c:spPr>
            <a:solidFill>
              <a:srgbClr val="8AA64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Dashboard2027!$B$15:$E$15</c:f>
              <c:strCache>
                <c:ptCount val="4"/>
                <c:pt idx="0">
                  <c:v>Q1</c:v>
                </c:pt>
                <c:pt idx="1">
                  <c:v>Q2</c:v>
                </c:pt>
                <c:pt idx="2">
                  <c:v>Q3</c:v>
                </c:pt>
                <c:pt idx="3">
                  <c:v>Q4</c:v>
                </c:pt>
              </c:strCache>
            </c:strRef>
          </c:cat>
          <c:val>
            <c:numRef>
              <c:f>Dashboard2027!$D$16</c:f>
              <c:numCache>
                <c:formatCode>0" h"</c:formatCode>
                <c:ptCount val="1"/>
                <c:pt idx="0">
                  <c:v>0</c:v>
                </c:pt>
              </c:numCache>
            </c:numRef>
          </c:val>
          <c:extLst>
            <c:ext xmlns:c16="http://schemas.microsoft.com/office/drawing/2014/chart" uri="{C3380CC4-5D6E-409C-BE32-E72D297353CC}">
              <c16:uniqueId val="{00000002-355E-44DA-9699-33C74F742ED9}"/>
            </c:ext>
          </c:extLst>
        </c:ser>
        <c:ser>
          <c:idx val="3"/>
          <c:order val="3"/>
          <c:tx>
            <c:strRef>
              <c:f>"Kapazität"</c:f>
              <c:strCache>
                <c:ptCount val="1"/>
                <c:pt idx="0">
                  <c:v>Kapazität</c:v>
                </c:pt>
              </c:strCache>
            </c:strRef>
          </c:tx>
          <c:spPr>
            <a:solidFill>
              <a:srgbClr val="7259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Dashboard2027!$B$15:$E$15</c:f>
              <c:strCache>
                <c:ptCount val="4"/>
                <c:pt idx="0">
                  <c:v>Q1</c:v>
                </c:pt>
                <c:pt idx="1">
                  <c:v>Q2</c:v>
                </c:pt>
                <c:pt idx="2">
                  <c:v>Q3</c:v>
                </c:pt>
                <c:pt idx="3">
                  <c:v>Q4</c:v>
                </c:pt>
              </c:strCache>
            </c:strRef>
          </c:cat>
          <c:val>
            <c:numRef>
              <c:f>Dashboard2027!$E$16</c:f>
              <c:numCache>
                <c:formatCode>0" h"</c:formatCode>
                <c:ptCount val="1"/>
                <c:pt idx="0">
                  <c:v>0</c:v>
                </c:pt>
              </c:numCache>
            </c:numRef>
          </c:val>
          <c:extLst>
            <c:ext xmlns:c16="http://schemas.microsoft.com/office/drawing/2014/chart" uri="{C3380CC4-5D6E-409C-BE32-E72D297353CC}">
              <c16:uniqueId val="{00000003-355E-44DA-9699-33C74F742ED9}"/>
            </c:ext>
          </c:extLst>
        </c:ser>
        <c:ser>
          <c:idx val="4"/>
          <c:order val="4"/>
          <c:spPr>
            <a:solidFill>
              <a:srgbClr val="4299B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Dashboard2027!$B$15:$E$15</c:f>
              <c:strCache>
                <c:ptCount val="4"/>
                <c:pt idx="0">
                  <c:v>Q1</c:v>
                </c:pt>
                <c:pt idx="1">
                  <c:v>Q2</c:v>
                </c:pt>
                <c:pt idx="2">
                  <c:v>Q3</c:v>
                </c:pt>
                <c:pt idx="3">
                  <c:v>Q4</c:v>
                </c:pt>
              </c:strCache>
            </c:strRef>
          </c:cat>
          <c:val>
            <c:numRef>
              <c:f>Dashboard2027!$B$19</c:f>
              <c:numCache>
                <c:formatCode>0" h"</c:formatCode>
                <c:ptCount val="1"/>
                <c:pt idx="0">
                  <c:v>168</c:v>
                </c:pt>
              </c:numCache>
            </c:numRef>
          </c:val>
          <c:extLst>
            <c:ext xmlns:c16="http://schemas.microsoft.com/office/drawing/2014/chart" uri="{C3380CC4-5D6E-409C-BE32-E72D297353CC}">
              <c16:uniqueId val="{00000004-355E-44DA-9699-33C74F742ED9}"/>
            </c:ext>
          </c:extLst>
        </c:ser>
        <c:ser>
          <c:idx val="5"/>
          <c:order val="5"/>
          <c:spPr>
            <a:solidFill>
              <a:srgbClr val="DC853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Dashboard2027!$B$15:$E$15</c:f>
              <c:strCache>
                <c:ptCount val="4"/>
                <c:pt idx="0">
                  <c:v>Q1</c:v>
                </c:pt>
                <c:pt idx="1">
                  <c:v>Q2</c:v>
                </c:pt>
                <c:pt idx="2">
                  <c:v>Q3</c:v>
                </c:pt>
                <c:pt idx="3">
                  <c:v>Q4</c:v>
                </c:pt>
              </c:strCache>
            </c:strRef>
          </c:cat>
          <c:val>
            <c:numRef>
              <c:f>Dashboard2027!$C$19</c:f>
              <c:numCache>
                <c:formatCode>0" h"</c:formatCode>
                <c:ptCount val="1"/>
                <c:pt idx="0">
                  <c:v>0</c:v>
                </c:pt>
              </c:numCache>
            </c:numRef>
          </c:val>
          <c:extLst>
            <c:ext xmlns:c16="http://schemas.microsoft.com/office/drawing/2014/chart" uri="{C3380CC4-5D6E-409C-BE32-E72D297353CC}">
              <c16:uniqueId val="{00000005-355E-44DA-9699-33C74F742ED9}"/>
            </c:ext>
          </c:extLst>
        </c:ser>
        <c:ser>
          <c:idx val="6"/>
          <c:order val="6"/>
          <c:spPr>
            <a:solidFill>
              <a:srgbClr val="93A9C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Dashboard2027!$B$15:$E$15</c:f>
              <c:strCache>
                <c:ptCount val="4"/>
                <c:pt idx="0">
                  <c:v>Q1</c:v>
                </c:pt>
                <c:pt idx="1">
                  <c:v>Q2</c:v>
                </c:pt>
                <c:pt idx="2">
                  <c:v>Q3</c:v>
                </c:pt>
                <c:pt idx="3">
                  <c:v>Q4</c:v>
                </c:pt>
              </c:strCache>
            </c:strRef>
          </c:cat>
          <c:val>
            <c:numRef>
              <c:f>Dashboard2027!$D$19</c:f>
              <c:numCache>
                <c:formatCode>0" h"</c:formatCode>
                <c:ptCount val="1"/>
                <c:pt idx="0">
                  <c:v>0</c:v>
                </c:pt>
              </c:numCache>
            </c:numRef>
          </c:val>
          <c:extLst>
            <c:ext xmlns:c16="http://schemas.microsoft.com/office/drawing/2014/chart" uri="{C3380CC4-5D6E-409C-BE32-E72D297353CC}">
              <c16:uniqueId val="{00000006-355E-44DA-9699-33C74F742ED9}"/>
            </c:ext>
          </c:extLst>
        </c:ser>
        <c:ser>
          <c:idx val="7"/>
          <c:order val="7"/>
          <c:tx>
            <c:strRef>
              <c:f>"Geplant"</c:f>
              <c:strCache>
                <c:ptCount val="1"/>
                <c:pt idx="0">
                  <c:v>Geplant</c:v>
                </c:pt>
              </c:strCache>
            </c:strRef>
          </c:tx>
          <c:spPr>
            <a:solidFill>
              <a:srgbClr val="D09493"/>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Dashboard2027!$B$15:$E$15</c:f>
              <c:strCache>
                <c:ptCount val="4"/>
                <c:pt idx="0">
                  <c:v>Q1</c:v>
                </c:pt>
                <c:pt idx="1">
                  <c:v>Q2</c:v>
                </c:pt>
                <c:pt idx="2">
                  <c:v>Q3</c:v>
                </c:pt>
                <c:pt idx="3">
                  <c:v>Q4</c:v>
                </c:pt>
              </c:strCache>
            </c:strRef>
          </c:cat>
          <c:val>
            <c:numRef>
              <c:f>Dashboard2027!$E$19</c:f>
              <c:numCache>
                <c:formatCode>0" h"</c:formatCode>
                <c:ptCount val="1"/>
                <c:pt idx="0">
                  <c:v>0</c:v>
                </c:pt>
              </c:numCache>
            </c:numRef>
          </c:val>
          <c:extLst>
            <c:ext xmlns:c16="http://schemas.microsoft.com/office/drawing/2014/chart" uri="{C3380CC4-5D6E-409C-BE32-E72D297353CC}">
              <c16:uniqueId val="{00000007-355E-44DA-9699-33C74F742ED9}"/>
            </c:ext>
          </c:extLst>
        </c:ser>
        <c:dLbls>
          <c:showLegendKey val="0"/>
          <c:showVal val="0"/>
          <c:showCatName val="0"/>
          <c:showSerName val="0"/>
          <c:showPercent val="0"/>
          <c:showBubbleSize val="0"/>
        </c:dLbls>
        <c:gapWidth val="150"/>
        <c:axId val="69653921"/>
        <c:axId val="58344616"/>
      </c:barChart>
      <c:catAx>
        <c:axId val="69653921"/>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Quartal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344616"/>
        <c:crosses val="autoZero"/>
        <c:auto val="1"/>
        <c:lblAlgn val="ctr"/>
        <c:lblOffset val="100"/>
        <c:noMultiLvlLbl val="0"/>
      </c:catAx>
      <c:valAx>
        <c:axId val="5834461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Stunden</a:t>
                </a:r>
              </a:p>
            </c:rich>
          </c:tx>
          <c:overlay val="0"/>
          <c:spPr>
            <a:noFill/>
            <a:ln w="0">
              <a:noFill/>
            </a:ln>
          </c:spPr>
        </c:title>
        <c:numFmt formatCode="0&quot; h&quot;"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65392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Value-Bucket Verteilung 2028</a:t>
            </a:r>
          </a:p>
        </c:rich>
      </c:tx>
      <c:overlay val="0"/>
      <c:spPr>
        <a:noFill/>
        <a:ln w="0">
          <a:noFill/>
        </a:ln>
      </c:spPr>
    </c:title>
    <c:autoTitleDeleted val="0"/>
    <c:plotArea>
      <c:layout/>
      <c:barChart>
        <c:barDir val="col"/>
        <c:grouping val="stacked"/>
        <c:varyColors val="0"/>
        <c:ser>
          <c:idx val="0"/>
          <c:order val="0"/>
          <c:spPr>
            <a:solidFill>
              <a:srgbClr val="4672A8"/>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Dashboard2028!$B$5</c:f>
              <c:numCache>
                <c:formatCode>General</c:formatCode>
                <c:ptCount val="1"/>
                <c:pt idx="0">
                  <c:v>0</c:v>
                </c:pt>
              </c:numCache>
            </c:numRef>
          </c:val>
          <c:extLst>
            <c:ext xmlns:c16="http://schemas.microsoft.com/office/drawing/2014/chart" uri="{C3380CC4-5D6E-409C-BE32-E72D297353CC}">
              <c16:uniqueId val="{00000000-2E5A-4420-A304-4552BFD3172F}"/>
            </c:ext>
          </c:extLst>
        </c:ser>
        <c:ser>
          <c:idx val="1"/>
          <c:order val="1"/>
          <c:spPr>
            <a:solidFill>
              <a:srgbClr val="AB47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Dashboard2028!$C$5</c:f>
              <c:numCache>
                <c:formatCode>General</c:formatCode>
                <c:ptCount val="1"/>
                <c:pt idx="0">
                  <c:v>0</c:v>
                </c:pt>
              </c:numCache>
            </c:numRef>
          </c:val>
          <c:extLst>
            <c:ext xmlns:c16="http://schemas.microsoft.com/office/drawing/2014/chart" uri="{C3380CC4-5D6E-409C-BE32-E72D297353CC}">
              <c16:uniqueId val="{00000001-2E5A-4420-A304-4552BFD3172F}"/>
            </c:ext>
          </c:extLst>
        </c:ser>
        <c:ser>
          <c:idx val="2"/>
          <c:order val="2"/>
          <c:spPr>
            <a:solidFill>
              <a:srgbClr val="8AA64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Dashboard2028!$D$5</c:f>
              <c:numCache>
                <c:formatCode>General</c:formatCode>
                <c:ptCount val="1"/>
                <c:pt idx="0">
                  <c:v>0</c:v>
                </c:pt>
              </c:numCache>
            </c:numRef>
          </c:val>
          <c:extLst>
            <c:ext xmlns:c16="http://schemas.microsoft.com/office/drawing/2014/chart" uri="{C3380CC4-5D6E-409C-BE32-E72D297353CC}">
              <c16:uniqueId val="{00000002-2E5A-4420-A304-4552BFD3172F}"/>
            </c:ext>
          </c:extLst>
        </c:ser>
        <c:ser>
          <c:idx val="3"/>
          <c:order val="3"/>
          <c:tx>
            <c:strRef>
              <c:f>"Strengthen"</c:f>
              <c:strCache>
                <c:ptCount val="1"/>
                <c:pt idx="0">
                  <c:v>Strengthen</c:v>
                </c:pt>
              </c:strCache>
            </c:strRef>
          </c:tx>
          <c:spPr>
            <a:solidFill>
              <a:srgbClr val="7259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Dashboard2028!$E$5</c:f>
              <c:numCache>
                <c:formatCode>General</c:formatCode>
                <c:ptCount val="1"/>
                <c:pt idx="0">
                  <c:v>0</c:v>
                </c:pt>
              </c:numCache>
            </c:numRef>
          </c:val>
          <c:extLst>
            <c:ext xmlns:c16="http://schemas.microsoft.com/office/drawing/2014/chart" uri="{C3380CC4-5D6E-409C-BE32-E72D297353CC}">
              <c16:uniqueId val="{00000003-2E5A-4420-A304-4552BFD3172F}"/>
            </c:ext>
          </c:extLst>
        </c:ser>
        <c:ser>
          <c:idx val="4"/>
          <c:order val="4"/>
          <c:spPr>
            <a:solidFill>
              <a:srgbClr val="4299B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Dashboard2028!$B$7</c:f>
              <c:numCache>
                <c:formatCode>General</c:formatCode>
                <c:ptCount val="1"/>
                <c:pt idx="0">
                  <c:v>0</c:v>
                </c:pt>
              </c:numCache>
            </c:numRef>
          </c:val>
          <c:extLst>
            <c:ext xmlns:c16="http://schemas.microsoft.com/office/drawing/2014/chart" uri="{C3380CC4-5D6E-409C-BE32-E72D297353CC}">
              <c16:uniqueId val="{00000004-2E5A-4420-A304-4552BFD3172F}"/>
            </c:ext>
          </c:extLst>
        </c:ser>
        <c:ser>
          <c:idx val="5"/>
          <c:order val="5"/>
          <c:spPr>
            <a:solidFill>
              <a:srgbClr val="DC853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Dashboard2028!$C$7</c:f>
              <c:numCache>
                <c:formatCode>General</c:formatCode>
                <c:ptCount val="1"/>
                <c:pt idx="0">
                  <c:v>0</c:v>
                </c:pt>
              </c:numCache>
            </c:numRef>
          </c:val>
          <c:extLst>
            <c:ext xmlns:c16="http://schemas.microsoft.com/office/drawing/2014/chart" uri="{C3380CC4-5D6E-409C-BE32-E72D297353CC}">
              <c16:uniqueId val="{00000005-2E5A-4420-A304-4552BFD3172F}"/>
            </c:ext>
          </c:extLst>
        </c:ser>
        <c:ser>
          <c:idx val="6"/>
          <c:order val="6"/>
          <c:spPr>
            <a:solidFill>
              <a:srgbClr val="93A9C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Dashboard2028!$D$7</c:f>
              <c:numCache>
                <c:formatCode>General</c:formatCode>
                <c:ptCount val="1"/>
                <c:pt idx="0">
                  <c:v>0</c:v>
                </c:pt>
              </c:numCache>
            </c:numRef>
          </c:val>
          <c:extLst>
            <c:ext xmlns:c16="http://schemas.microsoft.com/office/drawing/2014/chart" uri="{C3380CC4-5D6E-409C-BE32-E72D297353CC}">
              <c16:uniqueId val="{00000006-2E5A-4420-A304-4552BFD3172F}"/>
            </c:ext>
          </c:extLst>
        </c:ser>
        <c:ser>
          <c:idx val="7"/>
          <c:order val="7"/>
          <c:tx>
            <c:strRef>
              <c:f>"Innovation"</c:f>
              <c:strCache>
                <c:ptCount val="1"/>
                <c:pt idx="0">
                  <c:v>Innovation</c:v>
                </c:pt>
              </c:strCache>
            </c:strRef>
          </c:tx>
          <c:spPr>
            <a:solidFill>
              <a:srgbClr val="D09493"/>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Dashboard2028!$E$7</c:f>
              <c:numCache>
                <c:formatCode>General</c:formatCode>
                <c:ptCount val="1"/>
                <c:pt idx="0">
                  <c:v>0</c:v>
                </c:pt>
              </c:numCache>
            </c:numRef>
          </c:val>
          <c:extLst>
            <c:ext xmlns:c16="http://schemas.microsoft.com/office/drawing/2014/chart" uri="{C3380CC4-5D6E-409C-BE32-E72D297353CC}">
              <c16:uniqueId val="{00000007-2E5A-4420-A304-4552BFD3172F}"/>
            </c:ext>
          </c:extLst>
        </c:ser>
        <c:ser>
          <c:idx val="8"/>
          <c:order val="8"/>
          <c:spPr>
            <a:solidFill>
              <a:srgbClr val="B8CD9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Dashboard2028!$B$9</c:f>
              <c:numCache>
                <c:formatCode>General</c:formatCode>
                <c:ptCount val="1"/>
                <c:pt idx="0">
                  <c:v>0</c:v>
                </c:pt>
              </c:numCache>
            </c:numRef>
          </c:val>
          <c:extLst>
            <c:ext xmlns:c16="http://schemas.microsoft.com/office/drawing/2014/chart" uri="{C3380CC4-5D6E-409C-BE32-E72D297353CC}">
              <c16:uniqueId val="{00000008-2E5A-4420-A304-4552BFD3172F}"/>
            </c:ext>
          </c:extLst>
        </c:ser>
        <c:ser>
          <c:idx val="9"/>
          <c:order val="9"/>
          <c:spPr>
            <a:solidFill>
              <a:srgbClr val="A99B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Dashboard2028!$C$9</c:f>
              <c:numCache>
                <c:formatCode>General</c:formatCode>
                <c:ptCount val="1"/>
                <c:pt idx="0">
                  <c:v>0</c:v>
                </c:pt>
              </c:numCache>
            </c:numRef>
          </c:val>
          <c:extLst>
            <c:ext xmlns:c16="http://schemas.microsoft.com/office/drawing/2014/chart" uri="{C3380CC4-5D6E-409C-BE32-E72D297353CC}">
              <c16:uniqueId val="{00000009-2E5A-4420-A304-4552BFD3172F}"/>
            </c:ext>
          </c:extLst>
        </c:ser>
        <c:ser>
          <c:idx val="10"/>
          <c:order val="10"/>
          <c:spPr>
            <a:solidFill>
              <a:srgbClr val="92C3D5"/>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Dashboard2028!$D$9</c:f>
              <c:numCache>
                <c:formatCode>General</c:formatCode>
                <c:ptCount val="1"/>
                <c:pt idx="0">
                  <c:v>0</c:v>
                </c:pt>
              </c:numCache>
            </c:numRef>
          </c:val>
          <c:extLst>
            <c:ext xmlns:c16="http://schemas.microsoft.com/office/drawing/2014/chart" uri="{C3380CC4-5D6E-409C-BE32-E72D297353CC}">
              <c16:uniqueId val="{0000000A-2E5A-4420-A304-4552BFD3172F}"/>
            </c:ext>
          </c:extLst>
        </c:ser>
        <c:ser>
          <c:idx val="11"/>
          <c:order val="11"/>
          <c:tx>
            <c:strRef>
              <c:f>"Repair"</c:f>
              <c:strCache>
                <c:ptCount val="1"/>
                <c:pt idx="0">
                  <c:v>Repair</c:v>
                </c:pt>
              </c:strCache>
            </c:strRef>
          </c:tx>
          <c:spPr>
            <a:solidFill>
              <a:srgbClr val="F8B5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Dashboard2028!$B$4:$E$4</c:f>
              <c:strCache>
                <c:ptCount val="4"/>
                <c:pt idx="0">
                  <c:v>Q1</c:v>
                </c:pt>
                <c:pt idx="1">
                  <c:v>Q2</c:v>
                </c:pt>
                <c:pt idx="2">
                  <c:v>Q3</c:v>
                </c:pt>
                <c:pt idx="3">
                  <c:v>Q4</c:v>
                </c:pt>
              </c:strCache>
            </c:strRef>
          </c:cat>
          <c:val>
            <c:numRef>
              <c:f>Dashboard2028!$E$9</c:f>
              <c:numCache>
                <c:formatCode>General</c:formatCode>
                <c:ptCount val="1"/>
                <c:pt idx="0">
                  <c:v>0</c:v>
                </c:pt>
              </c:numCache>
            </c:numRef>
          </c:val>
          <c:extLst>
            <c:ext xmlns:c16="http://schemas.microsoft.com/office/drawing/2014/chart" uri="{C3380CC4-5D6E-409C-BE32-E72D297353CC}">
              <c16:uniqueId val="{0000000B-2E5A-4420-A304-4552BFD3172F}"/>
            </c:ext>
          </c:extLst>
        </c:ser>
        <c:dLbls>
          <c:showLegendKey val="0"/>
          <c:showVal val="0"/>
          <c:showCatName val="0"/>
          <c:showSerName val="0"/>
          <c:showPercent val="0"/>
          <c:showBubbleSize val="0"/>
        </c:dLbls>
        <c:gapWidth val="150"/>
        <c:overlap val="100"/>
        <c:axId val="89713138"/>
        <c:axId val="90766539"/>
      </c:barChart>
      <c:catAx>
        <c:axId val="8971313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Quartal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766539"/>
        <c:crosses val="autoZero"/>
        <c:auto val="1"/>
        <c:lblAlgn val="ctr"/>
        <c:lblOffset val="100"/>
        <c:noMultiLvlLbl val="0"/>
      </c:catAx>
      <c:valAx>
        <c:axId val="9076653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Anzahl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71313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Kapazität vs. Geplante Stunden 2028</a:t>
            </a:r>
          </a:p>
        </c:rich>
      </c:tx>
      <c:overlay val="0"/>
      <c:spPr>
        <a:noFill/>
        <a:ln w="0">
          <a:noFill/>
        </a:ln>
      </c:spPr>
    </c:title>
    <c:autoTitleDeleted val="0"/>
    <c:plotArea>
      <c:layout/>
      <c:barChart>
        <c:barDir val="col"/>
        <c:grouping val="clustered"/>
        <c:varyColors val="0"/>
        <c:ser>
          <c:idx val="0"/>
          <c:order val="0"/>
          <c:spPr>
            <a:solidFill>
              <a:srgbClr val="4672A8"/>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Dashboard2028!$B$15:$E$15</c:f>
              <c:strCache>
                <c:ptCount val="4"/>
                <c:pt idx="0">
                  <c:v>Q1</c:v>
                </c:pt>
                <c:pt idx="1">
                  <c:v>Q2</c:v>
                </c:pt>
                <c:pt idx="2">
                  <c:v>Q3</c:v>
                </c:pt>
                <c:pt idx="3">
                  <c:v>Q4</c:v>
                </c:pt>
              </c:strCache>
            </c:strRef>
          </c:cat>
          <c:val>
            <c:numRef>
              <c:f>Dashboard2028!$B$16</c:f>
              <c:numCache>
                <c:formatCode>0" h"</c:formatCode>
                <c:ptCount val="1"/>
                <c:pt idx="0">
                  <c:v>400</c:v>
                </c:pt>
              </c:numCache>
            </c:numRef>
          </c:val>
          <c:extLst>
            <c:ext xmlns:c16="http://schemas.microsoft.com/office/drawing/2014/chart" uri="{C3380CC4-5D6E-409C-BE32-E72D297353CC}">
              <c16:uniqueId val="{00000000-A0B0-467F-AF75-87742AF4BE28}"/>
            </c:ext>
          </c:extLst>
        </c:ser>
        <c:ser>
          <c:idx val="1"/>
          <c:order val="1"/>
          <c:spPr>
            <a:solidFill>
              <a:srgbClr val="AB47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Dashboard2028!$B$15:$E$15</c:f>
              <c:strCache>
                <c:ptCount val="4"/>
                <c:pt idx="0">
                  <c:v>Q1</c:v>
                </c:pt>
                <c:pt idx="1">
                  <c:v>Q2</c:v>
                </c:pt>
                <c:pt idx="2">
                  <c:v>Q3</c:v>
                </c:pt>
                <c:pt idx="3">
                  <c:v>Q4</c:v>
                </c:pt>
              </c:strCache>
            </c:strRef>
          </c:cat>
          <c:val>
            <c:numRef>
              <c:f>Dashboard2028!$C$16</c:f>
              <c:numCache>
                <c:formatCode>0" h"</c:formatCode>
                <c:ptCount val="1"/>
                <c:pt idx="0">
                  <c:v>360</c:v>
                </c:pt>
              </c:numCache>
            </c:numRef>
          </c:val>
          <c:extLst>
            <c:ext xmlns:c16="http://schemas.microsoft.com/office/drawing/2014/chart" uri="{C3380CC4-5D6E-409C-BE32-E72D297353CC}">
              <c16:uniqueId val="{00000001-A0B0-467F-AF75-87742AF4BE28}"/>
            </c:ext>
          </c:extLst>
        </c:ser>
        <c:ser>
          <c:idx val="2"/>
          <c:order val="2"/>
          <c:spPr>
            <a:solidFill>
              <a:srgbClr val="8AA64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Dashboard2028!$B$15:$E$15</c:f>
              <c:strCache>
                <c:ptCount val="4"/>
                <c:pt idx="0">
                  <c:v>Q1</c:v>
                </c:pt>
                <c:pt idx="1">
                  <c:v>Q2</c:v>
                </c:pt>
                <c:pt idx="2">
                  <c:v>Q3</c:v>
                </c:pt>
                <c:pt idx="3">
                  <c:v>Q4</c:v>
                </c:pt>
              </c:strCache>
            </c:strRef>
          </c:cat>
          <c:val>
            <c:numRef>
              <c:f>Dashboard2028!$D$16</c:f>
              <c:numCache>
                <c:formatCode>0" h"</c:formatCode>
                <c:ptCount val="1"/>
                <c:pt idx="0">
                  <c:v>320</c:v>
                </c:pt>
              </c:numCache>
            </c:numRef>
          </c:val>
          <c:extLst>
            <c:ext xmlns:c16="http://schemas.microsoft.com/office/drawing/2014/chart" uri="{C3380CC4-5D6E-409C-BE32-E72D297353CC}">
              <c16:uniqueId val="{00000002-A0B0-467F-AF75-87742AF4BE28}"/>
            </c:ext>
          </c:extLst>
        </c:ser>
        <c:ser>
          <c:idx val="3"/>
          <c:order val="3"/>
          <c:tx>
            <c:strRef>
              <c:f>"Kapazität"</c:f>
              <c:strCache>
                <c:ptCount val="1"/>
                <c:pt idx="0">
                  <c:v>Kapazität</c:v>
                </c:pt>
              </c:strCache>
            </c:strRef>
          </c:tx>
          <c:spPr>
            <a:solidFill>
              <a:srgbClr val="7259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Dashboard2028!$B$15:$E$15</c:f>
              <c:strCache>
                <c:ptCount val="4"/>
                <c:pt idx="0">
                  <c:v>Q1</c:v>
                </c:pt>
                <c:pt idx="1">
                  <c:v>Q2</c:v>
                </c:pt>
                <c:pt idx="2">
                  <c:v>Q3</c:v>
                </c:pt>
                <c:pt idx="3">
                  <c:v>Q4</c:v>
                </c:pt>
              </c:strCache>
            </c:strRef>
          </c:cat>
          <c:val>
            <c:numRef>
              <c:f>Dashboard2028!$E$16</c:f>
              <c:numCache>
                <c:formatCode>0" h"</c:formatCode>
                <c:ptCount val="1"/>
                <c:pt idx="0">
                  <c:v>360</c:v>
                </c:pt>
              </c:numCache>
            </c:numRef>
          </c:val>
          <c:extLst>
            <c:ext xmlns:c16="http://schemas.microsoft.com/office/drawing/2014/chart" uri="{C3380CC4-5D6E-409C-BE32-E72D297353CC}">
              <c16:uniqueId val="{00000003-A0B0-467F-AF75-87742AF4BE28}"/>
            </c:ext>
          </c:extLst>
        </c:ser>
        <c:ser>
          <c:idx val="4"/>
          <c:order val="4"/>
          <c:spPr>
            <a:solidFill>
              <a:srgbClr val="4299B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Dashboard2028!$B$15:$E$15</c:f>
              <c:strCache>
                <c:ptCount val="4"/>
                <c:pt idx="0">
                  <c:v>Q1</c:v>
                </c:pt>
                <c:pt idx="1">
                  <c:v>Q2</c:v>
                </c:pt>
                <c:pt idx="2">
                  <c:v>Q3</c:v>
                </c:pt>
                <c:pt idx="3">
                  <c:v>Q4</c:v>
                </c:pt>
              </c:strCache>
            </c:strRef>
          </c:cat>
          <c:val>
            <c:numRef>
              <c:f>Dashboard2028!$B$19</c:f>
              <c:numCache>
                <c:formatCode>0" h"</c:formatCode>
                <c:ptCount val="1"/>
                <c:pt idx="0">
                  <c:v>0</c:v>
                </c:pt>
              </c:numCache>
            </c:numRef>
          </c:val>
          <c:extLst>
            <c:ext xmlns:c16="http://schemas.microsoft.com/office/drawing/2014/chart" uri="{C3380CC4-5D6E-409C-BE32-E72D297353CC}">
              <c16:uniqueId val="{00000004-A0B0-467F-AF75-87742AF4BE28}"/>
            </c:ext>
          </c:extLst>
        </c:ser>
        <c:ser>
          <c:idx val="5"/>
          <c:order val="5"/>
          <c:spPr>
            <a:solidFill>
              <a:srgbClr val="DC853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Dashboard2028!$B$15:$E$15</c:f>
              <c:strCache>
                <c:ptCount val="4"/>
                <c:pt idx="0">
                  <c:v>Q1</c:v>
                </c:pt>
                <c:pt idx="1">
                  <c:v>Q2</c:v>
                </c:pt>
                <c:pt idx="2">
                  <c:v>Q3</c:v>
                </c:pt>
                <c:pt idx="3">
                  <c:v>Q4</c:v>
                </c:pt>
              </c:strCache>
            </c:strRef>
          </c:cat>
          <c:val>
            <c:numRef>
              <c:f>Dashboard2028!$C$19</c:f>
              <c:numCache>
                <c:formatCode>0" h"</c:formatCode>
                <c:ptCount val="1"/>
                <c:pt idx="0">
                  <c:v>0</c:v>
                </c:pt>
              </c:numCache>
            </c:numRef>
          </c:val>
          <c:extLst>
            <c:ext xmlns:c16="http://schemas.microsoft.com/office/drawing/2014/chart" uri="{C3380CC4-5D6E-409C-BE32-E72D297353CC}">
              <c16:uniqueId val="{00000005-A0B0-467F-AF75-87742AF4BE28}"/>
            </c:ext>
          </c:extLst>
        </c:ser>
        <c:ser>
          <c:idx val="6"/>
          <c:order val="6"/>
          <c:spPr>
            <a:solidFill>
              <a:srgbClr val="93A9C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Dashboard2028!$B$15:$E$15</c:f>
              <c:strCache>
                <c:ptCount val="4"/>
                <c:pt idx="0">
                  <c:v>Q1</c:v>
                </c:pt>
                <c:pt idx="1">
                  <c:v>Q2</c:v>
                </c:pt>
                <c:pt idx="2">
                  <c:v>Q3</c:v>
                </c:pt>
                <c:pt idx="3">
                  <c:v>Q4</c:v>
                </c:pt>
              </c:strCache>
            </c:strRef>
          </c:cat>
          <c:val>
            <c:numRef>
              <c:f>Dashboard2028!$D$19</c:f>
              <c:numCache>
                <c:formatCode>0" h"</c:formatCode>
                <c:ptCount val="1"/>
                <c:pt idx="0">
                  <c:v>0</c:v>
                </c:pt>
              </c:numCache>
            </c:numRef>
          </c:val>
          <c:extLst>
            <c:ext xmlns:c16="http://schemas.microsoft.com/office/drawing/2014/chart" uri="{C3380CC4-5D6E-409C-BE32-E72D297353CC}">
              <c16:uniqueId val="{00000006-A0B0-467F-AF75-87742AF4BE28}"/>
            </c:ext>
          </c:extLst>
        </c:ser>
        <c:ser>
          <c:idx val="7"/>
          <c:order val="7"/>
          <c:tx>
            <c:strRef>
              <c:f>"Geplant"</c:f>
              <c:strCache>
                <c:ptCount val="1"/>
                <c:pt idx="0">
                  <c:v>Geplant</c:v>
                </c:pt>
              </c:strCache>
            </c:strRef>
          </c:tx>
          <c:spPr>
            <a:solidFill>
              <a:srgbClr val="D09493"/>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Dashboard2028!$B$15:$E$15</c:f>
              <c:strCache>
                <c:ptCount val="4"/>
                <c:pt idx="0">
                  <c:v>Q1</c:v>
                </c:pt>
                <c:pt idx="1">
                  <c:v>Q2</c:v>
                </c:pt>
                <c:pt idx="2">
                  <c:v>Q3</c:v>
                </c:pt>
                <c:pt idx="3">
                  <c:v>Q4</c:v>
                </c:pt>
              </c:strCache>
            </c:strRef>
          </c:cat>
          <c:val>
            <c:numRef>
              <c:f>Dashboard2028!$E$19</c:f>
              <c:numCache>
                <c:formatCode>0" h"</c:formatCode>
                <c:ptCount val="1"/>
                <c:pt idx="0">
                  <c:v>0</c:v>
                </c:pt>
              </c:numCache>
            </c:numRef>
          </c:val>
          <c:extLst>
            <c:ext xmlns:c16="http://schemas.microsoft.com/office/drawing/2014/chart" uri="{C3380CC4-5D6E-409C-BE32-E72D297353CC}">
              <c16:uniqueId val="{00000007-A0B0-467F-AF75-87742AF4BE28}"/>
            </c:ext>
          </c:extLst>
        </c:ser>
        <c:dLbls>
          <c:showLegendKey val="0"/>
          <c:showVal val="0"/>
          <c:showCatName val="0"/>
          <c:showSerName val="0"/>
          <c:showPercent val="0"/>
          <c:showBubbleSize val="0"/>
        </c:dLbls>
        <c:gapWidth val="150"/>
        <c:axId val="19911772"/>
        <c:axId val="2639300"/>
      </c:barChart>
      <c:catAx>
        <c:axId val="19911772"/>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Quartal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39300"/>
        <c:crosses val="autoZero"/>
        <c:auto val="1"/>
        <c:lblAlgn val="ctr"/>
        <c:lblOffset val="100"/>
        <c:noMultiLvlLbl val="0"/>
      </c:catAx>
      <c:valAx>
        <c:axId val="263930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Stunden</a:t>
                </a:r>
              </a:p>
            </c:rich>
          </c:tx>
          <c:overlay val="0"/>
          <c:spPr>
            <a:noFill/>
            <a:ln w="0">
              <a:noFill/>
            </a:ln>
          </c:spPr>
        </c:title>
        <c:numFmt formatCode="0&quot; h&quot;"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91177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7</xdr:col>
      <xdr:colOff>1057275</xdr:colOff>
      <xdr:row>0</xdr:row>
      <xdr:rowOff>0</xdr:rowOff>
    </xdr:from>
    <xdr:to>
      <xdr:col>17</xdr:col>
      <xdr:colOff>246585</xdr:colOff>
      <xdr:row>13</xdr:row>
      <xdr:rowOff>198975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13</xdr:row>
      <xdr:rowOff>209550</xdr:rowOff>
    </xdr:from>
    <xdr:to>
      <xdr:col>17</xdr:col>
      <xdr:colOff>256110</xdr:colOff>
      <xdr:row>28</xdr:row>
      <xdr:rowOff>123045</xdr:rowOff>
    </xdr:to>
    <xdr:graphicFrame macro="">
      <xdr:nvGraphicFramePr>
        <xdr:cNvPr id="3" name="Chart 2">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2</xdr:row>
      <xdr:rowOff>0</xdr:rowOff>
    </xdr:from>
    <xdr:to>
      <xdr:col>15</xdr:col>
      <xdr:colOff>351360</xdr:colOff>
      <xdr:row>16</xdr:row>
      <xdr:rowOff>246600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14</xdr:row>
      <xdr:rowOff>0</xdr:rowOff>
    </xdr:from>
    <xdr:to>
      <xdr:col>15</xdr:col>
      <xdr:colOff>351360</xdr:colOff>
      <xdr:row>28</xdr:row>
      <xdr:rowOff>189720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2</xdr:row>
      <xdr:rowOff>0</xdr:rowOff>
    </xdr:from>
    <xdr:to>
      <xdr:col>15</xdr:col>
      <xdr:colOff>351360</xdr:colOff>
      <xdr:row>16</xdr:row>
      <xdr:rowOff>246600</xdr:rowOff>
    </xdr:to>
    <xdr:graphicFrame macro="">
      <xdr:nvGraphicFramePr>
        <xdr:cNvPr id="4" name="Chart 1">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14</xdr:row>
      <xdr:rowOff>0</xdr:rowOff>
    </xdr:from>
    <xdr:to>
      <xdr:col>15</xdr:col>
      <xdr:colOff>351360</xdr:colOff>
      <xdr:row>28</xdr:row>
      <xdr:rowOff>189720</xdr:rowOff>
    </xdr:to>
    <xdr:graphicFrame macro="">
      <xdr:nvGraphicFramePr>
        <xdr:cNvPr id="5" name="Chart 2">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8000000}" name="Tbl_POBacklog" displayName="Tbl_POBacklog" ref="A2:I82" totalsRowShown="0">
  <autoFilter ref="A2:I82" xr:uid="{00000000-0009-0000-0100-00000D000000}"/>
  <tableColumns count="9">
    <tableColumn id="1" xr3:uid="{00000000-0010-0000-0800-000001000000}" name="#"/>
    <tableColumn id="2" xr3:uid="{00000000-0010-0000-0800-000002000000}" name="Projekttitel"/>
    <tableColumn id="3" xr3:uid="{00000000-0010-0000-0800-000003000000}" name="Größe"/>
    <tableColumn id="4" xr3:uid="{00000000-0010-0000-0800-000004000000}" name="Value-Bucket"/>
    <tableColumn id="5" xr3:uid="{00000000-0010-0000-0800-000005000000}" name="Quartal"/>
    <tableColumn id="6" xr3:uid="{00000000-0010-0000-0800-000006000000}" name="MoSCoW"/>
    <tableColumn id="7" xr3:uid="{00000000-0010-0000-0800-000007000000}" name="Team"/>
    <tableColumn id="8" xr3:uid="{00000000-0010-0000-0800-000008000000}" name="Std."/>
    <tableColumn id="9" xr3:uid="{00000000-0010-0000-0800-000009000000}" name="Bemerkunge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mTbl_2026_Q1" displayName="RmTbl_2026_Q1" ref="B17:D97" totalsRowShown="0" headerRowDxfId="102" dataDxfId="101">
  <autoFilter ref="B17:D97" xr:uid="{00000000-0009-0000-0100-000001000000}"/>
  <tableColumns count="3">
    <tableColumn id="1" xr3:uid="{00000000-0010-0000-0000-000001000000}" name="Projekttitel" dataDxfId="100"/>
    <tableColumn id="2" xr3:uid="{00000000-0010-0000-0000-000002000000}" name="Größe" dataDxfId="99"/>
    <tableColumn id="3" xr3:uid="{00000000-0010-0000-0000-000003000000}" name="Value" dataDxfId="9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mTbl_2026_Q2" displayName="RmTbl_2026_Q2" ref="F17:H97" totalsRowShown="0" headerRowDxfId="97" dataDxfId="96">
  <autoFilter ref="F17:H97" xr:uid="{00000000-0009-0000-0100-000002000000}"/>
  <tableColumns count="3">
    <tableColumn id="1" xr3:uid="{00000000-0010-0000-0100-000001000000}" name="Projekttitel" dataDxfId="95"/>
    <tableColumn id="2" xr3:uid="{00000000-0010-0000-0100-000002000000}" name="Größe" dataDxfId="94"/>
    <tableColumn id="3" xr3:uid="{00000000-0010-0000-0100-000003000000}" name="Value" dataDxfId="9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mTbl_2026_Q3" displayName="RmTbl_2026_Q3" ref="J17:L97" totalsRowShown="0" headerRowDxfId="92" dataDxfId="91">
  <autoFilter ref="J17:L97" xr:uid="{00000000-0009-0000-0100-000003000000}"/>
  <tableColumns count="3">
    <tableColumn id="1" xr3:uid="{00000000-0010-0000-0200-000001000000}" name="Projekttitel" dataDxfId="90"/>
    <tableColumn id="2" xr3:uid="{00000000-0010-0000-0200-000002000000}" name="Größe" dataDxfId="89"/>
    <tableColumn id="3" xr3:uid="{00000000-0010-0000-0200-000003000000}" name="Value" dataDxfId="8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mTbl_2026_Q4" displayName="RmTbl_2026_Q4" ref="N17:P97" totalsRowShown="0" headerRowDxfId="87" dataDxfId="86">
  <autoFilter ref="N17:P97" xr:uid="{00000000-0009-0000-0100-000004000000}"/>
  <tableColumns count="3">
    <tableColumn id="1" xr3:uid="{00000000-0010-0000-0300-000001000000}" name="Projekttitel" dataDxfId="85"/>
    <tableColumn id="2" xr3:uid="{00000000-0010-0000-0300-000002000000}" name="Größe" dataDxfId="84"/>
    <tableColumn id="3" xr3:uid="{00000000-0010-0000-0300-000003000000}" name="Value" dataDxfId="8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Tbl_Q12026" displayName="Tbl_Q12026" ref="A2:I82" totalsRowShown="0">
  <autoFilter ref="A2:I82" xr:uid="{00000000-0009-0000-0100-000010000000}"/>
  <tableColumns count="9">
    <tableColumn id="1" xr3:uid="{00000000-0010-0000-0400-000001000000}" name="#"/>
    <tableColumn id="2" xr3:uid="{00000000-0010-0000-0400-000002000000}" name="Projekttitel"/>
    <tableColumn id="3" xr3:uid="{00000000-0010-0000-0400-000003000000}" name="Größe"/>
    <tableColumn id="4" xr3:uid="{00000000-0010-0000-0400-000004000000}" name="Value-Bucket"/>
    <tableColumn id="5" xr3:uid="{00000000-0010-0000-0400-000005000000}" name="Quartal"/>
    <tableColumn id="6" xr3:uid="{00000000-0010-0000-0400-000006000000}" name="MoSCoW"/>
    <tableColumn id="7" xr3:uid="{00000000-0010-0000-0400-000007000000}" name="Team"/>
    <tableColumn id="8" xr3:uid="{00000000-0010-0000-0400-000008000000}" name="Std."/>
    <tableColumn id="9" xr3:uid="{00000000-0010-0000-0400-000009000000}" name="Bemerkunge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5000000}" name="Tbl_Q22026" displayName="Tbl_Q22026" ref="A2:I82" totalsRowShown="0">
  <autoFilter ref="A2:I82" xr:uid="{00000000-0009-0000-0100-000013000000}"/>
  <sortState xmlns:xlrd2="http://schemas.microsoft.com/office/spreadsheetml/2017/richdata2" ref="A3:I82">
    <sortCondition descending="1" ref="G2:G82"/>
  </sortState>
  <tableColumns count="9">
    <tableColumn id="1" xr3:uid="{00000000-0010-0000-0500-000001000000}" name="#"/>
    <tableColumn id="2" xr3:uid="{00000000-0010-0000-0500-000002000000}" name="Projekttitel"/>
    <tableColumn id="3" xr3:uid="{00000000-0010-0000-0500-000003000000}" name="Größe"/>
    <tableColumn id="4" xr3:uid="{00000000-0010-0000-0500-000004000000}" name="Value-Bucket"/>
    <tableColumn id="5" xr3:uid="{00000000-0010-0000-0500-000005000000}" name="Quartal"/>
    <tableColumn id="6" xr3:uid="{00000000-0010-0000-0500-000006000000}" name="MoSCoW"/>
    <tableColumn id="7" xr3:uid="{00000000-0010-0000-0500-000007000000}" name="Team"/>
    <tableColumn id="8" xr3:uid="{00000000-0010-0000-0500-000008000000}" name="Std."/>
    <tableColumn id="9" xr3:uid="{00000000-0010-0000-0500-000009000000}" name="Bemerkunge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6000000}" name="Tbl_Q32026" displayName="Tbl_Q32026" ref="A2:I82" totalsRowShown="0">
  <autoFilter ref="A2:I82" xr:uid="{00000000-0009-0000-0100-000016000000}"/>
  <sortState xmlns:xlrd2="http://schemas.microsoft.com/office/spreadsheetml/2017/richdata2" ref="A3:I82">
    <sortCondition ref="G2:G82"/>
  </sortState>
  <tableColumns count="9">
    <tableColumn id="1" xr3:uid="{00000000-0010-0000-0600-000001000000}" name="#"/>
    <tableColumn id="2" xr3:uid="{00000000-0010-0000-0600-000002000000}" name="Projekttitel"/>
    <tableColumn id="3" xr3:uid="{00000000-0010-0000-0600-000003000000}" name="Größe"/>
    <tableColumn id="4" xr3:uid="{00000000-0010-0000-0600-000004000000}" name="Value-Bucket"/>
    <tableColumn id="5" xr3:uid="{00000000-0010-0000-0600-000005000000}" name="Quartal"/>
    <tableColumn id="6" xr3:uid="{00000000-0010-0000-0600-000006000000}" name="MoSCoW"/>
    <tableColumn id="7" xr3:uid="{00000000-0010-0000-0600-000007000000}" name="Team"/>
    <tableColumn id="8" xr3:uid="{00000000-0010-0000-0600-000008000000}" name="Std."/>
    <tableColumn id="9" xr3:uid="{00000000-0010-0000-0600-000009000000}" name="Bemerkunge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7000000}" name="Tbl_Q42026" displayName="Tbl_Q42026" ref="A2:I82" totalsRowShown="0">
  <autoFilter ref="A2:I82" xr:uid="{00000000-0009-0000-0100-000019000000}"/>
  <tableColumns count="9">
    <tableColumn id="1" xr3:uid="{00000000-0010-0000-0700-000001000000}" name="#"/>
    <tableColumn id="2" xr3:uid="{00000000-0010-0000-0700-000002000000}" name="Projekttitel"/>
    <tableColumn id="3" xr3:uid="{00000000-0010-0000-0700-000003000000}" name="Größe"/>
    <tableColumn id="4" xr3:uid="{00000000-0010-0000-0700-000004000000}" name="Value-Bucket"/>
    <tableColumn id="5" xr3:uid="{00000000-0010-0000-0700-000005000000}" name="Quartal"/>
    <tableColumn id="6" xr3:uid="{00000000-0010-0000-0700-000006000000}" name="MoSCoW"/>
    <tableColumn id="7" xr3:uid="{00000000-0010-0000-0700-000007000000}" name="Team"/>
    <tableColumn id="8" xr3:uid="{00000000-0010-0000-0700-000008000000}" name="Std."/>
    <tableColumn id="9" xr3:uid="{00000000-0010-0000-0700-000009000000}" name="Bemerkunge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1000000}" name="Tbl_POBacklog2027" displayName="Tbl_POBacklog2027" ref="A2:I82" totalsRowShown="0">
  <autoFilter ref="A2:I82" xr:uid="{00000000-0009-0000-0100-00000E000000}"/>
  <tableColumns count="9">
    <tableColumn id="1" xr3:uid="{00000000-0010-0000-1100-000001000000}" name="#"/>
    <tableColumn id="2" xr3:uid="{00000000-0010-0000-1100-000002000000}" name="Projekttitel"/>
    <tableColumn id="3" xr3:uid="{00000000-0010-0000-1100-000003000000}" name="Größe"/>
    <tableColumn id="4" xr3:uid="{00000000-0010-0000-1100-000004000000}" name="Value-Bucket"/>
    <tableColumn id="5" xr3:uid="{00000000-0010-0000-1100-000005000000}" name="Quartal"/>
    <tableColumn id="6" xr3:uid="{00000000-0010-0000-1100-000006000000}" name="MoSCoW"/>
    <tableColumn id="7" xr3:uid="{00000000-0010-0000-1100-000007000000}" name="Team"/>
    <tableColumn id="8" xr3:uid="{00000000-0010-0000-1100-000008000000}" name="Std."/>
    <tableColumn id="9" xr3:uid="{00000000-0010-0000-1100-000009000000}" name="Bemerkunge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9000000}" name="RmTbl_2027_Q1" displayName="RmTbl_2027_Q1" ref="B17:D97" totalsRowShown="0">
  <autoFilter ref="B17:D97" xr:uid="{00000000-0009-0000-0100-000005000000}"/>
  <tableColumns count="3">
    <tableColumn id="1" xr3:uid="{00000000-0010-0000-0900-000001000000}" name="Projekttitel"/>
    <tableColumn id="2" xr3:uid="{00000000-0010-0000-0900-000002000000}" name="Größe"/>
    <tableColumn id="3" xr3:uid="{00000000-0010-0000-0900-000003000000}" name="Value"/>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A000000}" name="RmTbl_2027_Q2" displayName="RmTbl_2027_Q2" ref="F17:H97" totalsRowShown="0">
  <autoFilter ref="F17:H97" xr:uid="{00000000-0009-0000-0100-000006000000}"/>
  <tableColumns count="3">
    <tableColumn id="1" xr3:uid="{00000000-0010-0000-0A00-000001000000}" name="Projekttitel"/>
    <tableColumn id="2" xr3:uid="{00000000-0010-0000-0A00-000002000000}" name="Größe"/>
    <tableColumn id="3" xr3:uid="{00000000-0010-0000-0A00-000003000000}" name="Value"/>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RmTbl_2027_Q3" displayName="RmTbl_2027_Q3" ref="J17:L97" totalsRowShown="0">
  <autoFilter ref="J17:L97" xr:uid="{00000000-0009-0000-0100-000007000000}"/>
  <tableColumns count="3">
    <tableColumn id="1" xr3:uid="{00000000-0010-0000-0B00-000001000000}" name="Projekttitel"/>
    <tableColumn id="2" xr3:uid="{00000000-0010-0000-0B00-000002000000}" name="Größe"/>
    <tableColumn id="3" xr3:uid="{00000000-0010-0000-0B00-000003000000}" name="Value"/>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C000000}" name="RmTbl_2027_Q4" displayName="RmTbl_2027_Q4" ref="N17:P97" totalsRowShown="0">
  <autoFilter ref="N17:P97" xr:uid="{00000000-0009-0000-0100-000008000000}"/>
  <tableColumns count="3">
    <tableColumn id="1" xr3:uid="{00000000-0010-0000-0C00-000001000000}" name="Projekttitel"/>
    <tableColumn id="2" xr3:uid="{00000000-0010-0000-0C00-000002000000}" name="Größe"/>
    <tableColumn id="3" xr3:uid="{00000000-0010-0000-0C00-000003000000}" name="Value"/>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D000000}" name="Tbl_Q12027" displayName="Tbl_Q12027" ref="A2:I82" totalsRowShown="0">
  <autoFilter ref="A2:I82" xr:uid="{00000000-0009-0000-0100-000011000000}"/>
  <tableColumns count="9">
    <tableColumn id="1" xr3:uid="{00000000-0010-0000-0D00-000001000000}" name="#"/>
    <tableColumn id="2" xr3:uid="{00000000-0010-0000-0D00-000002000000}" name="Projekttitel"/>
    <tableColumn id="3" xr3:uid="{00000000-0010-0000-0D00-000003000000}" name="Größe"/>
    <tableColumn id="4" xr3:uid="{00000000-0010-0000-0D00-000004000000}" name="Value-Bucket"/>
    <tableColumn id="5" xr3:uid="{00000000-0010-0000-0D00-000005000000}" name="Quartal"/>
    <tableColumn id="6" xr3:uid="{00000000-0010-0000-0D00-000006000000}" name="MoSCoW"/>
    <tableColumn id="7" xr3:uid="{00000000-0010-0000-0D00-000007000000}" name="Team"/>
    <tableColumn id="8" xr3:uid="{00000000-0010-0000-0D00-000008000000}" name="Std."/>
    <tableColumn id="9" xr3:uid="{00000000-0010-0000-0D00-000009000000}" name="Bemerkungen"/>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E000000}" name="Tbl_Q22027" displayName="Tbl_Q22027" ref="A2:I82" totalsRowShown="0">
  <autoFilter ref="A2:I82" xr:uid="{00000000-0009-0000-0100-000014000000}"/>
  <tableColumns count="9">
    <tableColumn id="1" xr3:uid="{00000000-0010-0000-0E00-000001000000}" name="#"/>
    <tableColumn id="2" xr3:uid="{00000000-0010-0000-0E00-000002000000}" name="Projekttitel"/>
    <tableColumn id="3" xr3:uid="{00000000-0010-0000-0E00-000003000000}" name="Größe"/>
    <tableColumn id="4" xr3:uid="{00000000-0010-0000-0E00-000004000000}" name="Value-Bucket"/>
    <tableColumn id="5" xr3:uid="{00000000-0010-0000-0E00-000005000000}" name="Quartal"/>
    <tableColumn id="6" xr3:uid="{00000000-0010-0000-0E00-000006000000}" name="MoSCoW"/>
    <tableColumn id="7" xr3:uid="{00000000-0010-0000-0E00-000007000000}" name="Team"/>
    <tableColumn id="8" xr3:uid="{00000000-0010-0000-0E00-000008000000}" name="Std."/>
    <tableColumn id="9" xr3:uid="{00000000-0010-0000-0E00-000009000000}" name="Bemerkungen"/>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F000000}" name="Tbl_Q32027" displayName="Tbl_Q32027" ref="A2:I82" totalsRowShown="0">
  <autoFilter ref="A2:I82" xr:uid="{00000000-0009-0000-0100-000017000000}"/>
  <tableColumns count="9">
    <tableColumn id="1" xr3:uid="{00000000-0010-0000-0F00-000001000000}" name="#"/>
    <tableColumn id="2" xr3:uid="{00000000-0010-0000-0F00-000002000000}" name="Projekttitel"/>
    <tableColumn id="3" xr3:uid="{00000000-0010-0000-0F00-000003000000}" name="Größe"/>
    <tableColumn id="4" xr3:uid="{00000000-0010-0000-0F00-000004000000}" name="Value-Bucket"/>
    <tableColumn id="5" xr3:uid="{00000000-0010-0000-0F00-000005000000}" name="Quartal"/>
    <tableColumn id="6" xr3:uid="{00000000-0010-0000-0F00-000006000000}" name="MoSCoW"/>
    <tableColumn id="7" xr3:uid="{00000000-0010-0000-0F00-000007000000}" name="Team"/>
    <tableColumn id="8" xr3:uid="{00000000-0010-0000-0F00-000008000000}" name="Std."/>
    <tableColumn id="9" xr3:uid="{00000000-0010-0000-0F00-000009000000}" name="Bemerkungen"/>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0000000}" name="Tbl_Q42027" displayName="Tbl_Q42027" ref="A2:I82" totalsRowShown="0">
  <autoFilter ref="A2:I82" xr:uid="{00000000-0009-0000-0100-00001A000000}"/>
  <tableColumns count="9">
    <tableColumn id="1" xr3:uid="{00000000-0010-0000-1000-000001000000}" name="#"/>
    <tableColumn id="2" xr3:uid="{00000000-0010-0000-1000-000002000000}" name="Projekttitel"/>
    <tableColumn id="3" xr3:uid="{00000000-0010-0000-1000-000003000000}" name="Größe"/>
    <tableColumn id="4" xr3:uid="{00000000-0010-0000-1000-000004000000}" name="Value-Bucket"/>
    <tableColumn id="5" xr3:uid="{00000000-0010-0000-1000-000005000000}" name="Quartal"/>
    <tableColumn id="6" xr3:uid="{00000000-0010-0000-1000-000006000000}" name="MoSCoW"/>
    <tableColumn id="7" xr3:uid="{00000000-0010-0000-1000-000007000000}" name="Team"/>
    <tableColumn id="8" xr3:uid="{00000000-0010-0000-1000-000008000000}" name="Std."/>
    <tableColumn id="9" xr3:uid="{00000000-0010-0000-1000-000009000000}" name="Bemerkunge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A000000}" name="Tbl_POBacklog2028" displayName="Tbl_POBacklog2028" ref="A2:I82" totalsRowShown="0">
  <autoFilter ref="A2:I82" xr:uid="{00000000-0009-0000-0100-00000F000000}"/>
  <tableColumns count="9">
    <tableColumn id="1" xr3:uid="{00000000-0010-0000-1A00-000001000000}" name="#"/>
    <tableColumn id="2" xr3:uid="{00000000-0010-0000-1A00-000002000000}" name="Projekttitel"/>
    <tableColumn id="3" xr3:uid="{00000000-0010-0000-1A00-000003000000}" name="Größe"/>
    <tableColumn id="4" xr3:uid="{00000000-0010-0000-1A00-000004000000}" name="Value-Bucket"/>
    <tableColumn id="5" xr3:uid="{00000000-0010-0000-1A00-000005000000}" name="Quartal"/>
    <tableColumn id="6" xr3:uid="{00000000-0010-0000-1A00-000006000000}" name="MoSCoW"/>
    <tableColumn id="7" xr3:uid="{00000000-0010-0000-1A00-000007000000}" name="Team"/>
    <tableColumn id="8" xr3:uid="{00000000-0010-0000-1A00-000008000000}" name="Std."/>
    <tableColumn id="9" xr3:uid="{00000000-0010-0000-1A00-000009000000}" name="Bemerkungen"/>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2000000}" name="RmTbl_2028_Q1" displayName="RmTbl_2028_Q1" ref="B17:D97" totalsRowShown="0">
  <autoFilter ref="B17:D97" xr:uid="{00000000-0009-0000-0100-000009000000}"/>
  <tableColumns count="3">
    <tableColumn id="1" xr3:uid="{00000000-0010-0000-1200-000001000000}" name="Projekttitel"/>
    <tableColumn id="2" xr3:uid="{00000000-0010-0000-1200-000002000000}" name="Größe"/>
    <tableColumn id="3" xr3:uid="{00000000-0010-0000-1200-000003000000}" name="Value"/>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3000000}" name="RmTbl_2028_Q2" displayName="RmTbl_2028_Q2" ref="F17:H97" totalsRowShown="0">
  <autoFilter ref="F17:H97" xr:uid="{00000000-0009-0000-0100-00000A000000}"/>
  <tableColumns count="3">
    <tableColumn id="1" xr3:uid="{00000000-0010-0000-1300-000001000000}" name="Projekttitel"/>
    <tableColumn id="2" xr3:uid="{00000000-0010-0000-1300-000002000000}" name="Größe"/>
    <tableColumn id="3" xr3:uid="{00000000-0010-0000-1300-000003000000}" name="Valu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4000000}" name="RmTbl_2028_Q3" displayName="RmTbl_2028_Q3" ref="J17:L97" totalsRowShown="0">
  <autoFilter ref="J17:L97" xr:uid="{00000000-0009-0000-0100-00000B000000}"/>
  <tableColumns count="3">
    <tableColumn id="1" xr3:uid="{00000000-0010-0000-1400-000001000000}" name="Projekttitel"/>
    <tableColumn id="2" xr3:uid="{00000000-0010-0000-1400-000002000000}" name="Größe"/>
    <tableColumn id="3" xr3:uid="{00000000-0010-0000-1400-000003000000}" name="Value"/>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5000000}" name="RmTbl_2028_Q4" displayName="RmTbl_2028_Q4" ref="N17:P97" totalsRowShown="0">
  <autoFilter ref="N17:P97" xr:uid="{00000000-0009-0000-0100-00000C000000}"/>
  <tableColumns count="3">
    <tableColumn id="1" xr3:uid="{00000000-0010-0000-1500-000001000000}" name="Projekttitel"/>
    <tableColumn id="2" xr3:uid="{00000000-0010-0000-1500-000002000000}" name="Größe"/>
    <tableColumn id="3" xr3:uid="{00000000-0010-0000-1500-000003000000}" name="Value"/>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6000000}" name="Tbl_Q12028" displayName="Tbl_Q12028" ref="A2:I82" totalsRowShown="0">
  <autoFilter ref="A2:I82" xr:uid="{00000000-0009-0000-0100-000012000000}"/>
  <tableColumns count="9">
    <tableColumn id="1" xr3:uid="{00000000-0010-0000-1600-000001000000}" name="#"/>
    <tableColumn id="2" xr3:uid="{00000000-0010-0000-1600-000002000000}" name="Projekttitel"/>
    <tableColumn id="3" xr3:uid="{00000000-0010-0000-1600-000003000000}" name="Größe"/>
    <tableColumn id="4" xr3:uid="{00000000-0010-0000-1600-000004000000}" name="Value-Bucket"/>
    <tableColumn id="5" xr3:uid="{00000000-0010-0000-1600-000005000000}" name="Quartal"/>
    <tableColumn id="6" xr3:uid="{00000000-0010-0000-1600-000006000000}" name="MoSCoW"/>
    <tableColumn id="7" xr3:uid="{00000000-0010-0000-1600-000007000000}" name="Team"/>
    <tableColumn id="8" xr3:uid="{00000000-0010-0000-1600-000008000000}" name="Std."/>
    <tableColumn id="9" xr3:uid="{00000000-0010-0000-1600-000009000000}" name="Bemerkungen"/>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7000000}" name="Tbl_Q22028" displayName="Tbl_Q22028" ref="A2:I82" totalsRowShown="0">
  <autoFilter ref="A2:I82" xr:uid="{00000000-0009-0000-0100-000015000000}"/>
  <tableColumns count="9">
    <tableColumn id="1" xr3:uid="{00000000-0010-0000-1700-000001000000}" name="#"/>
    <tableColumn id="2" xr3:uid="{00000000-0010-0000-1700-000002000000}" name="Projekttitel"/>
    <tableColumn id="3" xr3:uid="{00000000-0010-0000-1700-000003000000}" name="Größe"/>
    <tableColumn id="4" xr3:uid="{00000000-0010-0000-1700-000004000000}" name="Value-Bucket"/>
    <tableColumn id="5" xr3:uid="{00000000-0010-0000-1700-000005000000}" name="Quartal"/>
    <tableColumn id="6" xr3:uid="{00000000-0010-0000-1700-000006000000}" name="MoSCoW"/>
    <tableColumn id="7" xr3:uid="{00000000-0010-0000-1700-000007000000}" name="Team"/>
    <tableColumn id="8" xr3:uid="{00000000-0010-0000-1700-000008000000}" name="Std."/>
    <tableColumn id="9" xr3:uid="{00000000-0010-0000-1700-000009000000}" name="Bemerkungen"/>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8000000}" name="Tbl_Q32028" displayName="Tbl_Q32028" ref="A2:I82" totalsRowShown="0">
  <autoFilter ref="A2:I82" xr:uid="{00000000-0009-0000-0100-000018000000}"/>
  <tableColumns count="9">
    <tableColumn id="1" xr3:uid="{00000000-0010-0000-1800-000001000000}" name="#"/>
    <tableColumn id="2" xr3:uid="{00000000-0010-0000-1800-000002000000}" name="Projekttitel"/>
    <tableColumn id="3" xr3:uid="{00000000-0010-0000-1800-000003000000}" name="Größe"/>
    <tableColumn id="4" xr3:uid="{00000000-0010-0000-1800-000004000000}" name="Value-Bucket"/>
    <tableColumn id="5" xr3:uid="{00000000-0010-0000-1800-000005000000}" name="Quartal"/>
    <tableColumn id="6" xr3:uid="{00000000-0010-0000-1800-000006000000}" name="MoSCoW"/>
    <tableColumn id="7" xr3:uid="{00000000-0010-0000-1800-000007000000}" name="Team"/>
    <tableColumn id="8" xr3:uid="{00000000-0010-0000-1800-000008000000}" name="Std."/>
    <tableColumn id="9" xr3:uid="{00000000-0010-0000-1800-000009000000}" name="Bemerkungen"/>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9000000}" name="Tbl_Q42028" displayName="Tbl_Q42028" ref="A2:I82" totalsRowShown="0">
  <autoFilter ref="A2:I82" xr:uid="{00000000-0009-0000-0100-00001B000000}"/>
  <tableColumns count="9">
    <tableColumn id="1" xr3:uid="{00000000-0010-0000-1900-000001000000}" name="#"/>
    <tableColumn id="2" xr3:uid="{00000000-0010-0000-1900-000002000000}" name="Projekttitel"/>
    <tableColumn id="3" xr3:uid="{00000000-0010-0000-1900-000003000000}" name="Größe"/>
    <tableColumn id="4" xr3:uid="{00000000-0010-0000-1900-000004000000}" name="Value-Bucket"/>
    <tableColumn id="5" xr3:uid="{00000000-0010-0000-1900-000005000000}" name="Quartal"/>
    <tableColumn id="6" xr3:uid="{00000000-0010-0000-1900-000006000000}" name="MoSCoW"/>
    <tableColumn id="7" xr3:uid="{00000000-0010-0000-1900-000007000000}" name="Team"/>
    <tableColumn id="8" xr3:uid="{00000000-0010-0000-1900-000008000000}" name="Std."/>
    <tableColumn id="9" xr3:uid="{00000000-0010-0000-1900-000009000000}" name="Bemerkunge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4"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 Id="rId4" Type="http://schemas.openxmlformats.org/officeDocument/2006/relationships/table" Target="../tables/table2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249977111117893"/>
  </sheetPr>
  <dimension ref="A1:O87"/>
  <sheetViews>
    <sheetView showGridLines="0" zoomScaleNormal="100" workbookViewId="0">
      <pane xSplit="1" ySplit="2" topLeftCell="B5" activePane="bottomRight" state="frozen"/>
      <selection pane="bottomRight" activeCell="A34" sqref="A34"/>
      <selection pane="bottomLeft" activeCell="A3" sqref="A3"/>
      <selection pane="topRight" activeCell="B1" sqref="B1"/>
    </sheetView>
  </sheetViews>
  <sheetFormatPr defaultColWidth="8.7109375" defaultRowHeight="15"/>
  <cols>
    <col min="1" max="1" width="5" customWidth="1"/>
    <col min="2" max="2" width="59" customWidth="1"/>
    <col min="3" max="3" width="16" customWidth="1"/>
    <col min="4" max="4" width="14" customWidth="1"/>
    <col min="5" max="5" width="16" customWidth="1"/>
    <col min="6" max="7" width="12" customWidth="1"/>
    <col min="8" max="8" width="11" customWidth="1"/>
    <col min="9" max="9" width="103.28515625" customWidth="1"/>
    <col min="10" max="15" width="0.140625" hidden="1" customWidth="1"/>
    <col min="16" max="16" width="1.85546875" customWidth="1"/>
  </cols>
  <sheetData>
    <row r="1" spans="1:14" ht="43.5" customHeight="1">
      <c r="A1" s="112" t="s">
        <v>0</v>
      </c>
      <c r="B1" s="112"/>
      <c r="C1" s="112"/>
      <c r="D1" s="112"/>
      <c r="E1" s="112"/>
      <c r="F1" s="112"/>
      <c r="G1" s="112"/>
      <c r="H1" s="112"/>
      <c r="I1" s="112"/>
    </row>
    <row r="2" spans="1:14" ht="24" customHeight="1">
      <c r="A2" s="24" t="s">
        <v>1</v>
      </c>
      <c r="B2" s="24" t="s">
        <v>2</v>
      </c>
      <c r="C2" s="24" t="s">
        <v>3</v>
      </c>
      <c r="D2" s="24" t="s">
        <v>4</v>
      </c>
      <c r="E2" s="24" t="s">
        <v>5</v>
      </c>
      <c r="F2" s="24" t="s">
        <v>6</v>
      </c>
      <c r="G2" s="24" t="s">
        <v>7</v>
      </c>
      <c r="H2" s="24" t="s">
        <v>8</v>
      </c>
      <c r="I2" s="24" t="s">
        <v>9</v>
      </c>
    </row>
    <row r="3" spans="1:14" ht="24.75" customHeight="1">
      <c r="A3" s="65">
        <v>1</v>
      </c>
      <c r="B3" s="16" t="s">
        <v>10</v>
      </c>
      <c r="C3" s="17"/>
      <c r="D3" s="17"/>
      <c r="E3" s="17"/>
      <c r="F3" s="17" t="s">
        <v>11</v>
      </c>
      <c r="G3" s="17" t="s">
        <v>12</v>
      </c>
      <c r="H3" s="66"/>
      <c r="I3" s="16"/>
      <c r="J3" s="67"/>
      <c r="K3" s="67"/>
      <c r="L3" s="67"/>
      <c r="M3" s="67"/>
      <c r="N3" s="67"/>
    </row>
    <row r="4" spans="1:14" ht="24.75" customHeight="1">
      <c r="A4" s="68">
        <v>2</v>
      </c>
      <c r="B4" s="18" t="s">
        <v>13</v>
      </c>
      <c r="C4" s="19"/>
      <c r="D4" s="19"/>
      <c r="E4" s="19"/>
      <c r="F4" s="17" t="s">
        <v>11</v>
      </c>
      <c r="G4" s="17" t="s">
        <v>12</v>
      </c>
      <c r="H4" s="69" t="str">
        <f>IF(C4="XXL (&gt;160h)",168,IF(C4="XL (&gt;40h)",48,IF(C4="L (20-40h)",30,IF(C4="M (10-20h)",15,IF(C4="S (&lt;10h)",5,"")))))</f>
        <v/>
      </c>
      <c r="I4" s="18"/>
      <c r="J4" s="67" t="str">
        <f>IF($E4="Q12026",COUNTIF($E$3:$E4,"Q12026"),"")</f>
        <v/>
      </c>
      <c r="K4" s="67" t="str">
        <f>IF($E4="Q22026",COUNTIF($E$3:$E4,"Q22026"),"")</f>
        <v/>
      </c>
      <c r="L4" s="67" t="str">
        <f>IF($E4="Q32026",COUNTIF($E$3:$E4,"Q32026"),"")</f>
        <v/>
      </c>
      <c r="M4" s="67" t="str">
        <f>IF($E4="Q42026",COUNTIF($E$3:$E4,"Q42026"),"")</f>
        <v/>
      </c>
      <c r="N4" s="67" t="str">
        <f>IF($E4="Backlog",COUNTIF($E$3:$E4,"Backlog"),"")</f>
        <v/>
      </c>
    </row>
    <row r="5" spans="1:14" ht="24.75" customHeight="1">
      <c r="A5" s="65">
        <v>3</v>
      </c>
      <c r="B5" s="16" t="s">
        <v>14</v>
      </c>
      <c r="C5" s="17"/>
      <c r="D5" s="17"/>
      <c r="E5" s="17"/>
      <c r="F5" s="17" t="s">
        <v>11</v>
      </c>
      <c r="G5" s="17" t="s">
        <v>12</v>
      </c>
      <c r="H5" s="66" t="str">
        <f>IF(C5="XXL (&gt;160h)",168,IF(C5="XL (&gt;40h)",48,IF(C5="L (20-40h)",30,IF(C5="M (10-20h)",15,IF(C5="S (&lt;10h)",5,"")))))</f>
        <v/>
      </c>
      <c r="I5" s="16"/>
      <c r="J5" s="67" t="str">
        <f>IF($E5="Q12026",COUNTIF($E$3:$E5,"Q12026"),"")</f>
        <v/>
      </c>
      <c r="K5" s="67" t="str">
        <f>IF($E5="Q22026",COUNTIF($E$3:$E5,"Q22026"),"")</f>
        <v/>
      </c>
      <c r="L5" s="67" t="str">
        <f>IF($E5="Q32026",COUNTIF($E$3:$E5,"Q32026"),"")</f>
        <v/>
      </c>
      <c r="M5" s="67" t="str">
        <f>IF($E5="Q42026",COUNTIF($E$3:$E5,"Q42026"),"")</f>
        <v/>
      </c>
      <c r="N5" s="67" t="str">
        <f>IF($E5="Backlog",COUNTIF($E$3:$E5,"Backlog"),"")</f>
        <v/>
      </c>
    </row>
    <row r="6" spans="1:14" ht="24.75" customHeight="1">
      <c r="A6" s="68">
        <v>4</v>
      </c>
      <c r="B6" s="18" t="s">
        <v>15</v>
      </c>
      <c r="C6" s="19"/>
      <c r="D6" s="19"/>
      <c r="E6" s="19"/>
      <c r="F6" s="17" t="s">
        <v>11</v>
      </c>
      <c r="G6" s="17" t="s">
        <v>12</v>
      </c>
      <c r="H6" s="69" t="str">
        <f>IF(C6="XXL (&gt;160h)",168,IF(C6="XL (&gt;40h)",48,IF(C6="L (20-40h)",30,IF(C6="M (10-20h)",15,IF(C6="S (&lt;10h)",5,"")))))</f>
        <v/>
      </c>
      <c r="I6" s="18"/>
      <c r="J6" s="67" t="str">
        <f>IF($E6="Q12026",COUNTIF($E$3:$E6,"Q12026"),"")</f>
        <v/>
      </c>
      <c r="K6" s="67" t="str">
        <f>IF($E6="Q22026",COUNTIF($E$3:$E6,"Q22026"),"")</f>
        <v/>
      </c>
      <c r="L6" s="67" t="str">
        <f>IF($E6="Q32026",COUNTIF($E$3:$E6,"Q32026"),"")</f>
        <v/>
      </c>
      <c r="M6" s="67" t="str">
        <f>IF($E6="Q42026",COUNTIF($E$3:$E6,"Q42026"),"")</f>
        <v/>
      </c>
      <c r="N6" s="67" t="str">
        <f>IF($E6="Backlog",COUNTIF($E$3:$E6,"Backlog"),"")</f>
        <v/>
      </c>
    </row>
    <row r="7" spans="1:14" ht="24.75" customHeight="1">
      <c r="A7" s="141">
        <v>5</v>
      </c>
      <c r="B7" s="16" t="s">
        <v>16</v>
      </c>
      <c r="C7" s="17"/>
      <c r="D7" s="17"/>
      <c r="E7" s="17"/>
      <c r="F7" s="17" t="s">
        <v>17</v>
      </c>
      <c r="G7" s="17" t="s">
        <v>12</v>
      </c>
      <c r="H7" s="66" t="str">
        <f>IF(C7="XXL (&gt;160h)",168,IF(C7="XL (&gt;40h)",48,IF(C7="L (20-40h)",30,IF(C7="M (10-20h)",15,IF(C7="S (&lt;10h)",5,"")))))</f>
        <v/>
      </c>
      <c r="I7" s="16" t="s">
        <v>18</v>
      </c>
      <c r="J7" s="67" t="str">
        <f>IF($E7="Q12026",COUNTIF($E$3:$E7,"Q12026"),"")</f>
        <v/>
      </c>
      <c r="K7" s="67" t="str">
        <f>IF($E7="Q22026",COUNTIF($E$3:$E7,"Q22026"),"")</f>
        <v/>
      </c>
      <c r="L7" s="67" t="str">
        <f>IF($E7="Q32026",COUNTIF($E$3:$E7,"Q32026"),"")</f>
        <v/>
      </c>
      <c r="M7" s="67" t="str">
        <f>IF($E7="Q42026",COUNTIF($E$3:$E7,"Q42026"),"")</f>
        <v/>
      </c>
      <c r="N7" s="67" t="str">
        <f>IF($E7="Backlog",COUNTIF($E$3:$E7,"Backlog"),"")</f>
        <v/>
      </c>
    </row>
    <row r="8" spans="1:14" ht="24.75" customHeight="1">
      <c r="A8" s="68">
        <v>6</v>
      </c>
      <c r="B8" s="18" t="s">
        <v>19</v>
      </c>
      <c r="C8" s="19"/>
      <c r="D8" s="19"/>
      <c r="E8" s="19"/>
      <c r="F8" s="19" t="s">
        <v>20</v>
      </c>
      <c r="G8" s="17" t="s">
        <v>12</v>
      </c>
      <c r="H8" s="69" t="str">
        <f>IF(C8="XXL (&gt;160h)",168,IF(C8="XL (&gt;40h)",48,IF(C8="L (20-40h)",30,IF(C8="M (10-20h)",15,IF(C8="S (&lt;10h)",5,"")))))</f>
        <v/>
      </c>
      <c r="I8" s="18"/>
      <c r="J8" s="67" t="str">
        <f>IF($E8="Q12026",COUNTIF($E$3:$E8,"Q12026"),"")</f>
        <v/>
      </c>
      <c r="K8" s="67" t="str">
        <f>IF($E8="Q22026",COUNTIF($E$3:$E8,"Q22026"),"")</f>
        <v/>
      </c>
      <c r="L8" s="67" t="str">
        <f>IF($E8="Q32026",COUNTIF($E$3:$E8,"Q32026"),"")</f>
        <v/>
      </c>
      <c r="M8" s="67" t="str">
        <f>IF($E8="Q42026",COUNTIF($E$3:$E8,"Q42026"),"")</f>
        <v/>
      </c>
      <c r="N8" s="67" t="str">
        <f>IF($E8="Backlog",COUNTIF($E$3:$E8,"Backlog"),"")</f>
        <v/>
      </c>
    </row>
    <row r="9" spans="1:14" s="152" customFormat="1" ht="24.75" customHeight="1">
      <c r="A9" s="153">
        <v>7</v>
      </c>
      <c r="B9" s="147" t="s">
        <v>21</v>
      </c>
      <c r="C9" s="148"/>
      <c r="D9" s="148"/>
      <c r="E9" s="148" t="s">
        <v>22</v>
      </c>
      <c r="F9" s="149" t="s">
        <v>20</v>
      </c>
      <c r="G9" s="148" t="s">
        <v>12</v>
      </c>
      <c r="H9" s="150" t="str">
        <f>IF(C9="XXL (&gt;160h)",168,IF(C9="XL (&gt;40h)",48,IF(C9="L (20-40h)",30,IF(C9="M (10-20h)",15,IF(C9="S (&lt;10h)",5,"")))))</f>
        <v/>
      </c>
      <c r="I9" s="147" t="s">
        <v>23</v>
      </c>
      <c r="J9" s="151" t="str">
        <f>IF($E9="Q12026",COUNTIF($E$3:$E9,"Q12026"),"")</f>
        <v/>
      </c>
      <c r="K9" s="151" t="str">
        <f>IF($E9="Q22026",COUNTIF($E$3:$E9,"Q22026"),"")</f>
        <v/>
      </c>
      <c r="L9" s="151" t="str">
        <f>IF($E9="Q32026",COUNTIF($E$3:$E9,"Q32026"),"")</f>
        <v/>
      </c>
      <c r="M9" s="151">
        <f>IF($E9="Q42026",COUNTIF($E$3:$E9,"Q42026"),"")</f>
        <v>1</v>
      </c>
      <c r="N9" s="151" t="str">
        <f>IF($E9="Backlog",COUNTIF($E$3:$E9,"Backlog"),"")</f>
        <v/>
      </c>
    </row>
    <row r="10" spans="1:14" ht="24.75" customHeight="1">
      <c r="A10" s="68">
        <v>8</v>
      </c>
      <c r="B10" s="18" t="s">
        <v>24</v>
      </c>
      <c r="C10" s="19"/>
      <c r="D10" s="19"/>
      <c r="E10" s="19"/>
      <c r="F10" s="19" t="s">
        <v>20</v>
      </c>
      <c r="G10" s="19" t="s">
        <v>25</v>
      </c>
      <c r="H10" s="69" t="str">
        <f>IF(C10="XXL (&gt;160h)",168,IF(C10="XL (&gt;40h)",48,IF(C10="L (20-40h)",30,IF(C10="M (10-20h)",15,IF(C10="S (&lt;10h)",5,"")))))</f>
        <v/>
      </c>
      <c r="I10" s="18"/>
      <c r="J10" s="67" t="str">
        <f>IF($E10="Q12026",COUNTIF($E$3:$E10,"Q12026"),"")</f>
        <v/>
      </c>
      <c r="K10" s="67" t="str">
        <f>IF($E10="Q22026",COUNTIF($E$3:$E10,"Q22026"),"")</f>
        <v/>
      </c>
      <c r="L10" s="67" t="str">
        <f>IF($E10="Q32026",COUNTIF($E$3:$E10,"Q32026"),"")</f>
        <v/>
      </c>
      <c r="M10" s="67" t="str">
        <f>IF($E10="Q42026",COUNTIF($E$3:$E10,"Q42026"),"")</f>
        <v/>
      </c>
      <c r="N10" s="67" t="str">
        <f>IF($E10="Backlog",COUNTIF($E$3:$E10,"Backlog"),"")</f>
        <v/>
      </c>
    </row>
    <row r="11" spans="1:14" ht="24.75" customHeight="1">
      <c r="A11" s="65">
        <v>9</v>
      </c>
      <c r="B11" s="16" t="s">
        <v>26</v>
      </c>
      <c r="C11" s="17"/>
      <c r="D11" s="17"/>
      <c r="E11" s="17"/>
      <c r="F11" s="17" t="s">
        <v>17</v>
      </c>
      <c r="G11" s="17" t="s">
        <v>12</v>
      </c>
      <c r="H11" s="66" t="str">
        <f>IF(C11="XXL (&gt;160h)",168,IF(C11="XL (&gt;40h)",48,IF(C11="L (20-40h)",30,IF(C11="M (10-20h)",15,IF(C11="S (&lt;10h)",5,"")))))</f>
        <v/>
      </c>
      <c r="I11" s="16"/>
      <c r="J11" s="67" t="str">
        <f>IF($E11="Q12026",COUNTIF($E$3:$E11,"Q12026"),"")</f>
        <v/>
      </c>
      <c r="K11" s="67" t="str">
        <f>IF($E11="Q22026",COUNTIF($E$3:$E11,"Q22026"),"")</f>
        <v/>
      </c>
      <c r="L11" s="67" t="str">
        <f>IF($E11="Q32026",COUNTIF($E$3:$E11,"Q32026"),"")</f>
        <v/>
      </c>
      <c r="M11" s="67" t="str">
        <f>IF($E11="Q42026",COUNTIF($E$3:$E11,"Q42026"),"")</f>
        <v/>
      </c>
      <c r="N11" s="67" t="str">
        <f>IF($E11="Backlog",COUNTIF($E$3:$E11,"Backlog"),"")</f>
        <v/>
      </c>
    </row>
    <row r="12" spans="1:14" ht="24.75" customHeight="1">
      <c r="A12" s="68">
        <v>10</v>
      </c>
      <c r="B12" s="18" t="s">
        <v>27</v>
      </c>
      <c r="C12" s="19"/>
      <c r="D12" s="19"/>
      <c r="E12" s="19"/>
      <c r="F12" s="17" t="s">
        <v>17</v>
      </c>
      <c r="G12" s="17" t="s">
        <v>12</v>
      </c>
      <c r="H12" s="69" t="str">
        <f>IF(C12="XXL (&gt;160h)",168,IF(C12="XL (&gt;40h)",48,IF(C12="L (20-40h)",30,IF(C12="M (10-20h)",15,IF(C12="S (&lt;10h)",5,"")))))</f>
        <v/>
      </c>
      <c r="I12" s="18"/>
      <c r="J12" s="67" t="str">
        <f>IF($E12="Q12026",COUNTIF($E$3:$E12,"Q12026"),"")</f>
        <v/>
      </c>
      <c r="K12" s="67" t="str">
        <f>IF($E12="Q22026",COUNTIF($E$3:$E12,"Q22026"),"")</f>
        <v/>
      </c>
      <c r="L12" s="67" t="str">
        <f>IF($E12="Q32026",COUNTIF($E$3:$E12,"Q32026"),"")</f>
        <v/>
      </c>
      <c r="M12" s="67" t="str">
        <f>IF($E12="Q42026",COUNTIF($E$3:$E12,"Q42026"),"")</f>
        <v/>
      </c>
      <c r="N12" s="67" t="str">
        <f>IF($E12="Backlog",COUNTIF($E$3:$E12,"Backlog"),"")</f>
        <v/>
      </c>
    </row>
    <row r="13" spans="1:14" ht="24.75" customHeight="1">
      <c r="A13" s="141">
        <v>11</v>
      </c>
      <c r="B13" s="16" t="s">
        <v>28</v>
      </c>
      <c r="C13" s="17"/>
      <c r="D13" s="17"/>
      <c r="E13" s="17"/>
      <c r="F13" s="17" t="s">
        <v>20</v>
      </c>
      <c r="G13" s="17" t="s">
        <v>12</v>
      </c>
      <c r="H13" s="66" t="str">
        <f>IF(C13="XXL (&gt;160h)",168,IF(C13="XL (&gt;40h)",48,IF(C13="L (20-40h)",30,IF(C13="M (10-20h)",15,IF(C13="S (&lt;10h)",5,"")))))</f>
        <v/>
      </c>
      <c r="I13" s="16"/>
      <c r="J13" s="67" t="str">
        <f>IF($E13="Q12026",COUNTIF($E$3:$E13,"Q12026"),"")</f>
        <v/>
      </c>
      <c r="K13" s="67" t="str">
        <f>IF($E13="Q22026",COUNTIF($E$3:$E13,"Q22026"),"")</f>
        <v/>
      </c>
      <c r="L13" s="67" t="str">
        <f>IF($E13="Q32026",COUNTIF($E$3:$E13,"Q32026"),"")</f>
        <v/>
      </c>
      <c r="M13" s="67" t="str">
        <f>IF($E13="Q42026",COUNTIF($E$3:$E13,"Q42026"),"")</f>
        <v/>
      </c>
      <c r="N13" s="67" t="str">
        <f>IF($E13="Backlog",COUNTIF($E$3:$E13,"Backlog"),"")</f>
        <v/>
      </c>
    </row>
    <row r="14" spans="1:14" ht="24.75" customHeight="1">
      <c r="A14" s="68">
        <v>12</v>
      </c>
      <c r="B14" s="18" t="s">
        <v>29</v>
      </c>
      <c r="C14" s="19"/>
      <c r="D14" s="19"/>
      <c r="E14" s="19"/>
      <c r="F14" s="17" t="s">
        <v>20</v>
      </c>
      <c r="G14" s="19" t="s">
        <v>25</v>
      </c>
      <c r="H14" s="69" t="str">
        <f>IF(C14="XXL (&gt;160h)",168,IF(C14="XL (&gt;40h)",48,IF(C14="L (20-40h)",30,IF(C14="M (10-20h)",15,IF(C14="S (&lt;10h)",5,"")))))</f>
        <v/>
      </c>
      <c r="I14" s="18"/>
      <c r="J14" s="67" t="str">
        <f>IF($E14="Q12026",COUNTIF($E$3:$E14,"Q12026"),"")</f>
        <v/>
      </c>
      <c r="K14" s="67" t="str">
        <f>IF($E14="Q22026",COUNTIF($E$3:$E14,"Q22026"),"")</f>
        <v/>
      </c>
      <c r="L14" s="67" t="str">
        <f>IF($E14="Q32026",COUNTIF($E$3:$E14,"Q32026"),"")</f>
        <v/>
      </c>
      <c r="M14" s="67" t="str">
        <f>IF($E14="Q42026",COUNTIF($E$3:$E14,"Q42026"),"")</f>
        <v/>
      </c>
      <c r="N14" s="67" t="str">
        <f>IF($E14="Backlog",COUNTIF($E$3:$E14,"Backlog"),"")</f>
        <v/>
      </c>
    </row>
    <row r="15" spans="1:14" ht="24.75" customHeight="1">
      <c r="A15" s="65">
        <v>13</v>
      </c>
      <c r="B15" s="16" t="s">
        <v>30</v>
      </c>
      <c r="C15" s="17"/>
      <c r="D15" s="17"/>
      <c r="E15" s="17"/>
      <c r="F15" s="17"/>
      <c r="G15" s="17"/>
      <c r="H15" s="66" t="str">
        <f>IF(C15="XXL (&gt;160h)",168,IF(C15="XL (&gt;40h)",48,IF(C15="L (20-40h)",30,IF(C15="M (10-20h)",15,IF(C15="S (&lt;10h)",5,"")))))</f>
        <v/>
      </c>
      <c r="I15" s="16"/>
      <c r="J15" s="67" t="str">
        <f>IF($E15="Q12026",COUNTIF($E$3:$E15,"Q12026"),"")</f>
        <v/>
      </c>
      <c r="K15" s="67" t="str">
        <f>IF($E15="Q22026",COUNTIF($E$3:$E15,"Q22026"),"")</f>
        <v/>
      </c>
      <c r="L15" s="67" t="str">
        <f>IF($E15="Q32026",COUNTIF($E$3:$E15,"Q32026"),"")</f>
        <v/>
      </c>
      <c r="M15" s="67" t="str">
        <f>IF($E15="Q42026",COUNTIF($E$3:$E15,"Q42026"),"")</f>
        <v/>
      </c>
      <c r="N15" s="67" t="str">
        <f>IF($E15="Backlog",COUNTIF($E$3:$E15,"Backlog"),"")</f>
        <v/>
      </c>
    </row>
    <row r="16" spans="1:14" ht="24.75" customHeight="1">
      <c r="A16" s="68">
        <v>14</v>
      </c>
      <c r="B16" s="18" t="s">
        <v>31</v>
      </c>
      <c r="C16" s="19"/>
      <c r="D16" s="19"/>
      <c r="E16" s="19"/>
      <c r="F16" s="19"/>
      <c r="G16" s="19"/>
      <c r="H16" s="69" t="str">
        <f>IF(C16="XXL (&gt;160h)",168,IF(C16="XL (&gt;40h)",48,IF(C16="L (20-40h)",30,IF(C16="M (10-20h)",15,IF(C16="S (&lt;10h)",5,"")))))</f>
        <v/>
      </c>
      <c r="I16" s="18"/>
      <c r="J16" s="67" t="str">
        <f>IF($E16="Q12026",COUNTIF($E$3:$E16,"Q12026"),"")</f>
        <v/>
      </c>
      <c r="K16" s="67" t="str">
        <f>IF($E16="Q22026",COUNTIF($E$3:$E16,"Q22026"),"")</f>
        <v/>
      </c>
      <c r="L16" s="67" t="str">
        <f>IF($E16="Q32026",COUNTIF($E$3:$E16,"Q32026"),"")</f>
        <v/>
      </c>
      <c r="M16" s="67" t="str">
        <f>IF($E16="Q42026",COUNTIF($E$3:$E16,"Q42026"),"")</f>
        <v/>
      </c>
      <c r="N16" s="67" t="str">
        <f>IF($E16="Backlog",COUNTIF($E$3:$E16,"Backlog"),"")</f>
        <v/>
      </c>
    </row>
    <row r="17" spans="1:14" ht="24.75" customHeight="1">
      <c r="A17" s="65">
        <v>15</v>
      </c>
      <c r="B17" s="16" t="s">
        <v>32</v>
      </c>
      <c r="C17" s="17"/>
      <c r="D17" s="17"/>
      <c r="E17" s="17"/>
      <c r="F17" s="17"/>
      <c r="G17" s="17"/>
      <c r="H17" s="66" t="str">
        <f>IF(C17="XXL (&gt;160h)",168,IF(C17="XL (&gt;40h)",48,IF(C17="L (20-40h)",30,IF(C17="M (10-20h)",15,IF(C17="S (&lt;10h)",5,"")))))</f>
        <v/>
      </c>
      <c r="I17" s="16"/>
      <c r="J17" s="67" t="str">
        <f>IF($E17="Q12026",COUNTIF($E$3:$E17,"Q12026"),"")</f>
        <v/>
      </c>
      <c r="K17" s="67" t="str">
        <f>IF($E17="Q22026",COUNTIF($E$3:$E17,"Q22026"),"")</f>
        <v/>
      </c>
      <c r="L17" s="67" t="str">
        <f>IF($E17="Q32026",COUNTIF($E$3:$E17,"Q32026"),"")</f>
        <v/>
      </c>
      <c r="M17" s="67" t="str">
        <f>IF($E17="Q42026",COUNTIF($E$3:$E17,"Q42026"),"")</f>
        <v/>
      </c>
      <c r="N17" s="67" t="str">
        <f>IF($E17="Backlog",COUNTIF($E$3:$E17,"Backlog"),"")</f>
        <v/>
      </c>
    </row>
    <row r="18" spans="1:14" ht="24.75" customHeight="1">
      <c r="A18" s="143">
        <v>16</v>
      </c>
      <c r="B18" s="18" t="s">
        <v>33</v>
      </c>
      <c r="C18" s="19"/>
      <c r="D18" s="19"/>
      <c r="E18" s="19"/>
      <c r="F18" s="19"/>
      <c r="G18" s="19"/>
      <c r="H18" s="69" t="str">
        <f>IF(C18="XXL (&gt;160h)",168,IF(C18="XL (&gt;40h)",48,IF(C18="L (20-40h)",30,IF(C18="M (10-20h)",15,IF(C18="S (&lt;10h)",5,"")))))</f>
        <v/>
      </c>
      <c r="I18" s="18"/>
      <c r="J18" s="67" t="str">
        <f>IF($E18="Q12026",COUNTIF($E$3:$E18,"Q12026"),"")</f>
        <v/>
      </c>
      <c r="K18" s="67" t="str">
        <f>IF($E18="Q22026",COUNTIF($E$3:$E18,"Q22026"),"")</f>
        <v/>
      </c>
      <c r="L18" s="67" t="str">
        <f>IF($E18="Q32026",COUNTIF($E$3:$E18,"Q32026"),"")</f>
        <v/>
      </c>
      <c r="M18" s="67" t="str">
        <f>IF($E18="Q42026",COUNTIF($E$3:$E18,"Q42026"),"")</f>
        <v/>
      </c>
      <c r="N18" s="67" t="str">
        <f>IF($E18="Backlog",COUNTIF($E$3:$E18,"Backlog"),"")</f>
        <v/>
      </c>
    </row>
    <row r="19" spans="1:14" ht="24.75" customHeight="1">
      <c r="A19" s="65">
        <v>17</v>
      </c>
      <c r="B19" s="16" t="s">
        <v>34</v>
      </c>
      <c r="C19" s="17"/>
      <c r="D19" s="17"/>
      <c r="E19" s="17"/>
      <c r="F19" s="17"/>
      <c r="G19" s="17"/>
      <c r="H19" s="66" t="str">
        <f>IF(C19="XXL (&gt;160h)",168,IF(C19="XL (&gt;40h)",48,IF(C19="L (20-40h)",30,IF(C19="M (10-20h)",15,IF(C19="S (&lt;10h)",5,"")))))</f>
        <v/>
      </c>
      <c r="I19" s="16"/>
      <c r="J19" s="67" t="str">
        <f>IF($E19="Q12026",COUNTIF($E$3:$E19,"Q12026"),"")</f>
        <v/>
      </c>
      <c r="K19" s="67" t="str">
        <f>IF($E19="Q22026",COUNTIF($E$3:$E19,"Q22026"),"")</f>
        <v/>
      </c>
      <c r="L19" s="67" t="str">
        <f>IF($E19="Q32026",COUNTIF($E$3:$E19,"Q32026"),"")</f>
        <v/>
      </c>
      <c r="M19" s="67" t="str">
        <f>IF($E19="Q42026",COUNTIF($E$3:$E19,"Q42026"),"")</f>
        <v/>
      </c>
      <c r="N19" s="67" t="str">
        <f>IF($E19="Backlog",COUNTIF($E$3:$E19,"Backlog"),"")</f>
        <v/>
      </c>
    </row>
    <row r="20" spans="1:14" ht="24.75" customHeight="1">
      <c r="A20" s="141">
        <v>18</v>
      </c>
      <c r="B20" s="18" t="s">
        <v>35</v>
      </c>
      <c r="C20" s="19"/>
      <c r="D20" s="19"/>
      <c r="E20" s="19"/>
      <c r="F20" s="19"/>
      <c r="G20" s="19"/>
      <c r="H20" s="69" t="str">
        <f>IF(C20="XXL (&gt;160h)",168,IF(C20="XL (&gt;40h)",48,IF(C20="L (20-40h)",30,IF(C20="M (10-20h)",15,IF(C20="S (&lt;10h)",5,"")))))</f>
        <v/>
      </c>
      <c r="I20" s="18"/>
      <c r="J20" s="67" t="str">
        <f>IF($E20="Q12026",COUNTIF($E$3:$E20,"Q12026"),"")</f>
        <v/>
      </c>
      <c r="K20" s="67" t="str">
        <f>IF($E20="Q22026",COUNTIF($E$3:$E20,"Q22026"),"")</f>
        <v/>
      </c>
      <c r="L20" s="67" t="str">
        <f>IF($E20="Q32026",COUNTIF($E$3:$E20,"Q32026"),"")</f>
        <v/>
      </c>
      <c r="M20" s="67" t="str">
        <f>IF($E20="Q42026",COUNTIF($E$3:$E20,"Q42026"),"")</f>
        <v/>
      </c>
      <c r="N20" s="67" t="str">
        <f>IF($E20="Backlog",COUNTIF($E$3:$E20,"Backlog"),"")</f>
        <v/>
      </c>
    </row>
    <row r="21" spans="1:14" ht="24.75" customHeight="1">
      <c r="A21" s="65">
        <v>19</v>
      </c>
      <c r="B21" s="16" t="s">
        <v>36</v>
      </c>
      <c r="C21" s="17"/>
      <c r="D21" s="17"/>
      <c r="E21" s="17"/>
      <c r="F21" s="17"/>
      <c r="G21" s="17"/>
      <c r="H21" s="66" t="str">
        <f>IF(C21="XXL (&gt;160h)",168,IF(C21="XL (&gt;40h)",48,IF(C21="L (20-40h)",30,IF(C21="M (10-20h)",15,IF(C21="S (&lt;10h)",5,"")))))</f>
        <v/>
      </c>
      <c r="I21" s="16"/>
      <c r="J21" s="67" t="str">
        <f>IF($E21="Q12026",COUNTIF($E$3:$E21,"Q12026"),"")</f>
        <v/>
      </c>
      <c r="K21" s="67" t="str">
        <f>IF($E21="Q22026",COUNTIF($E$3:$E21,"Q22026"),"")</f>
        <v/>
      </c>
      <c r="L21" s="67" t="str">
        <f>IF($E21="Q32026",COUNTIF($E$3:$E21,"Q32026"),"")</f>
        <v/>
      </c>
      <c r="M21" s="67" t="str">
        <f>IF($E21="Q42026",COUNTIF($E$3:$E21,"Q42026"),"")</f>
        <v/>
      </c>
      <c r="N21" s="67" t="str">
        <f>IF($E21="Backlog",COUNTIF($E$3:$E21,"Backlog"),"")</f>
        <v/>
      </c>
    </row>
    <row r="22" spans="1:14" ht="24.75" customHeight="1">
      <c r="A22" s="68">
        <v>20</v>
      </c>
      <c r="B22" s="18" t="s">
        <v>37</v>
      </c>
      <c r="C22" s="19"/>
      <c r="D22" s="19"/>
      <c r="E22" s="19"/>
      <c r="F22" s="19"/>
      <c r="G22" s="19"/>
      <c r="H22" s="69" t="str">
        <f>IF(C22="XXL (&gt;160h)",168,IF(C22="XL (&gt;40h)",48,IF(C22="L (20-40h)",30,IF(C22="M (10-20h)",15,IF(C22="S (&lt;10h)",5,"")))))</f>
        <v/>
      </c>
      <c r="I22" s="18"/>
      <c r="J22" s="67" t="str">
        <f>IF($E22="Q12026",COUNTIF($E$3:$E22,"Q12026"),"")</f>
        <v/>
      </c>
      <c r="K22" s="67" t="str">
        <f>IF($E22="Q22026",COUNTIF($E$3:$E22,"Q22026"),"")</f>
        <v/>
      </c>
      <c r="L22" s="67" t="str">
        <f>IF($E22="Q32026",COUNTIF($E$3:$E22,"Q32026"),"")</f>
        <v/>
      </c>
      <c r="M22" s="67" t="str">
        <f>IF($E22="Q42026",COUNTIF($E$3:$E22,"Q42026"),"")</f>
        <v/>
      </c>
      <c r="N22" s="67" t="str">
        <f>IF($E22="Backlog",COUNTIF($E$3:$E22,"Backlog"),"")</f>
        <v/>
      </c>
    </row>
    <row r="23" spans="1:14" ht="24.75" customHeight="1">
      <c r="A23" s="141">
        <v>21</v>
      </c>
      <c r="B23" s="16" t="s">
        <v>38</v>
      </c>
      <c r="C23" s="17"/>
      <c r="D23" s="17"/>
      <c r="E23" s="17"/>
      <c r="F23" s="17"/>
      <c r="G23" s="17"/>
      <c r="H23" s="66" t="str">
        <f>IF(C23="XXL (&gt;160h)",168,IF(C23="XL (&gt;40h)",48,IF(C23="L (20-40h)",30,IF(C23="M (10-20h)",15,IF(C23="S (&lt;10h)",5,"")))))</f>
        <v/>
      </c>
      <c r="I23" s="16" t="s">
        <v>39</v>
      </c>
      <c r="J23" s="67" t="str">
        <f>IF($E23="Q12026",COUNTIF($E$3:$E23,"Q12026"),"")</f>
        <v/>
      </c>
      <c r="K23" s="67" t="str">
        <f>IF($E23="Q22026",COUNTIF($E$3:$E23,"Q22026"),"")</f>
        <v/>
      </c>
      <c r="L23" s="67" t="str">
        <f>IF($E23="Q32026",COUNTIF($E$3:$E23,"Q32026"),"")</f>
        <v/>
      </c>
      <c r="M23" s="67" t="str">
        <f>IF($E23="Q42026",COUNTIF($E$3:$E23,"Q42026"),"")</f>
        <v/>
      </c>
      <c r="N23" s="67" t="str">
        <f>IF($E23="Backlog",COUNTIF($E$3:$E23,"Backlog"),"")</f>
        <v/>
      </c>
    </row>
    <row r="24" spans="1:14" ht="24.75" customHeight="1">
      <c r="A24" s="68">
        <v>22</v>
      </c>
      <c r="B24" s="18" t="s">
        <v>40</v>
      </c>
      <c r="C24" s="19"/>
      <c r="D24" s="19"/>
      <c r="E24" s="19"/>
      <c r="F24" s="19"/>
      <c r="G24" s="19"/>
      <c r="H24" s="69" t="str">
        <f>IF(C24="XXL (&gt;160h)",168,IF(C24="XL (&gt;40h)",48,IF(C24="L (20-40h)",30,IF(C24="M (10-20h)",15,IF(C24="S (&lt;10h)",5,"")))))</f>
        <v/>
      </c>
      <c r="I24" s="18"/>
      <c r="J24" s="67" t="str">
        <f>IF($E24="Q12026",COUNTIF($E$3:$E24,"Q12026"),"")</f>
        <v/>
      </c>
      <c r="K24" s="67" t="str">
        <f>IF($E24="Q22026",COUNTIF($E$3:$E24,"Q22026"),"")</f>
        <v/>
      </c>
      <c r="L24" s="67" t="str">
        <f>IF($E24="Q32026",COUNTIF($E$3:$E24,"Q32026"),"")</f>
        <v/>
      </c>
      <c r="M24" s="67" t="str">
        <f>IF($E24="Q42026",COUNTIF($E$3:$E24,"Q42026"),"")</f>
        <v/>
      </c>
      <c r="N24" s="67" t="str">
        <f>IF($E24="Backlog",COUNTIF($E$3:$E24,"Backlog"),"")</f>
        <v/>
      </c>
    </row>
    <row r="25" spans="1:14" ht="24.75" customHeight="1">
      <c r="A25" s="141">
        <v>23</v>
      </c>
      <c r="B25" s="16" t="s">
        <v>41</v>
      </c>
      <c r="C25" s="17"/>
      <c r="D25" s="17"/>
      <c r="E25" s="17"/>
      <c r="F25" s="17"/>
      <c r="G25" s="17"/>
      <c r="H25" s="66" t="str">
        <f>IF(C25="XXL (&gt;160h)",168,IF(C25="XL (&gt;40h)",48,IF(C25="L (20-40h)",30,IF(C25="M (10-20h)",15,IF(C25="S (&lt;10h)",5,"")))))</f>
        <v/>
      </c>
      <c r="I25" s="16"/>
      <c r="J25" s="67" t="str">
        <f>IF($E25="Q12026",COUNTIF($E$3:$E25,"Q12026"),"")</f>
        <v/>
      </c>
      <c r="K25" s="67" t="str">
        <f>IF($E25="Q22026",COUNTIF($E$3:$E25,"Q22026"),"")</f>
        <v/>
      </c>
      <c r="L25" s="67" t="str">
        <f>IF($E25="Q32026",COUNTIF($E$3:$E25,"Q32026"),"")</f>
        <v/>
      </c>
      <c r="M25" s="67" t="str">
        <f>IF($E25="Q42026",COUNTIF($E$3:$E25,"Q42026"),"")</f>
        <v/>
      </c>
      <c r="N25" s="67" t="str">
        <f>IF($E25="Backlog",COUNTIF($E$3:$E25,"Backlog"),"")</f>
        <v/>
      </c>
    </row>
    <row r="26" spans="1:14" ht="24.75" customHeight="1">
      <c r="A26" s="68">
        <v>24</v>
      </c>
      <c r="B26" s="18" t="s">
        <v>42</v>
      </c>
      <c r="C26" s="19"/>
      <c r="D26" s="19"/>
      <c r="E26" s="19"/>
      <c r="F26" s="19"/>
      <c r="G26" s="19"/>
      <c r="H26" s="69" t="str">
        <f>IF(C26="XXL (&gt;160h)",168,IF(C26="XL (&gt;40h)",48,IF(C26="L (20-40h)",30,IF(C26="M (10-20h)",15,IF(C26="S (&lt;10h)",5,"")))))</f>
        <v/>
      </c>
      <c r="I26" s="18"/>
      <c r="J26" s="67" t="str">
        <f>IF($E26="Q12026",COUNTIF($E$3:$E26,"Q12026"),"")</f>
        <v/>
      </c>
      <c r="K26" s="67" t="str">
        <f>IF($E26="Q22026",COUNTIF($E$3:$E26,"Q22026"),"")</f>
        <v/>
      </c>
      <c r="L26" s="67" t="str">
        <f>IF($E26="Q32026",COUNTIF($E$3:$E26,"Q32026"),"")</f>
        <v/>
      </c>
      <c r="M26" s="67" t="str">
        <f>IF($E26="Q42026",COUNTIF($E$3:$E26,"Q42026"),"")</f>
        <v/>
      </c>
      <c r="N26" s="67" t="str">
        <f>IF($E26="Backlog",COUNTIF($E$3:$E26,"Backlog"),"")</f>
        <v/>
      </c>
    </row>
    <row r="27" spans="1:14" ht="24.75" customHeight="1">
      <c r="A27" s="141">
        <v>25</v>
      </c>
      <c r="B27" s="16" t="s">
        <v>43</v>
      </c>
      <c r="C27" s="17"/>
      <c r="D27" s="17"/>
      <c r="E27" s="17"/>
      <c r="F27" s="17"/>
      <c r="G27" s="17"/>
      <c r="H27" s="66" t="str">
        <f>IF(C27="XXL (&gt;160h)",168,IF(C27="XL (&gt;40h)",48,IF(C27="L (20-40h)",30,IF(C27="M (10-20h)",15,IF(C27="S (&lt;10h)",5,"")))))</f>
        <v/>
      </c>
      <c r="I27" s="16"/>
      <c r="J27" s="67" t="str">
        <f>IF($E27="Q12026",COUNTIF($E$3:$E27,"Q12026"),"")</f>
        <v/>
      </c>
      <c r="K27" s="67" t="str">
        <f>IF($E27="Q22026",COUNTIF($E$3:$E27,"Q22026"),"")</f>
        <v/>
      </c>
      <c r="L27" s="67" t="str">
        <f>IF($E27="Q32026",COUNTIF($E$3:$E27,"Q32026"),"")</f>
        <v/>
      </c>
      <c r="M27" s="67" t="str">
        <f>IF($E27="Q42026",COUNTIF($E$3:$E27,"Q42026"),"")</f>
        <v/>
      </c>
      <c r="N27" s="67" t="str">
        <f>IF($E27="Backlog",COUNTIF($E$3:$E27,"Backlog"),"")</f>
        <v/>
      </c>
    </row>
    <row r="28" spans="1:14" ht="24.75" customHeight="1">
      <c r="A28" s="141">
        <v>26</v>
      </c>
      <c r="B28" s="18" t="s">
        <v>44</v>
      </c>
      <c r="C28" s="19"/>
      <c r="D28" s="19"/>
      <c r="E28" s="19"/>
      <c r="F28" s="19"/>
      <c r="G28" s="19"/>
      <c r="H28" s="69" t="str">
        <f>IF(C28="XXL (&gt;160h)",168,IF(C28="XL (&gt;40h)",48,IF(C28="L (20-40h)",30,IF(C28="M (10-20h)",15,IF(C28="S (&lt;10h)",5,"")))))</f>
        <v/>
      </c>
      <c r="I28" s="18"/>
      <c r="J28" s="67" t="str">
        <f>IF($E28="Q12026",COUNTIF($E$3:$E28,"Q12026"),"")</f>
        <v/>
      </c>
      <c r="K28" s="67" t="str">
        <f>IF($E28="Q22026",COUNTIF($E$3:$E28,"Q22026"),"")</f>
        <v/>
      </c>
      <c r="L28" s="67" t="str">
        <f>IF($E28="Q32026",COUNTIF($E$3:$E28,"Q32026"),"")</f>
        <v/>
      </c>
      <c r="M28" s="67" t="str">
        <f>IF($E28="Q42026",COUNTIF($E$3:$E28,"Q42026"),"")</f>
        <v/>
      </c>
      <c r="N28" s="67" t="str">
        <f>IF($E28="Backlog",COUNTIF($E$3:$E28,"Backlog"),"")</f>
        <v/>
      </c>
    </row>
    <row r="29" spans="1:14" ht="24.75" customHeight="1">
      <c r="A29" s="141">
        <v>27</v>
      </c>
      <c r="B29" s="16" t="s">
        <v>45</v>
      </c>
      <c r="C29" s="17"/>
      <c r="D29" s="17"/>
      <c r="E29" s="17"/>
      <c r="F29" s="17"/>
      <c r="G29" s="17"/>
      <c r="H29" s="66" t="str">
        <f>IF(C29="XXL (&gt;160h)",168,IF(C29="XL (&gt;40h)",48,IF(C29="L (20-40h)",30,IF(C29="M (10-20h)",15,IF(C29="S (&lt;10h)",5,"")))))</f>
        <v/>
      </c>
      <c r="I29" s="16"/>
      <c r="J29" s="67" t="str">
        <f>IF($E29="Q12026",COUNTIF($E$3:$E29,"Q12026"),"")</f>
        <v/>
      </c>
      <c r="K29" s="67" t="str">
        <f>IF($E29="Q22026",COUNTIF($E$3:$E29,"Q22026"),"")</f>
        <v/>
      </c>
      <c r="L29" s="67" t="str">
        <f>IF($E29="Q32026",COUNTIF($E$3:$E29,"Q32026"),"")</f>
        <v/>
      </c>
      <c r="M29" s="67" t="str">
        <f>IF($E29="Q42026",COUNTIF($E$3:$E29,"Q42026"),"")</f>
        <v/>
      </c>
      <c r="N29" s="67" t="str">
        <f>IF($E29="Backlog",COUNTIF($E$3:$E29,"Backlog"),"")</f>
        <v/>
      </c>
    </row>
    <row r="30" spans="1:14" ht="24.75" customHeight="1">
      <c r="A30" s="141">
        <v>28</v>
      </c>
      <c r="B30" s="18" t="s">
        <v>46</v>
      </c>
      <c r="C30" s="19"/>
      <c r="D30" s="19"/>
      <c r="E30" s="19"/>
      <c r="F30" s="19"/>
      <c r="G30" s="19"/>
      <c r="H30" s="69" t="str">
        <f>IF(C30="XXL (&gt;160h)",168,IF(C30="XL (&gt;40h)",48,IF(C30="L (20-40h)",30,IF(C30="M (10-20h)",15,IF(C30="S (&lt;10h)",5,"")))))</f>
        <v/>
      </c>
      <c r="I30" s="18"/>
      <c r="J30" s="67" t="str">
        <f>IF($E30="Q12026",COUNTIF($E$3:$E30,"Q12026"),"")</f>
        <v/>
      </c>
      <c r="K30" s="67" t="str">
        <f>IF($E30="Q22026",COUNTIF($E$3:$E30,"Q22026"),"")</f>
        <v/>
      </c>
      <c r="L30" s="67" t="str">
        <f>IF($E30="Q32026",COUNTIF($E$3:$E30,"Q32026"),"")</f>
        <v/>
      </c>
      <c r="M30" s="67" t="str">
        <f>IF($E30="Q42026",COUNTIF($E$3:$E30,"Q42026"),"")</f>
        <v/>
      </c>
      <c r="N30" s="67" t="str">
        <f>IF($E30="Backlog",COUNTIF($E$3:$E30,"Backlog"),"")</f>
        <v/>
      </c>
    </row>
    <row r="31" spans="1:14" ht="24.75" customHeight="1">
      <c r="A31" s="141">
        <v>29</v>
      </c>
      <c r="B31" s="16" t="s">
        <v>47</v>
      </c>
      <c r="C31" s="17"/>
      <c r="D31" s="17"/>
      <c r="E31" s="17"/>
      <c r="F31" s="17"/>
      <c r="G31" s="17"/>
      <c r="H31" s="66" t="str">
        <f>IF(C31="XXL (&gt;160h)",168,IF(C31="XL (&gt;40h)",48,IF(C31="L (20-40h)",30,IF(C31="M (10-20h)",15,IF(C31="S (&lt;10h)",5,"")))))</f>
        <v/>
      </c>
      <c r="I31" s="16"/>
      <c r="J31" s="67" t="str">
        <f>IF($E31="Q12026",COUNTIF($E$3:$E31,"Q12026"),"")</f>
        <v/>
      </c>
      <c r="K31" s="67" t="str">
        <f>IF($E31="Q22026",COUNTIF($E$3:$E31,"Q22026"),"")</f>
        <v/>
      </c>
      <c r="L31" s="67" t="str">
        <f>IF($E31="Q32026",COUNTIF($E$3:$E31,"Q32026"),"")</f>
        <v/>
      </c>
      <c r="M31" s="67" t="str">
        <f>IF($E31="Q42026",COUNTIF($E$3:$E31,"Q42026"),"")</f>
        <v/>
      </c>
      <c r="N31" s="67" t="str">
        <f>IF($E31="Backlog",COUNTIF($E$3:$E31,"Backlog"),"")</f>
        <v/>
      </c>
    </row>
    <row r="32" spans="1:14" ht="24.75" customHeight="1">
      <c r="A32" s="68">
        <v>30</v>
      </c>
      <c r="B32" s="18" t="s">
        <v>48</v>
      </c>
      <c r="C32" s="19"/>
      <c r="D32" s="19"/>
      <c r="E32" s="19"/>
      <c r="F32" s="19"/>
      <c r="G32" s="19"/>
      <c r="H32" s="69" t="str">
        <f>IF(C32="XXL (&gt;160h)",168,IF(C32="XL (&gt;40h)",48,IF(C32="L (20-40h)",30,IF(C32="M (10-20h)",15,IF(C32="S (&lt;10h)",5,"")))))</f>
        <v/>
      </c>
      <c r="I32" s="18"/>
      <c r="J32" s="67" t="str">
        <f>IF($E32="Q12026",COUNTIF($E$3:$E32,"Q12026"),"")</f>
        <v/>
      </c>
      <c r="K32" s="67" t="str">
        <f>IF($E32="Q22026",COUNTIF($E$3:$E32,"Q22026"),"")</f>
        <v/>
      </c>
      <c r="L32" s="67" t="str">
        <f>IF($E32="Q32026",COUNTIF($E$3:$E32,"Q32026"),"")</f>
        <v/>
      </c>
      <c r="M32" s="67" t="str">
        <f>IF($E32="Q42026",COUNTIF($E$3:$E32,"Q42026"),"")</f>
        <v/>
      </c>
      <c r="N32" s="67" t="str">
        <f>IF($E32="Backlog",COUNTIF($E$3:$E32,"Backlog"),"")</f>
        <v/>
      </c>
    </row>
    <row r="33" spans="1:14" ht="19.5" customHeight="1">
      <c r="A33" s="65">
        <v>31</v>
      </c>
      <c r="B33" s="16" t="s">
        <v>49</v>
      </c>
      <c r="C33" s="17"/>
      <c r="D33" s="17"/>
      <c r="E33" s="17"/>
      <c r="F33" s="17"/>
      <c r="G33" s="17"/>
      <c r="H33" s="66" t="str">
        <f>IF(C33="XXL (&gt;160h)",168,IF(C33="XL (&gt;40h)",48,IF(C33="L (20-40h)",30,IF(C33="M (10-20h)",15,IF(C33="S (&lt;10h)",5,"")))))</f>
        <v/>
      </c>
      <c r="I33" s="16" t="s">
        <v>50</v>
      </c>
      <c r="J33" s="67" t="str">
        <f>IF($E33="Q12026",COUNTIF($E$3:$E33,"Q12026"),"")</f>
        <v/>
      </c>
      <c r="K33" s="67" t="str">
        <f>IF($E33="Q22026",COUNTIF($E$3:$E33,"Q22026"),"")</f>
        <v/>
      </c>
      <c r="L33" s="67" t="str">
        <f>IF($E33="Q32026",COUNTIF($E$3:$E33,"Q32026"),"")</f>
        <v/>
      </c>
      <c r="M33" s="67" t="str">
        <f>IF($E33="Q42026",COUNTIF($E$3:$E33,"Q42026"),"")</f>
        <v/>
      </c>
      <c r="N33" s="67" t="str">
        <f>IF($E33="Backlog",COUNTIF($E$3:$E33,"Backlog"),"")</f>
        <v/>
      </c>
    </row>
    <row r="34" spans="1:14" ht="19.5" customHeight="1">
      <c r="A34" s="143">
        <v>32</v>
      </c>
      <c r="B34" s="18" t="s">
        <v>51</v>
      </c>
      <c r="C34" s="19"/>
      <c r="D34" s="19"/>
      <c r="E34" s="19" t="s">
        <v>22</v>
      </c>
      <c r="F34" s="19"/>
      <c r="G34" s="19"/>
      <c r="H34" s="69" t="str">
        <f>IF(C34="XXL (&gt;160h)",168,IF(C34="XL (&gt;40h)",48,IF(C34="L (20-40h)",30,IF(C34="M (10-20h)",15,IF(C34="S (&lt;10h)",5,"")))))</f>
        <v/>
      </c>
      <c r="I34" s="18" t="s">
        <v>52</v>
      </c>
      <c r="J34" s="67" t="str">
        <f>IF($E34="Q12026",COUNTIF($E$3:$E34,"Q12026"),"")</f>
        <v/>
      </c>
      <c r="K34" s="67" t="str">
        <f>IF($E34="Q22026",COUNTIF($E$3:$E34,"Q22026"),"")</f>
        <v/>
      </c>
      <c r="L34" s="67" t="str">
        <f>IF($E34="Q32026",COUNTIF($E$3:$E34,"Q32026"),"")</f>
        <v/>
      </c>
      <c r="M34" s="67">
        <f>IF($E34="Q42026",COUNTIF($E$3:$E34,"Q42026"),"")</f>
        <v>2</v>
      </c>
      <c r="N34" s="67" t="str">
        <f>IF($E34="Backlog",COUNTIF($E$3:$E34,"Backlog"),"")</f>
        <v/>
      </c>
    </row>
    <row r="35" spans="1:14" ht="19.5" customHeight="1">
      <c r="A35" s="105">
        <v>33</v>
      </c>
      <c r="B35" t="s">
        <v>53</v>
      </c>
      <c r="C35" s="17"/>
      <c r="D35" s="17"/>
      <c r="E35" s="17" t="s">
        <v>54</v>
      </c>
      <c r="F35" s="17"/>
      <c r="G35" s="17"/>
      <c r="H35" s="66" t="str">
        <f>IF(C35="XXL (&gt;160h)",168,IF(C35="XL (&gt;40h)",48,IF(C35="L (20-40h)",30,IF(C35="M (10-20h)",15,IF(C35="S (&lt;10h)",5,"")))))</f>
        <v/>
      </c>
      <c r="I35" s="16"/>
      <c r="J35" s="67" t="str">
        <f>IF($E35="Q12026",COUNTIF($E$3:$E35,"Q12026"),"")</f>
        <v/>
      </c>
      <c r="K35" s="67" t="str">
        <f>IF($E35="Q22026",COUNTIF($E$3:$E35,"Q22026"),"")</f>
        <v/>
      </c>
      <c r="L35" s="67">
        <f>IF($E35="Q32026",COUNTIF($E$3:$E35,"Q32026"),"")</f>
        <v>1</v>
      </c>
      <c r="M35" s="67" t="str">
        <f>IF($E35="Q42026",COUNTIF($E$3:$E35,"Q42026"),"")</f>
        <v/>
      </c>
      <c r="N35" s="67" t="str">
        <f>IF($E35="Backlog",COUNTIF($E$3:$E35,"Backlog"),"")</f>
        <v/>
      </c>
    </row>
    <row r="36" spans="1:14" ht="19.5" customHeight="1">
      <c r="A36" s="143">
        <v>34</v>
      </c>
      <c r="B36" s="18" t="s">
        <v>55</v>
      </c>
      <c r="C36" s="19"/>
      <c r="D36" s="19"/>
      <c r="E36" s="19" t="s">
        <v>54</v>
      </c>
      <c r="F36" s="19"/>
      <c r="G36" s="19"/>
      <c r="H36" s="69" t="str">
        <f>IF(C36="XXL (&gt;160h)",168,IF(C36="XL (&gt;40h)",48,IF(C36="L (20-40h)",30,IF(C36="M (10-20h)",15,IF(C36="S (&lt;10h)",5,"")))))</f>
        <v/>
      </c>
      <c r="I36" s="18"/>
      <c r="J36" s="67" t="str">
        <f>IF($E36="Q12026",COUNTIF($E$3:$E36,"Q12026"),"")</f>
        <v/>
      </c>
      <c r="K36" s="67" t="str">
        <f>IF($E36="Q22026",COUNTIF($E$3:$E36,"Q22026"),"")</f>
        <v/>
      </c>
      <c r="L36" s="67">
        <f>IF($E36="Q32026",COUNTIF($E$3:$E36,"Q32026"),"")</f>
        <v>2</v>
      </c>
      <c r="M36" s="67" t="str">
        <f>IF($E36="Q42026",COUNTIF($E$3:$E36,"Q42026"),"")</f>
        <v/>
      </c>
      <c r="N36" s="67" t="str">
        <f>IF($E36="Backlog",COUNTIF($E$3:$E36,"Backlog"),"")</f>
        <v/>
      </c>
    </row>
    <row r="37" spans="1:14" ht="19.5" customHeight="1">
      <c r="A37" s="65">
        <v>35</v>
      </c>
      <c r="B37" s="16"/>
      <c r="C37" s="17"/>
      <c r="D37" s="17"/>
      <c r="E37" s="17"/>
      <c r="F37" s="17"/>
      <c r="G37" s="17"/>
      <c r="H37" s="66" t="str">
        <f>IF(C37="XXL (&gt;160h)",168,IF(C37="XL (&gt;40h)",48,IF(C37="L (20-40h)",30,IF(C37="M (10-20h)",15,IF(C37="S (&lt;10h)",5,"")))))</f>
        <v/>
      </c>
      <c r="I37" s="16"/>
      <c r="J37" s="67" t="str">
        <f>IF($E37="Q12026",COUNTIF($E$3:$E37,"Q12026"),"")</f>
        <v/>
      </c>
      <c r="K37" s="67" t="str">
        <f>IF($E37="Q22026",COUNTIF($E$3:$E37,"Q22026"),"")</f>
        <v/>
      </c>
      <c r="L37" s="67" t="str">
        <f>IF($E37="Q32026",COUNTIF($E$3:$E37,"Q32026"),"")</f>
        <v/>
      </c>
      <c r="M37" s="67" t="str">
        <f>IF($E37="Q42026",COUNTIF($E$3:$E37,"Q42026"),"")</f>
        <v/>
      </c>
      <c r="N37" s="67" t="str">
        <f>IF($E37="Backlog",COUNTIF($E$3:$E37,"Backlog"),"")</f>
        <v/>
      </c>
    </row>
    <row r="38" spans="1:14" ht="19.5" customHeight="1">
      <c r="A38" s="68">
        <v>36</v>
      </c>
      <c r="B38" s="18"/>
      <c r="C38" s="19"/>
      <c r="D38" s="19"/>
      <c r="E38" s="19"/>
      <c r="F38" s="19"/>
      <c r="G38" s="19"/>
      <c r="H38" s="69" t="str">
        <f>IF(C38="XXL (&gt;160h)",168,IF(C38="XL (&gt;40h)",48,IF(C38="L (20-40h)",30,IF(C38="M (10-20h)",15,IF(C38="S (&lt;10h)",5,"")))))</f>
        <v/>
      </c>
      <c r="I38" s="18"/>
      <c r="J38" s="67" t="str">
        <f>IF($E38="Q12026",COUNTIF($E$3:$E38,"Q12026"),"")</f>
        <v/>
      </c>
      <c r="K38" s="67" t="str">
        <f>IF($E38="Q22026",COUNTIF($E$3:$E38,"Q22026"),"")</f>
        <v/>
      </c>
      <c r="L38" s="67" t="str">
        <f>IF($E38="Q32026",COUNTIF($E$3:$E38,"Q32026"),"")</f>
        <v/>
      </c>
      <c r="M38" s="67" t="str">
        <f>IF($E38="Q42026",COUNTIF($E$3:$E38,"Q42026"),"")</f>
        <v/>
      </c>
      <c r="N38" s="67" t="str">
        <f>IF($E38="Backlog",COUNTIF($E$3:$E38,"Backlog"),"")</f>
        <v/>
      </c>
    </row>
    <row r="39" spans="1:14" ht="19.5" customHeight="1">
      <c r="A39" s="65">
        <v>37</v>
      </c>
      <c r="B39" s="16"/>
      <c r="C39" s="17"/>
      <c r="D39" s="17"/>
      <c r="E39" s="17"/>
      <c r="F39" s="17"/>
      <c r="G39" s="17"/>
      <c r="H39" s="66" t="str">
        <f>IF(C39="XXL (&gt;160h)",168,IF(C39="XL (&gt;40h)",48,IF(C39="L (20-40h)",30,IF(C39="M (10-20h)",15,IF(C39="S (&lt;10h)",5,"")))))</f>
        <v/>
      </c>
      <c r="I39" s="16"/>
      <c r="J39" s="67" t="str">
        <f>IF($E39="Q12026",COUNTIF($E$3:$E39,"Q12026"),"")</f>
        <v/>
      </c>
      <c r="K39" s="67" t="str">
        <f>IF($E39="Q22026",COUNTIF($E$3:$E39,"Q22026"),"")</f>
        <v/>
      </c>
      <c r="L39" s="67" t="str">
        <f>IF($E39="Q32026",COUNTIF($E$3:$E39,"Q32026"),"")</f>
        <v/>
      </c>
      <c r="M39" s="67" t="str">
        <f>IF($E39="Q42026",COUNTIF($E$3:$E39,"Q42026"),"")</f>
        <v/>
      </c>
      <c r="N39" s="67" t="str">
        <f>IF($E39="Backlog",COUNTIF($E$3:$E39,"Backlog"),"")</f>
        <v/>
      </c>
    </row>
    <row r="40" spans="1:14" ht="19.5" customHeight="1">
      <c r="A40" s="68">
        <v>38</v>
      </c>
      <c r="B40" s="18"/>
      <c r="C40" s="19"/>
      <c r="D40" s="19"/>
      <c r="E40" s="19"/>
      <c r="F40" s="19"/>
      <c r="G40" s="19"/>
      <c r="H40" s="69" t="str">
        <f>IF(C40="XXL (&gt;160h)",168,IF(C40="XL (&gt;40h)",48,IF(C40="L (20-40h)",30,IF(C40="M (10-20h)",15,IF(C40="S (&lt;10h)",5,"")))))</f>
        <v/>
      </c>
      <c r="I40" s="18"/>
      <c r="J40" s="67" t="str">
        <f>IF($E40="Q12026",COUNTIF($E$3:$E40,"Q12026"),"")</f>
        <v/>
      </c>
      <c r="K40" s="67" t="str">
        <f>IF($E40="Q22026",COUNTIF($E$3:$E40,"Q22026"),"")</f>
        <v/>
      </c>
      <c r="L40" s="67" t="str">
        <f>IF($E40="Q32026",COUNTIF($E$3:$E40,"Q32026"),"")</f>
        <v/>
      </c>
      <c r="M40" s="67" t="str">
        <f>IF($E40="Q42026",COUNTIF($E$3:$E40,"Q42026"),"")</f>
        <v/>
      </c>
      <c r="N40" s="67" t="str">
        <f>IF($E40="Backlog",COUNTIF($E$3:$E40,"Backlog"),"")</f>
        <v/>
      </c>
    </row>
    <row r="41" spans="1:14" ht="19.5" customHeight="1">
      <c r="A41" s="65">
        <v>39</v>
      </c>
      <c r="B41" s="16"/>
      <c r="C41" s="17"/>
      <c r="D41" s="17"/>
      <c r="E41" s="17"/>
      <c r="F41" s="17"/>
      <c r="G41" s="17"/>
      <c r="H41" s="66" t="str">
        <f>IF(C41="XXL (&gt;160h)",168,IF(C41="XL (&gt;40h)",48,IF(C41="L (20-40h)",30,IF(C41="M (10-20h)",15,IF(C41="S (&lt;10h)",5,"")))))</f>
        <v/>
      </c>
      <c r="I41" s="16"/>
      <c r="J41" s="67" t="str">
        <f>IF($E41="Q12026",COUNTIF($E$3:$E41,"Q12026"),"")</f>
        <v/>
      </c>
      <c r="K41" s="67" t="str">
        <f>IF($E41="Q22026",COUNTIF($E$3:$E41,"Q22026"),"")</f>
        <v/>
      </c>
      <c r="L41" s="67" t="str">
        <f>IF($E41="Q32026",COUNTIF($E$3:$E41,"Q32026"),"")</f>
        <v/>
      </c>
      <c r="M41" s="67" t="str">
        <f>IF($E41="Q42026",COUNTIF($E$3:$E41,"Q42026"),"")</f>
        <v/>
      </c>
      <c r="N41" s="67" t="str">
        <f>IF($E41="Backlog",COUNTIF($E$3:$E41,"Backlog"),"")</f>
        <v/>
      </c>
    </row>
    <row r="42" spans="1:14" ht="19.5" customHeight="1">
      <c r="A42" s="68">
        <v>40</v>
      </c>
      <c r="B42" s="18"/>
      <c r="C42" s="19"/>
      <c r="D42" s="19"/>
      <c r="E42" s="19"/>
      <c r="F42" s="19"/>
      <c r="G42" s="19"/>
      <c r="H42" s="69" t="str">
        <f>IF(C42="XXL (&gt;160h)",168,IF(C42="XL (&gt;40h)",48,IF(C42="L (20-40h)",30,IF(C42="M (10-20h)",15,IF(C42="S (&lt;10h)",5,"")))))</f>
        <v/>
      </c>
      <c r="I42" s="18"/>
      <c r="J42" s="67" t="str">
        <f>IF($E42="Q12026",COUNTIF($E$3:$E42,"Q12026"),"")</f>
        <v/>
      </c>
      <c r="K42" s="67" t="str">
        <f>IF($E42="Q22026",COUNTIF($E$3:$E42,"Q22026"),"")</f>
        <v/>
      </c>
      <c r="L42" s="67" t="str">
        <f>IF($E42="Q32026",COUNTIF($E$3:$E42,"Q32026"),"")</f>
        <v/>
      </c>
      <c r="M42" s="67" t="str">
        <f>IF($E42="Q42026",COUNTIF($E$3:$E42,"Q42026"),"")</f>
        <v/>
      </c>
      <c r="N42" s="67" t="str">
        <f>IF($E42="Backlog",COUNTIF($E$3:$E42,"Backlog"),"")</f>
        <v/>
      </c>
    </row>
    <row r="43" spans="1:14" ht="19.5" customHeight="1">
      <c r="A43" s="65">
        <v>41</v>
      </c>
      <c r="B43" s="16"/>
      <c r="C43" s="17"/>
      <c r="D43" s="17"/>
      <c r="E43" s="17"/>
      <c r="F43" s="17"/>
      <c r="G43" s="17"/>
      <c r="H43" s="66" t="str">
        <f>IF(C43="XXL (&gt;160h)",168,IF(C43="XL (&gt;40h)",48,IF(C43="L (20-40h)",30,IF(C43="M (10-20h)",15,IF(C43="S (&lt;10h)",5,"")))))</f>
        <v/>
      </c>
      <c r="I43" s="16"/>
      <c r="J43" s="67" t="str">
        <f>IF($E43="Q12026",COUNTIF($E$3:$E43,"Q12026"),"")</f>
        <v/>
      </c>
      <c r="K43" s="67" t="str">
        <f>IF($E43="Q22026",COUNTIF($E$3:$E43,"Q22026"),"")</f>
        <v/>
      </c>
      <c r="L43" s="67" t="str">
        <f>IF($E43="Q32026",COUNTIF($E$3:$E43,"Q32026"),"")</f>
        <v/>
      </c>
      <c r="M43" s="67" t="str">
        <f>IF($E43="Q42026",COUNTIF($E$3:$E43,"Q42026"),"")</f>
        <v/>
      </c>
      <c r="N43" s="67" t="str">
        <f>IF($E43="Backlog",COUNTIF($E$3:$E43,"Backlog"),"")</f>
        <v/>
      </c>
    </row>
    <row r="44" spans="1:14" ht="19.5" customHeight="1">
      <c r="A44" s="68">
        <v>42</v>
      </c>
      <c r="B44" s="18"/>
      <c r="C44" s="19"/>
      <c r="D44" s="19"/>
      <c r="E44" s="19"/>
      <c r="F44" s="19"/>
      <c r="G44" s="19"/>
      <c r="H44" s="69" t="str">
        <f>IF(C44="XXL (&gt;160h)",168,IF(C44="XL (&gt;40h)",48,IF(C44="L (20-40h)",30,IF(C44="M (10-20h)",15,IF(C44="S (&lt;10h)",5,"")))))</f>
        <v/>
      </c>
      <c r="I44" s="18"/>
      <c r="J44" s="67" t="str">
        <f>IF($E44="Q12026",COUNTIF($E$3:$E44,"Q12026"),"")</f>
        <v/>
      </c>
      <c r="K44" s="67" t="str">
        <f>IF($E44="Q22026",COUNTIF($E$3:$E44,"Q22026"),"")</f>
        <v/>
      </c>
      <c r="L44" s="67" t="str">
        <f>IF($E44="Q32026",COUNTIF($E$3:$E44,"Q32026"),"")</f>
        <v/>
      </c>
      <c r="M44" s="67" t="str">
        <f>IF($E44="Q42026",COUNTIF($E$3:$E44,"Q42026"),"")</f>
        <v/>
      </c>
      <c r="N44" s="67" t="str">
        <f>IF($E44="Backlog",COUNTIF($E$3:$E44,"Backlog"),"")</f>
        <v/>
      </c>
    </row>
    <row r="45" spans="1:14" ht="19.5" customHeight="1">
      <c r="A45" s="65">
        <v>43</v>
      </c>
      <c r="B45" s="16"/>
      <c r="C45" s="17"/>
      <c r="D45" s="17"/>
      <c r="E45" s="17"/>
      <c r="F45" s="17"/>
      <c r="G45" s="17"/>
      <c r="H45" s="66" t="str">
        <f>IF(C45="XXL (&gt;160h)",168,IF(C45="XL (&gt;40h)",48,IF(C45="L (20-40h)",30,IF(C45="M (10-20h)",15,IF(C45="S (&lt;10h)",5,"")))))</f>
        <v/>
      </c>
      <c r="I45" s="16"/>
      <c r="J45" s="67" t="str">
        <f>IF($E45="Q12026",COUNTIF($E$3:$E45,"Q12026"),"")</f>
        <v/>
      </c>
      <c r="K45" s="67" t="str">
        <f>IF($E45="Q22026",COUNTIF($E$3:$E45,"Q22026"),"")</f>
        <v/>
      </c>
      <c r="L45" s="67" t="str">
        <f>IF($E45="Q32026",COUNTIF($E$3:$E45,"Q32026"),"")</f>
        <v/>
      </c>
      <c r="M45" s="67" t="str">
        <f>IF($E45="Q42026",COUNTIF($E$3:$E45,"Q42026"),"")</f>
        <v/>
      </c>
      <c r="N45" s="67" t="str">
        <f>IF($E45="Backlog",COUNTIF($E$3:$E45,"Backlog"),"")</f>
        <v/>
      </c>
    </row>
    <row r="46" spans="1:14" ht="19.5" customHeight="1">
      <c r="A46" s="68">
        <v>44</v>
      </c>
      <c r="B46" s="18"/>
      <c r="C46" s="19"/>
      <c r="D46" s="19"/>
      <c r="E46" s="19"/>
      <c r="F46" s="19"/>
      <c r="G46" s="19"/>
      <c r="H46" s="69" t="str">
        <f>IF(C46="XXL (&gt;160h)",168,IF(C46="XL (&gt;40h)",48,IF(C46="L (20-40h)",30,IF(C46="M (10-20h)",15,IF(C46="S (&lt;10h)",5,"")))))</f>
        <v/>
      </c>
      <c r="I46" s="18"/>
      <c r="J46" s="67" t="str">
        <f>IF($E46="Q12026",COUNTIF($E$3:$E46,"Q12026"),"")</f>
        <v/>
      </c>
      <c r="K46" s="67" t="str">
        <f>IF($E46="Q22026",COUNTIF($E$3:$E46,"Q22026"),"")</f>
        <v/>
      </c>
      <c r="L46" s="67" t="str">
        <f>IF($E46="Q32026",COUNTIF($E$3:$E46,"Q32026"),"")</f>
        <v/>
      </c>
      <c r="M46" s="67" t="str">
        <f>IF($E46="Q42026",COUNTIF($E$3:$E46,"Q42026"),"")</f>
        <v/>
      </c>
      <c r="N46" s="67" t="str">
        <f>IF($E46="Backlog",COUNTIF($E$3:$E46,"Backlog"),"")</f>
        <v/>
      </c>
    </row>
    <row r="47" spans="1:14" ht="19.5" customHeight="1">
      <c r="A47" s="65">
        <v>45</v>
      </c>
      <c r="B47" s="16"/>
      <c r="C47" s="17"/>
      <c r="D47" s="17"/>
      <c r="E47" s="17"/>
      <c r="F47" s="17"/>
      <c r="G47" s="17"/>
      <c r="H47" s="66" t="str">
        <f>IF(C47="XXL (&gt;160h)",168,IF(C47="XL (&gt;40h)",48,IF(C47="L (20-40h)",30,IF(C47="M (10-20h)",15,IF(C47="S (&lt;10h)",5,"")))))</f>
        <v/>
      </c>
      <c r="I47" s="16"/>
      <c r="J47" s="67" t="str">
        <f>IF($E47="Q12026",COUNTIF($E$3:$E47,"Q12026"),"")</f>
        <v/>
      </c>
      <c r="K47" s="67" t="str">
        <f>IF($E47="Q22026",COUNTIF($E$3:$E47,"Q22026"),"")</f>
        <v/>
      </c>
      <c r="L47" s="67" t="str">
        <f>IF($E47="Q32026",COUNTIF($E$3:$E47,"Q32026"),"")</f>
        <v/>
      </c>
      <c r="M47" s="67" t="str">
        <f>IF($E47="Q42026",COUNTIF($E$3:$E47,"Q42026"),"")</f>
        <v/>
      </c>
      <c r="N47" s="67" t="str">
        <f>IF($E47="Backlog",COUNTIF($E$3:$E47,"Backlog"),"")</f>
        <v/>
      </c>
    </row>
    <row r="48" spans="1:14" ht="19.5" customHeight="1">
      <c r="A48" s="68">
        <v>46</v>
      </c>
      <c r="B48" s="18"/>
      <c r="C48" s="19"/>
      <c r="D48" s="19"/>
      <c r="E48" s="19"/>
      <c r="F48" s="19"/>
      <c r="G48" s="19"/>
      <c r="H48" s="69" t="str">
        <f>IF(C48="XXL (&gt;160h)",168,IF(C48="XL (&gt;40h)",48,IF(C48="L (20-40h)",30,IF(C48="M (10-20h)",15,IF(C48="S (&lt;10h)",5,"")))))</f>
        <v/>
      </c>
      <c r="I48" s="18"/>
      <c r="J48" s="67" t="str">
        <f>IF($E48="Q12026",COUNTIF($E$3:$E48,"Q12026"),"")</f>
        <v/>
      </c>
      <c r="K48" s="67" t="str">
        <f>IF($E48="Q22026",COUNTIF($E$3:$E48,"Q22026"),"")</f>
        <v/>
      </c>
      <c r="L48" s="67" t="str">
        <f>IF($E48="Q32026",COUNTIF($E$3:$E48,"Q32026"),"")</f>
        <v/>
      </c>
      <c r="M48" s="67" t="str">
        <f>IF($E48="Q42026",COUNTIF($E$3:$E48,"Q42026"),"")</f>
        <v/>
      </c>
      <c r="N48" s="67" t="str">
        <f>IF($E48="Backlog",COUNTIF($E$3:$E48,"Backlog"),"")</f>
        <v/>
      </c>
    </row>
    <row r="49" spans="1:14" ht="19.5" customHeight="1">
      <c r="A49" s="65">
        <v>47</v>
      </c>
      <c r="B49" s="16"/>
      <c r="C49" s="17"/>
      <c r="D49" s="17"/>
      <c r="E49" s="17"/>
      <c r="F49" s="17"/>
      <c r="G49" s="17"/>
      <c r="H49" s="66" t="str">
        <f>IF(C49="XXL (&gt;160h)",168,IF(C49="XL (&gt;40h)",48,IF(C49="L (20-40h)",30,IF(C49="M (10-20h)",15,IF(C49="S (&lt;10h)",5,"")))))</f>
        <v/>
      </c>
      <c r="I49" s="16"/>
      <c r="J49" s="67" t="str">
        <f>IF($E49="Q12026",COUNTIF($E$3:$E49,"Q12026"),"")</f>
        <v/>
      </c>
      <c r="K49" s="67" t="str">
        <f>IF($E49="Q22026",COUNTIF($E$3:$E49,"Q22026"),"")</f>
        <v/>
      </c>
      <c r="L49" s="67" t="str">
        <f>IF($E49="Q32026",COUNTIF($E$3:$E49,"Q32026"),"")</f>
        <v/>
      </c>
      <c r="M49" s="67" t="str">
        <f>IF($E49="Q42026",COUNTIF($E$3:$E49,"Q42026"),"")</f>
        <v/>
      </c>
      <c r="N49" s="67" t="str">
        <f>IF($E49="Backlog",COUNTIF($E$3:$E49,"Backlog"),"")</f>
        <v/>
      </c>
    </row>
    <row r="50" spans="1:14" ht="19.5" customHeight="1">
      <c r="A50" s="68">
        <v>48</v>
      </c>
      <c r="B50" s="18"/>
      <c r="C50" s="19"/>
      <c r="D50" s="19"/>
      <c r="E50" s="19"/>
      <c r="F50" s="19"/>
      <c r="G50" s="19"/>
      <c r="H50" s="69" t="str">
        <f>IF(C50="XXL (&gt;160h)",168,IF(C50="XL (&gt;40h)",48,IF(C50="L (20-40h)",30,IF(C50="M (10-20h)",15,IF(C50="S (&lt;10h)",5,"")))))</f>
        <v/>
      </c>
      <c r="I50" s="18"/>
      <c r="J50" s="67" t="str">
        <f>IF($E50="Q12026",COUNTIF($E$3:$E50,"Q12026"),"")</f>
        <v/>
      </c>
      <c r="K50" s="67" t="str">
        <f>IF($E50="Q22026",COUNTIF($E$3:$E50,"Q22026"),"")</f>
        <v/>
      </c>
      <c r="L50" s="67" t="str">
        <f>IF($E50="Q32026",COUNTIF($E$3:$E50,"Q32026"),"")</f>
        <v/>
      </c>
      <c r="M50" s="67" t="str">
        <f>IF($E50="Q42026",COUNTIF($E$3:$E50,"Q42026"),"")</f>
        <v/>
      </c>
      <c r="N50" s="67" t="str">
        <f>IF($E50="Backlog",COUNTIF($E$3:$E50,"Backlog"),"")</f>
        <v/>
      </c>
    </row>
    <row r="51" spans="1:14" ht="19.5" customHeight="1">
      <c r="A51" s="65">
        <v>49</v>
      </c>
      <c r="B51" s="16"/>
      <c r="C51" s="17"/>
      <c r="D51" s="17"/>
      <c r="E51" s="17"/>
      <c r="F51" s="17"/>
      <c r="G51" s="17"/>
      <c r="H51" s="66" t="str">
        <f>IF(C51="XXL (&gt;160h)",168,IF(C51="XL (&gt;40h)",48,IF(C51="L (20-40h)",30,IF(C51="M (10-20h)",15,IF(C51="S (&lt;10h)",5,"")))))</f>
        <v/>
      </c>
      <c r="I51" s="16"/>
      <c r="J51" s="67" t="str">
        <f>IF($E51="Q12026",COUNTIF($E$3:$E51,"Q12026"),"")</f>
        <v/>
      </c>
      <c r="K51" s="67" t="str">
        <f>IF($E51="Q22026",COUNTIF($E$3:$E51,"Q22026"),"")</f>
        <v/>
      </c>
      <c r="L51" s="67" t="str">
        <f>IF($E51="Q32026",COUNTIF($E$3:$E51,"Q32026"),"")</f>
        <v/>
      </c>
      <c r="M51" s="67" t="str">
        <f>IF($E51="Q42026",COUNTIF($E$3:$E51,"Q42026"),"")</f>
        <v/>
      </c>
      <c r="N51" s="67" t="str">
        <f>IF($E51="Backlog",COUNTIF($E$3:$E51,"Backlog"),"")</f>
        <v/>
      </c>
    </row>
    <row r="52" spans="1:14" ht="19.5" customHeight="1">
      <c r="A52" s="68">
        <v>50</v>
      </c>
      <c r="B52" s="18"/>
      <c r="C52" s="19"/>
      <c r="D52" s="19"/>
      <c r="E52" s="19"/>
      <c r="F52" s="19"/>
      <c r="G52" s="19"/>
      <c r="H52" s="69" t="str">
        <f>IF(C52="XXL (&gt;160h)",168,IF(C52="XL (&gt;40h)",48,IF(C52="L (20-40h)",30,IF(C52="M (10-20h)",15,IF(C52="S (&lt;10h)",5,"")))))</f>
        <v/>
      </c>
      <c r="I52" s="18"/>
      <c r="J52" s="67" t="str">
        <f>IF($E52="Q12026",COUNTIF($E$3:$E52,"Q12026"),"")</f>
        <v/>
      </c>
      <c r="K52" s="67" t="str">
        <f>IF($E52="Q22026",COUNTIF($E$3:$E52,"Q22026"),"")</f>
        <v/>
      </c>
      <c r="L52" s="67" t="str">
        <f>IF($E52="Q32026",COUNTIF($E$3:$E52,"Q32026"),"")</f>
        <v/>
      </c>
      <c r="M52" s="67" t="str">
        <f>IF($E52="Q42026",COUNTIF($E$3:$E52,"Q42026"),"")</f>
        <v/>
      </c>
      <c r="N52" s="67" t="str">
        <f>IF($E52="Backlog",COUNTIF($E$3:$E52,"Backlog"),"")</f>
        <v/>
      </c>
    </row>
    <row r="53" spans="1:14" ht="19.5" customHeight="1">
      <c r="A53" s="65">
        <v>51</v>
      </c>
      <c r="B53" s="16"/>
      <c r="C53" s="17"/>
      <c r="D53" s="17"/>
      <c r="E53" s="17"/>
      <c r="F53" s="17"/>
      <c r="G53" s="17"/>
      <c r="H53" s="66" t="str">
        <f>IF(C53="XXL (&gt;160h)",168,IF(C53="XL (&gt;40h)",48,IF(C53="L (20-40h)",30,IF(C53="M (10-20h)",15,IF(C53="S (&lt;10h)",5,"")))))</f>
        <v/>
      </c>
      <c r="I53" s="16"/>
      <c r="J53" s="67" t="str">
        <f>IF($E53="Q12026",COUNTIF($E$3:$E53,"Q12026"),"")</f>
        <v/>
      </c>
      <c r="K53" s="67" t="str">
        <f>IF($E53="Q22026",COUNTIF($E$3:$E53,"Q22026"),"")</f>
        <v/>
      </c>
      <c r="L53" s="67" t="str">
        <f>IF($E53="Q32026",COUNTIF($E$3:$E53,"Q32026"),"")</f>
        <v/>
      </c>
      <c r="M53" s="67" t="str">
        <f>IF($E53="Q42026",COUNTIF($E$3:$E53,"Q42026"),"")</f>
        <v/>
      </c>
      <c r="N53" s="67" t="str">
        <f>IF($E53="Backlog",COUNTIF($E$3:$E53,"Backlog"),"")</f>
        <v/>
      </c>
    </row>
    <row r="54" spans="1:14" ht="19.5" customHeight="1">
      <c r="A54" s="68">
        <v>52</v>
      </c>
      <c r="B54" s="18"/>
      <c r="C54" s="19"/>
      <c r="D54" s="19"/>
      <c r="E54" s="19"/>
      <c r="F54" s="19"/>
      <c r="G54" s="19"/>
      <c r="H54" s="69" t="str">
        <f>IF(C54="XXL (&gt;160h)",168,IF(C54="XL (&gt;40h)",48,IF(C54="L (20-40h)",30,IF(C54="M (10-20h)",15,IF(C54="S (&lt;10h)",5,"")))))</f>
        <v/>
      </c>
      <c r="I54" s="18"/>
      <c r="J54" s="67" t="str">
        <f>IF($E54="Q12026",COUNTIF($E$3:$E54,"Q12026"),"")</f>
        <v/>
      </c>
      <c r="K54" s="67" t="str">
        <f>IF($E54="Q22026",COUNTIF($E$3:$E54,"Q22026"),"")</f>
        <v/>
      </c>
      <c r="L54" s="67" t="str">
        <f>IF($E54="Q32026",COUNTIF($E$3:$E54,"Q32026"),"")</f>
        <v/>
      </c>
      <c r="M54" s="67" t="str">
        <f>IF($E54="Q42026",COUNTIF($E$3:$E54,"Q42026"),"")</f>
        <v/>
      </c>
      <c r="N54" s="67" t="str">
        <f>IF($E54="Backlog",COUNTIF($E$3:$E54,"Backlog"),"")</f>
        <v/>
      </c>
    </row>
    <row r="55" spans="1:14" ht="19.5" customHeight="1">
      <c r="A55" s="65">
        <v>53</v>
      </c>
      <c r="B55" s="16"/>
      <c r="C55" s="17"/>
      <c r="D55" s="17"/>
      <c r="E55" s="17"/>
      <c r="F55" s="17"/>
      <c r="G55" s="17"/>
      <c r="H55" s="66" t="str">
        <f>IF(C55="XXL (&gt;160h)",168,IF(C55="XL (&gt;40h)",48,IF(C55="L (20-40h)",30,IF(C55="M (10-20h)",15,IF(C55="S (&lt;10h)",5,"")))))</f>
        <v/>
      </c>
      <c r="I55" s="16"/>
      <c r="J55" s="67" t="str">
        <f>IF($E55="Q12026",COUNTIF($E$3:$E55,"Q12026"),"")</f>
        <v/>
      </c>
      <c r="K55" s="67" t="str">
        <f>IF($E55="Q22026",COUNTIF($E$3:$E55,"Q22026"),"")</f>
        <v/>
      </c>
      <c r="L55" s="67" t="str">
        <f>IF($E55="Q32026",COUNTIF($E$3:$E55,"Q32026"),"")</f>
        <v/>
      </c>
      <c r="M55" s="67" t="str">
        <f>IF($E55="Q42026",COUNTIF($E$3:$E55,"Q42026"),"")</f>
        <v/>
      </c>
      <c r="N55" s="67" t="str">
        <f>IF($E55="Backlog",COUNTIF($E$3:$E55,"Backlog"),"")</f>
        <v/>
      </c>
    </row>
    <row r="56" spans="1:14" ht="19.5" customHeight="1">
      <c r="A56" s="68">
        <v>54</v>
      </c>
      <c r="B56" s="18"/>
      <c r="C56" s="19"/>
      <c r="D56" s="19"/>
      <c r="E56" s="19"/>
      <c r="F56" s="19"/>
      <c r="G56" s="19"/>
      <c r="H56" s="69" t="str">
        <f>IF(C56="XXL (&gt;160h)",168,IF(C56="XL (&gt;40h)",48,IF(C56="L (20-40h)",30,IF(C56="M (10-20h)",15,IF(C56="S (&lt;10h)",5,"")))))</f>
        <v/>
      </c>
      <c r="I56" s="18"/>
      <c r="J56" s="67" t="str">
        <f>IF($E56="Q12026",COUNTIF($E$3:$E56,"Q12026"),"")</f>
        <v/>
      </c>
      <c r="K56" s="67" t="str">
        <f>IF($E56="Q22026",COUNTIF($E$3:$E56,"Q22026"),"")</f>
        <v/>
      </c>
      <c r="L56" s="67" t="str">
        <f>IF($E56="Q32026",COUNTIF($E$3:$E56,"Q32026"),"")</f>
        <v/>
      </c>
      <c r="M56" s="67" t="str">
        <f>IF($E56="Q42026",COUNTIF($E$3:$E56,"Q42026"),"")</f>
        <v/>
      </c>
      <c r="N56" s="67" t="str">
        <f>IF($E56="Backlog",COUNTIF($E$3:$E56,"Backlog"),"")</f>
        <v/>
      </c>
    </row>
    <row r="57" spans="1:14" ht="19.5" customHeight="1">
      <c r="A57" s="65">
        <v>55</v>
      </c>
      <c r="B57" s="16"/>
      <c r="C57" s="17"/>
      <c r="D57" s="17"/>
      <c r="E57" s="17"/>
      <c r="F57" s="17"/>
      <c r="G57" s="17"/>
      <c r="H57" s="66" t="str">
        <f>IF(C57="XXL (&gt;160h)",168,IF(C57="XL (&gt;40h)",48,IF(C57="L (20-40h)",30,IF(C57="M (10-20h)",15,IF(C57="S (&lt;10h)",5,"")))))</f>
        <v/>
      </c>
      <c r="I57" s="16"/>
      <c r="J57" s="67" t="str">
        <f>IF($E57="Q12026",COUNTIF($E$3:$E57,"Q12026"),"")</f>
        <v/>
      </c>
      <c r="K57" s="67" t="str">
        <f>IF($E57="Q22026",COUNTIF($E$3:$E57,"Q22026"),"")</f>
        <v/>
      </c>
      <c r="L57" s="67" t="str">
        <f>IF($E57="Q32026",COUNTIF($E$3:$E57,"Q32026"),"")</f>
        <v/>
      </c>
      <c r="M57" s="67" t="str">
        <f>IF($E57="Q42026",COUNTIF($E$3:$E57,"Q42026"),"")</f>
        <v/>
      </c>
      <c r="N57" s="67" t="str">
        <f>IF($E57="Backlog",COUNTIF($E$3:$E57,"Backlog"),"")</f>
        <v/>
      </c>
    </row>
    <row r="58" spans="1:14" ht="19.5" customHeight="1">
      <c r="A58" s="68">
        <v>56</v>
      </c>
      <c r="B58" s="18"/>
      <c r="C58" s="19"/>
      <c r="D58" s="19"/>
      <c r="E58" s="19"/>
      <c r="F58" s="19"/>
      <c r="G58" s="19"/>
      <c r="H58" s="69" t="str">
        <f>IF(C58="XXL (&gt;160h)",168,IF(C58="XL (&gt;40h)",48,IF(C58="L (20-40h)",30,IF(C58="M (10-20h)",15,IF(C58="S (&lt;10h)",5,"")))))</f>
        <v/>
      </c>
      <c r="I58" s="18"/>
      <c r="J58" s="67" t="str">
        <f>IF($E58="Q12026",COUNTIF($E$3:$E58,"Q12026"),"")</f>
        <v/>
      </c>
      <c r="K58" s="67" t="str">
        <f>IF($E58="Q22026",COUNTIF($E$3:$E58,"Q22026"),"")</f>
        <v/>
      </c>
      <c r="L58" s="67" t="str">
        <f>IF($E58="Q32026",COUNTIF($E$3:$E58,"Q32026"),"")</f>
        <v/>
      </c>
      <c r="M58" s="67" t="str">
        <f>IF($E58="Q42026",COUNTIF($E$3:$E58,"Q42026"),"")</f>
        <v/>
      </c>
      <c r="N58" s="67" t="str">
        <f>IF($E58="Backlog",COUNTIF($E$3:$E58,"Backlog"),"")</f>
        <v/>
      </c>
    </row>
    <row r="59" spans="1:14" ht="19.5" customHeight="1">
      <c r="A59" s="65">
        <v>57</v>
      </c>
      <c r="B59" s="16"/>
      <c r="C59" s="17"/>
      <c r="D59" s="17"/>
      <c r="E59" s="17"/>
      <c r="F59" s="17"/>
      <c r="G59" s="17"/>
      <c r="H59" s="66" t="str">
        <f>IF(C59="XXL (&gt;160h)",168,IF(C59="XL (&gt;40h)",48,IF(C59="L (20-40h)",30,IF(C59="M (10-20h)",15,IF(C59="S (&lt;10h)",5,"")))))</f>
        <v/>
      </c>
      <c r="I59" s="16"/>
      <c r="J59" s="67" t="str">
        <f>IF($E59="Q12026",COUNTIF($E$3:$E59,"Q12026"),"")</f>
        <v/>
      </c>
      <c r="K59" s="67" t="str">
        <f>IF($E59="Q22026",COUNTIF($E$3:$E59,"Q22026"),"")</f>
        <v/>
      </c>
      <c r="L59" s="67" t="str">
        <f>IF($E59="Q32026",COUNTIF($E$3:$E59,"Q32026"),"")</f>
        <v/>
      </c>
      <c r="M59" s="67" t="str">
        <f>IF($E59="Q42026",COUNTIF($E$3:$E59,"Q42026"),"")</f>
        <v/>
      </c>
      <c r="N59" s="67" t="str">
        <f>IF($E59="Backlog",COUNTIF($E$3:$E59,"Backlog"),"")</f>
        <v/>
      </c>
    </row>
    <row r="60" spans="1:14" ht="19.5" customHeight="1">
      <c r="A60" s="68">
        <v>58</v>
      </c>
      <c r="B60" s="18"/>
      <c r="C60" s="19"/>
      <c r="D60" s="19"/>
      <c r="E60" s="19"/>
      <c r="F60" s="19"/>
      <c r="G60" s="19"/>
      <c r="H60" s="69" t="str">
        <f>IF(C60="XXL (&gt;160h)",168,IF(C60="XL (&gt;40h)",48,IF(C60="L (20-40h)",30,IF(C60="M (10-20h)",15,IF(C60="S (&lt;10h)",5,"")))))</f>
        <v/>
      </c>
      <c r="I60" s="18"/>
      <c r="J60" s="67" t="str">
        <f>IF($E60="Q12026",COUNTIF($E$3:$E60,"Q12026"),"")</f>
        <v/>
      </c>
      <c r="K60" s="67" t="str">
        <f>IF($E60="Q22026",COUNTIF($E$3:$E60,"Q22026"),"")</f>
        <v/>
      </c>
      <c r="L60" s="67" t="str">
        <f>IF($E60="Q32026",COUNTIF($E$3:$E60,"Q32026"),"")</f>
        <v/>
      </c>
      <c r="M60" s="67" t="str">
        <f>IF($E60="Q42026",COUNTIF($E$3:$E60,"Q42026"),"")</f>
        <v/>
      </c>
      <c r="N60" s="67" t="str">
        <f>IF($E60="Backlog",COUNTIF($E$3:$E60,"Backlog"),"")</f>
        <v/>
      </c>
    </row>
    <row r="61" spans="1:14" ht="19.5" customHeight="1">
      <c r="A61" s="65">
        <v>59</v>
      </c>
      <c r="B61" s="16"/>
      <c r="C61" s="17"/>
      <c r="D61" s="17"/>
      <c r="E61" s="17"/>
      <c r="F61" s="17"/>
      <c r="G61" s="17"/>
      <c r="H61" s="66" t="str">
        <f>IF(C61="XXL (&gt;160h)",168,IF(C61="XL (&gt;40h)",48,IF(C61="L (20-40h)",30,IF(C61="M (10-20h)",15,IF(C61="S (&lt;10h)",5,"")))))</f>
        <v/>
      </c>
      <c r="I61" s="16"/>
      <c r="J61" s="67" t="str">
        <f>IF($E61="Q12026",COUNTIF($E$3:$E61,"Q12026"),"")</f>
        <v/>
      </c>
      <c r="K61" s="67" t="str">
        <f>IF($E61="Q22026",COUNTIF($E$3:$E61,"Q22026"),"")</f>
        <v/>
      </c>
      <c r="L61" s="67" t="str">
        <f>IF($E61="Q32026",COUNTIF($E$3:$E61,"Q32026"),"")</f>
        <v/>
      </c>
      <c r="M61" s="67" t="str">
        <f>IF($E61="Q42026",COUNTIF($E$3:$E61,"Q42026"),"")</f>
        <v/>
      </c>
      <c r="N61" s="67" t="str">
        <f>IF($E61="Backlog",COUNTIF($E$3:$E61,"Backlog"),"")</f>
        <v/>
      </c>
    </row>
    <row r="62" spans="1:14" ht="19.5" customHeight="1">
      <c r="A62" s="68">
        <v>60</v>
      </c>
      <c r="B62" s="18"/>
      <c r="C62" s="19"/>
      <c r="D62" s="19"/>
      <c r="E62" s="19"/>
      <c r="F62" s="19"/>
      <c r="G62" s="19"/>
      <c r="H62" s="69" t="str">
        <f>IF(C62="XXL (&gt;160h)",168,IF(C62="XL (&gt;40h)",48,IF(C62="L (20-40h)",30,IF(C62="M (10-20h)",15,IF(C62="S (&lt;10h)",5,"")))))</f>
        <v/>
      </c>
      <c r="I62" s="18"/>
      <c r="J62" s="67" t="str">
        <f>IF($E62="Q12026",COUNTIF($E$3:$E62,"Q12026"),"")</f>
        <v/>
      </c>
      <c r="K62" s="67" t="str">
        <f>IF($E62="Q22026",COUNTIF($E$3:$E62,"Q22026"),"")</f>
        <v/>
      </c>
      <c r="L62" s="67" t="str">
        <f>IF($E62="Q32026",COUNTIF($E$3:$E62,"Q32026"),"")</f>
        <v/>
      </c>
      <c r="M62" s="67" t="str">
        <f>IF($E62="Q42026",COUNTIF($E$3:$E62,"Q42026"),"")</f>
        <v/>
      </c>
      <c r="N62" s="67" t="str">
        <f>IF($E62="Backlog",COUNTIF($E$3:$E62,"Backlog"),"")</f>
        <v/>
      </c>
    </row>
    <row r="63" spans="1:14" ht="19.5" customHeight="1">
      <c r="A63" s="65">
        <v>61</v>
      </c>
      <c r="B63" s="16"/>
      <c r="C63" s="17"/>
      <c r="D63" s="17"/>
      <c r="E63" s="17"/>
      <c r="F63" s="17"/>
      <c r="G63" s="17"/>
      <c r="H63" s="66" t="str">
        <f>IF(C63="XXL (&gt;160h)",168,IF(C63="XL (&gt;40h)",48,IF(C63="L (20-40h)",30,IF(C63="M (10-20h)",15,IF(C63="S (&lt;10h)",5,"")))))</f>
        <v/>
      </c>
      <c r="I63" s="16"/>
      <c r="J63" s="67" t="str">
        <f>IF($E63="Q12026",COUNTIF($E$3:$E63,"Q12026"),"")</f>
        <v/>
      </c>
      <c r="K63" s="67" t="str">
        <f>IF($E63="Q22026",COUNTIF($E$3:$E63,"Q22026"),"")</f>
        <v/>
      </c>
      <c r="L63" s="67" t="str">
        <f>IF($E63="Q32026",COUNTIF($E$3:$E63,"Q32026"),"")</f>
        <v/>
      </c>
      <c r="M63" s="67" t="str">
        <f>IF($E63="Q42026",COUNTIF($E$3:$E63,"Q42026"),"")</f>
        <v/>
      </c>
      <c r="N63" s="67" t="str">
        <f>IF($E63="Backlog",COUNTIF($E$3:$E63,"Backlog"),"")</f>
        <v/>
      </c>
    </row>
    <row r="64" spans="1:14" ht="19.5" customHeight="1">
      <c r="A64" s="68">
        <v>62</v>
      </c>
      <c r="B64" s="18"/>
      <c r="C64" s="19"/>
      <c r="D64" s="19"/>
      <c r="E64" s="19"/>
      <c r="F64" s="19"/>
      <c r="G64" s="19"/>
      <c r="H64" s="69" t="str">
        <f>IF(C64="XXL (&gt;160h)",168,IF(C64="XL (&gt;40h)",48,IF(C64="L (20-40h)",30,IF(C64="M (10-20h)",15,IF(C64="S (&lt;10h)",5,"")))))</f>
        <v/>
      </c>
      <c r="I64" s="18"/>
      <c r="J64" s="67" t="str">
        <f>IF($E64="Q12026",COUNTIF($E$3:$E64,"Q12026"),"")</f>
        <v/>
      </c>
      <c r="K64" s="67" t="str">
        <f>IF($E64="Q22026",COUNTIF($E$3:$E64,"Q22026"),"")</f>
        <v/>
      </c>
      <c r="L64" s="67" t="str">
        <f>IF($E64="Q32026",COUNTIF($E$3:$E64,"Q32026"),"")</f>
        <v/>
      </c>
      <c r="M64" s="67" t="str">
        <f>IF($E64="Q42026",COUNTIF($E$3:$E64,"Q42026"),"")</f>
        <v/>
      </c>
      <c r="N64" s="67" t="str">
        <f>IF($E64="Backlog",COUNTIF($E$3:$E64,"Backlog"),"")</f>
        <v/>
      </c>
    </row>
    <row r="65" spans="1:14" ht="19.5" customHeight="1">
      <c r="A65" s="65">
        <v>63</v>
      </c>
      <c r="B65" s="16"/>
      <c r="C65" s="17"/>
      <c r="D65" s="17"/>
      <c r="E65" s="17"/>
      <c r="F65" s="17"/>
      <c r="G65" s="17"/>
      <c r="H65" s="66" t="str">
        <f>IF(C65="XXL (&gt;160h)",168,IF(C65="XL (&gt;40h)",48,IF(C65="L (20-40h)",30,IF(C65="M (10-20h)",15,IF(C65="S (&lt;10h)",5,"")))))</f>
        <v/>
      </c>
      <c r="I65" s="16"/>
      <c r="J65" s="67" t="str">
        <f>IF($E65="Q12026",COUNTIF($E$3:$E65,"Q12026"),"")</f>
        <v/>
      </c>
      <c r="K65" s="67" t="str">
        <f>IF($E65="Q22026",COUNTIF($E$3:$E65,"Q22026"),"")</f>
        <v/>
      </c>
      <c r="L65" s="67" t="str">
        <f>IF($E65="Q32026",COUNTIF($E$3:$E65,"Q32026"),"")</f>
        <v/>
      </c>
      <c r="M65" s="67" t="str">
        <f>IF($E65="Q42026",COUNTIF($E$3:$E65,"Q42026"),"")</f>
        <v/>
      </c>
      <c r="N65" s="67" t="str">
        <f>IF($E65="Backlog",COUNTIF($E$3:$E65,"Backlog"),"")</f>
        <v/>
      </c>
    </row>
    <row r="66" spans="1:14" ht="19.5" customHeight="1">
      <c r="A66" s="68">
        <v>64</v>
      </c>
      <c r="B66" s="18"/>
      <c r="C66" s="19"/>
      <c r="D66" s="19"/>
      <c r="E66" s="19"/>
      <c r="F66" s="19"/>
      <c r="G66" s="19"/>
      <c r="H66" s="69" t="str">
        <f>IF(C66="XXL (&gt;160h)",168,IF(C66="XL (&gt;40h)",48,IF(C66="L (20-40h)",30,IF(C66="M (10-20h)",15,IF(C66="S (&lt;10h)",5,"")))))</f>
        <v/>
      </c>
      <c r="I66" s="18"/>
      <c r="J66" s="67" t="str">
        <f>IF($E66="Q12026",COUNTIF($E$3:$E66,"Q12026"),"")</f>
        <v/>
      </c>
      <c r="K66" s="67" t="str">
        <f>IF($E66="Q22026",COUNTIF($E$3:$E66,"Q22026"),"")</f>
        <v/>
      </c>
      <c r="L66" s="67" t="str">
        <f>IF($E66="Q32026",COUNTIF($E$3:$E66,"Q32026"),"")</f>
        <v/>
      </c>
      <c r="M66" s="67" t="str">
        <f>IF($E66="Q42026",COUNTIF($E$3:$E66,"Q42026"),"")</f>
        <v/>
      </c>
      <c r="N66" s="67" t="str">
        <f>IF($E66="Backlog",COUNTIF($E$3:$E66,"Backlog"),"")</f>
        <v/>
      </c>
    </row>
    <row r="67" spans="1:14" ht="19.5" customHeight="1">
      <c r="A67" s="65">
        <v>65</v>
      </c>
      <c r="B67" s="16"/>
      <c r="C67" s="17"/>
      <c r="D67" s="17"/>
      <c r="E67" s="17"/>
      <c r="F67" s="17"/>
      <c r="G67" s="17"/>
      <c r="H67" s="66" t="str">
        <f>IF(C67="XXL (&gt;160h)",168,IF(C67="XL (&gt;40h)",48,IF(C67="L (20-40h)",30,IF(C67="M (10-20h)",15,IF(C67="S (&lt;10h)",5,"")))))</f>
        <v/>
      </c>
      <c r="I67" s="16"/>
      <c r="J67" s="67" t="str">
        <f>IF($E67="Q12026",COUNTIF($E$3:$E67,"Q12026"),"")</f>
        <v/>
      </c>
      <c r="K67" s="67" t="str">
        <f>IF($E67="Q22026",COUNTIF($E$3:$E67,"Q22026"),"")</f>
        <v/>
      </c>
      <c r="L67" s="67" t="str">
        <f>IF($E67="Q32026",COUNTIF($E$3:$E67,"Q32026"),"")</f>
        <v/>
      </c>
      <c r="M67" s="67" t="str">
        <f>IF($E67="Q42026",COUNTIF($E$3:$E67,"Q42026"),"")</f>
        <v/>
      </c>
      <c r="N67" s="67" t="str">
        <f>IF($E67="Backlog",COUNTIF($E$3:$E67,"Backlog"),"")</f>
        <v/>
      </c>
    </row>
    <row r="68" spans="1:14" ht="19.5" customHeight="1">
      <c r="A68" s="68">
        <v>66</v>
      </c>
      <c r="B68" s="18"/>
      <c r="C68" s="19"/>
      <c r="D68" s="19"/>
      <c r="E68" s="19"/>
      <c r="F68" s="19"/>
      <c r="G68" s="19"/>
      <c r="H68" s="69" t="str">
        <f>IF(C68="XXL (&gt;160h)",168,IF(C68="XL (&gt;40h)",48,IF(C68="L (20-40h)",30,IF(C68="M (10-20h)",15,IF(C68="S (&lt;10h)",5,"")))))</f>
        <v/>
      </c>
      <c r="I68" s="18"/>
      <c r="J68" s="67" t="str">
        <f>IF($E68="Q12026",COUNTIF($E$3:$E68,"Q12026"),"")</f>
        <v/>
      </c>
      <c r="K68" s="67" t="str">
        <f>IF($E68="Q22026",COUNTIF($E$3:$E68,"Q22026"),"")</f>
        <v/>
      </c>
      <c r="L68" s="67" t="str">
        <f>IF($E68="Q32026",COUNTIF($E$3:$E68,"Q32026"),"")</f>
        <v/>
      </c>
      <c r="M68" s="67" t="str">
        <f>IF($E68="Q42026",COUNTIF($E$3:$E68,"Q42026"),"")</f>
        <v/>
      </c>
      <c r="N68" s="67" t="str">
        <f>IF($E68="Backlog",COUNTIF($E$3:$E68,"Backlog"),"")</f>
        <v/>
      </c>
    </row>
    <row r="69" spans="1:14" ht="19.5" customHeight="1">
      <c r="A69" s="65">
        <v>67</v>
      </c>
      <c r="B69" s="16"/>
      <c r="C69" s="17"/>
      <c r="D69" s="17"/>
      <c r="E69" s="17"/>
      <c r="F69" s="17"/>
      <c r="G69" s="17"/>
      <c r="H69" s="66" t="str">
        <f>IF(C69="XXL (&gt;160h)",168,IF(C69="XL (&gt;40h)",48,IF(C69="L (20-40h)",30,IF(C69="M (10-20h)",15,IF(C69="S (&lt;10h)",5,"")))))</f>
        <v/>
      </c>
      <c r="I69" s="16"/>
      <c r="J69" s="67" t="str">
        <f>IF($E69="Q12026",COUNTIF($E$3:$E69,"Q12026"),"")</f>
        <v/>
      </c>
      <c r="K69" s="67" t="str">
        <f>IF($E69="Q22026",COUNTIF($E$3:$E69,"Q22026"),"")</f>
        <v/>
      </c>
      <c r="L69" s="67" t="str">
        <f>IF($E69="Q32026",COUNTIF($E$3:$E69,"Q32026"),"")</f>
        <v/>
      </c>
      <c r="M69" s="67" t="str">
        <f>IF($E69="Q42026",COUNTIF($E$3:$E69,"Q42026"),"")</f>
        <v/>
      </c>
      <c r="N69" s="67" t="str">
        <f>IF($E69="Backlog",COUNTIF($E$3:$E69,"Backlog"),"")</f>
        <v/>
      </c>
    </row>
    <row r="70" spans="1:14" ht="19.5" customHeight="1">
      <c r="A70" s="68">
        <v>68</v>
      </c>
      <c r="B70" s="18"/>
      <c r="C70" s="19"/>
      <c r="D70" s="19"/>
      <c r="E70" s="19"/>
      <c r="F70" s="19"/>
      <c r="G70" s="19"/>
      <c r="H70" s="69" t="str">
        <f>IF(C70="XXL (&gt;160h)",168,IF(C70="XL (&gt;40h)",48,IF(C70="L (20-40h)",30,IF(C70="M (10-20h)",15,IF(C70="S (&lt;10h)",5,"")))))</f>
        <v/>
      </c>
      <c r="I70" s="18"/>
      <c r="J70" s="67" t="str">
        <f>IF($E70="Q12026",COUNTIF($E$3:$E70,"Q12026"),"")</f>
        <v/>
      </c>
      <c r="K70" s="67" t="str">
        <f>IF($E70="Q22026",COUNTIF($E$3:$E70,"Q22026"),"")</f>
        <v/>
      </c>
      <c r="L70" s="67" t="str">
        <f>IF($E70="Q32026",COUNTIF($E$3:$E70,"Q32026"),"")</f>
        <v/>
      </c>
      <c r="M70" s="67" t="str">
        <f>IF($E70="Q42026",COUNTIF($E$3:$E70,"Q42026"),"")</f>
        <v/>
      </c>
      <c r="N70" s="67" t="str">
        <f>IF($E70="Backlog",COUNTIF($E$3:$E70,"Backlog"),"")</f>
        <v/>
      </c>
    </row>
    <row r="71" spans="1:14" ht="19.5" customHeight="1">
      <c r="A71" s="65">
        <v>69</v>
      </c>
      <c r="B71" s="16"/>
      <c r="C71" s="17"/>
      <c r="D71" s="17"/>
      <c r="E71" s="17"/>
      <c r="F71" s="17"/>
      <c r="G71" s="17"/>
      <c r="H71" s="66" t="str">
        <f>IF(C71="XXL (&gt;160h)",168,IF(C71="XL (&gt;40h)",48,IF(C71="L (20-40h)",30,IF(C71="M (10-20h)",15,IF(C71="S (&lt;10h)",5,"")))))</f>
        <v/>
      </c>
      <c r="I71" s="16"/>
      <c r="J71" s="67" t="str">
        <f>IF($E71="Q12026",COUNTIF($E$3:$E71,"Q12026"),"")</f>
        <v/>
      </c>
      <c r="K71" s="67" t="str">
        <f>IF($E71="Q22026",COUNTIF($E$3:$E71,"Q22026"),"")</f>
        <v/>
      </c>
      <c r="L71" s="67" t="str">
        <f>IF($E71="Q32026",COUNTIF($E$3:$E71,"Q32026"),"")</f>
        <v/>
      </c>
      <c r="M71" s="67" t="str">
        <f>IF($E71="Q42026",COUNTIF($E$3:$E71,"Q42026"),"")</f>
        <v/>
      </c>
      <c r="N71" s="67" t="str">
        <f>IF($E71="Backlog",COUNTIF($E$3:$E71,"Backlog"),"")</f>
        <v/>
      </c>
    </row>
    <row r="72" spans="1:14" ht="19.5" customHeight="1">
      <c r="A72" s="68">
        <v>70</v>
      </c>
      <c r="B72" s="18"/>
      <c r="C72" s="19"/>
      <c r="D72" s="19"/>
      <c r="E72" s="19"/>
      <c r="F72" s="19"/>
      <c r="G72" s="19"/>
      <c r="H72" s="69" t="str">
        <f>IF(C72="XXL (&gt;160h)",168,IF(C72="XL (&gt;40h)",48,IF(C72="L (20-40h)",30,IF(C72="M (10-20h)",15,IF(C72="S (&lt;10h)",5,"")))))</f>
        <v/>
      </c>
      <c r="I72" s="18"/>
      <c r="J72" s="67" t="str">
        <f>IF($E72="Q12026",COUNTIF($E$3:$E72,"Q12026"),"")</f>
        <v/>
      </c>
      <c r="K72" s="67" t="str">
        <f>IF($E72="Q22026",COUNTIF($E$3:$E72,"Q22026"),"")</f>
        <v/>
      </c>
      <c r="L72" s="67" t="str">
        <f>IF($E72="Q32026",COUNTIF($E$3:$E72,"Q32026"),"")</f>
        <v/>
      </c>
      <c r="M72" s="67" t="str">
        <f>IF($E72="Q42026",COUNTIF($E$3:$E72,"Q42026"),"")</f>
        <v/>
      </c>
      <c r="N72" s="67" t="str">
        <f>IF($E72="Backlog",COUNTIF($E$3:$E72,"Backlog"),"")</f>
        <v/>
      </c>
    </row>
    <row r="73" spans="1:14" ht="19.5" customHeight="1">
      <c r="A73" s="65">
        <v>71</v>
      </c>
      <c r="B73" s="16"/>
      <c r="C73" s="17"/>
      <c r="D73" s="17"/>
      <c r="E73" s="17"/>
      <c r="F73" s="17"/>
      <c r="G73" s="17"/>
      <c r="H73" s="66" t="str">
        <f>IF(C73="XXL (&gt;160h)",168,IF(C73="XL (&gt;40h)",48,IF(C73="L (20-40h)",30,IF(C73="M (10-20h)",15,IF(C73="S (&lt;10h)",5,"")))))</f>
        <v/>
      </c>
      <c r="I73" s="16"/>
      <c r="J73" s="67" t="str">
        <f>IF($E73="Q12026",COUNTIF($E$3:$E73,"Q12026"),"")</f>
        <v/>
      </c>
      <c r="K73" s="67" t="str">
        <f>IF($E73="Q22026",COUNTIF($E$3:$E73,"Q22026"),"")</f>
        <v/>
      </c>
      <c r="L73" s="67" t="str">
        <f>IF($E73="Q32026",COUNTIF($E$3:$E73,"Q32026"),"")</f>
        <v/>
      </c>
      <c r="M73" s="67" t="str">
        <f>IF($E73="Q42026",COUNTIF($E$3:$E73,"Q42026"),"")</f>
        <v/>
      </c>
      <c r="N73" s="67" t="str">
        <f>IF($E73="Backlog",COUNTIF($E$3:$E73,"Backlog"),"")</f>
        <v/>
      </c>
    </row>
    <row r="74" spans="1:14" ht="19.5" customHeight="1">
      <c r="A74" s="68">
        <v>72</v>
      </c>
      <c r="B74" s="18"/>
      <c r="C74" s="19"/>
      <c r="D74" s="19"/>
      <c r="E74" s="19"/>
      <c r="F74" s="19"/>
      <c r="G74" s="19"/>
      <c r="H74" s="69" t="str">
        <f>IF(C74="XXL (&gt;160h)",168,IF(C74="XL (&gt;40h)",48,IF(C74="L (20-40h)",30,IF(C74="M (10-20h)",15,IF(C74="S (&lt;10h)",5,"")))))</f>
        <v/>
      </c>
      <c r="I74" s="18"/>
      <c r="J74" s="67" t="str">
        <f>IF($E74="Q12026",COUNTIF($E$3:$E74,"Q12026"),"")</f>
        <v/>
      </c>
      <c r="K74" s="67" t="str">
        <f>IF($E74="Q22026",COUNTIF($E$3:$E74,"Q22026"),"")</f>
        <v/>
      </c>
      <c r="L74" s="67" t="str">
        <f>IF($E74="Q32026",COUNTIF($E$3:$E74,"Q32026"),"")</f>
        <v/>
      </c>
      <c r="M74" s="67" t="str">
        <f>IF($E74="Q42026",COUNTIF($E$3:$E74,"Q42026"),"")</f>
        <v/>
      </c>
      <c r="N74" s="67" t="str">
        <f>IF($E74="Backlog",COUNTIF($E$3:$E74,"Backlog"),"")</f>
        <v/>
      </c>
    </row>
    <row r="75" spans="1:14" ht="19.5" customHeight="1">
      <c r="A75" s="65">
        <v>73</v>
      </c>
      <c r="B75" s="16"/>
      <c r="C75" s="17"/>
      <c r="D75" s="17"/>
      <c r="E75" s="17"/>
      <c r="F75" s="17"/>
      <c r="G75" s="17"/>
      <c r="H75" s="66" t="str">
        <f>IF(C75="XXL (&gt;160h)",168,IF(C75="XL (&gt;40h)",48,IF(C75="L (20-40h)",30,IF(C75="M (10-20h)",15,IF(C75="S (&lt;10h)",5,"")))))</f>
        <v/>
      </c>
      <c r="I75" s="16"/>
      <c r="J75" s="67" t="str">
        <f>IF($E75="Q12026",COUNTIF($E$3:$E75,"Q12026"),"")</f>
        <v/>
      </c>
      <c r="K75" s="67" t="str">
        <f>IF($E75="Q22026",COUNTIF($E$3:$E75,"Q22026"),"")</f>
        <v/>
      </c>
      <c r="L75" s="67" t="str">
        <f>IF($E75="Q32026",COUNTIF($E$3:$E75,"Q32026"),"")</f>
        <v/>
      </c>
      <c r="M75" s="67" t="str">
        <f>IF($E75="Q42026",COUNTIF($E$3:$E75,"Q42026"),"")</f>
        <v/>
      </c>
      <c r="N75" s="67" t="str">
        <f>IF($E75="Backlog",COUNTIF($E$3:$E75,"Backlog"),"")</f>
        <v/>
      </c>
    </row>
    <row r="76" spans="1:14" ht="19.5" customHeight="1">
      <c r="A76" s="68">
        <v>74</v>
      </c>
      <c r="B76" s="18"/>
      <c r="C76" s="19"/>
      <c r="D76" s="19"/>
      <c r="E76" s="19"/>
      <c r="F76" s="19"/>
      <c r="G76" s="19"/>
      <c r="H76" s="69" t="str">
        <f>IF(C76="XXL (&gt;160h)",168,IF(C76="XL (&gt;40h)",48,IF(C76="L (20-40h)",30,IF(C76="M (10-20h)",15,IF(C76="S (&lt;10h)",5,"")))))</f>
        <v/>
      </c>
      <c r="I76" s="18"/>
      <c r="J76" s="67" t="str">
        <f>IF($E76="Q12026",COUNTIF($E$3:$E76,"Q12026"),"")</f>
        <v/>
      </c>
      <c r="K76" s="67" t="str">
        <f>IF($E76="Q22026",COUNTIF($E$3:$E76,"Q22026"),"")</f>
        <v/>
      </c>
      <c r="L76" s="67" t="str">
        <f>IF($E76="Q32026",COUNTIF($E$3:$E76,"Q32026"),"")</f>
        <v/>
      </c>
      <c r="M76" s="67" t="str">
        <f>IF($E76="Q42026",COUNTIF($E$3:$E76,"Q42026"),"")</f>
        <v/>
      </c>
      <c r="N76" s="67" t="str">
        <f>IF($E76="Backlog",COUNTIF($E$3:$E76,"Backlog"),"")</f>
        <v/>
      </c>
    </row>
    <row r="77" spans="1:14" ht="19.5" customHeight="1">
      <c r="A77" s="65">
        <v>75</v>
      </c>
      <c r="B77" s="16"/>
      <c r="C77" s="17"/>
      <c r="D77" s="17"/>
      <c r="E77" s="17"/>
      <c r="F77" s="17"/>
      <c r="G77" s="17"/>
      <c r="H77" s="66" t="str">
        <f>IF(C77="XXL (&gt;160h)",168,IF(C77="XL (&gt;40h)",48,IF(C77="L (20-40h)",30,IF(C77="M (10-20h)",15,IF(C77="S (&lt;10h)",5,"")))))</f>
        <v/>
      </c>
      <c r="I77" s="16"/>
      <c r="J77" s="67" t="str">
        <f>IF($E77="Q12026",COUNTIF($E$3:$E77,"Q12026"),"")</f>
        <v/>
      </c>
      <c r="K77" s="67" t="str">
        <f>IF($E77="Q22026",COUNTIF($E$3:$E77,"Q22026"),"")</f>
        <v/>
      </c>
      <c r="L77" s="67" t="str">
        <f>IF($E77="Q32026",COUNTIF($E$3:$E77,"Q32026"),"")</f>
        <v/>
      </c>
      <c r="M77" s="67" t="str">
        <f>IF($E77="Q42026",COUNTIF($E$3:$E77,"Q42026"),"")</f>
        <v/>
      </c>
      <c r="N77" s="67" t="str">
        <f>IF($E77="Backlog",COUNTIF($E$3:$E77,"Backlog"),"")</f>
        <v/>
      </c>
    </row>
    <row r="78" spans="1:14" ht="19.5" customHeight="1">
      <c r="A78" s="68">
        <v>76</v>
      </c>
      <c r="B78" s="18"/>
      <c r="C78" s="19"/>
      <c r="D78" s="19"/>
      <c r="E78" s="19"/>
      <c r="F78" s="19"/>
      <c r="G78" s="19"/>
      <c r="H78" s="69" t="str">
        <f>IF(C78="XXL (&gt;160h)",168,IF(C78="XL (&gt;40h)",48,IF(C78="L (20-40h)",30,IF(C78="M (10-20h)",15,IF(C78="S (&lt;10h)",5,"")))))</f>
        <v/>
      </c>
      <c r="I78" s="18"/>
      <c r="J78" s="67" t="str">
        <f>IF($E78="Q12026",COUNTIF($E$3:$E78,"Q12026"),"")</f>
        <v/>
      </c>
      <c r="K78" s="67" t="str">
        <f>IF($E78="Q22026",COUNTIF($E$3:$E78,"Q22026"),"")</f>
        <v/>
      </c>
      <c r="L78" s="67" t="str">
        <f>IF($E78="Q32026",COUNTIF($E$3:$E78,"Q32026"),"")</f>
        <v/>
      </c>
      <c r="M78" s="67" t="str">
        <f>IF($E78="Q42026",COUNTIF($E$3:$E78,"Q42026"),"")</f>
        <v/>
      </c>
      <c r="N78" s="67" t="str">
        <f>IF($E78="Backlog",COUNTIF($E$3:$E78,"Backlog"),"")</f>
        <v/>
      </c>
    </row>
    <row r="79" spans="1:14" ht="19.5" customHeight="1">
      <c r="A79" s="65">
        <v>77</v>
      </c>
      <c r="B79" s="16"/>
      <c r="C79" s="17"/>
      <c r="D79" s="17"/>
      <c r="E79" s="17"/>
      <c r="F79" s="17"/>
      <c r="G79" s="17"/>
      <c r="H79" s="66" t="str">
        <f>IF(C79="XXL (&gt;160h)",168,IF(C79="XL (&gt;40h)",48,IF(C79="L (20-40h)",30,IF(C79="M (10-20h)",15,IF(C79="S (&lt;10h)",5,"")))))</f>
        <v/>
      </c>
      <c r="I79" s="16"/>
      <c r="J79" s="67" t="str">
        <f>IF($E79="Q12026",COUNTIF($E$3:$E79,"Q12026"),"")</f>
        <v/>
      </c>
      <c r="K79" s="67" t="str">
        <f>IF($E79="Q22026",COUNTIF($E$3:$E79,"Q22026"),"")</f>
        <v/>
      </c>
      <c r="L79" s="67" t="str">
        <f>IF($E79="Q32026",COUNTIF($E$3:$E79,"Q32026"),"")</f>
        <v/>
      </c>
      <c r="M79" s="67" t="str">
        <f>IF($E79="Q42026",COUNTIF($E$3:$E79,"Q42026"),"")</f>
        <v/>
      </c>
      <c r="N79" s="67" t="str">
        <f>IF($E79="Backlog",COUNTIF($E$3:$E79,"Backlog"),"")</f>
        <v/>
      </c>
    </row>
    <row r="80" spans="1:14" ht="19.5" customHeight="1">
      <c r="A80" s="68">
        <v>78</v>
      </c>
      <c r="B80" s="18"/>
      <c r="C80" s="19"/>
      <c r="D80" s="19"/>
      <c r="E80" s="19"/>
      <c r="F80" s="19"/>
      <c r="G80" s="19"/>
      <c r="H80" s="69" t="str">
        <f>IF(C80="XXL (&gt;160h)",168,IF(C80="XL (&gt;40h)",48,IF(C80="L (20-40h)",30,IF(C80="M (10-20h)",15,IF(C80="S (&lt;10h)",5,"")))))</f>
        <v/>
      </c>
      <c r="I80" s="18"/>
      <c r="J80" s="67" t="str">
        <f>IF($E80="Q12026",COUNTIF($E$3:$E80,"Q12026"),"")</f>
        <v/>
      </c>
      <c r="K80" s="67" t="str">
        <f>IF($E80="Q22026",COUNTIF($E$3:$E80,"Q22026"),"")</f>
        <v/>
      </c>
      <c r="L80" s="67" t="str">
        <f>IF($E80="Q32026",COUNTIF($E$3:$E80,"Q32026"),"")</f>
        <v/>
      </c>
      <c r="M80" s="67" t="str">
        <f>IF($E80="Q42026",COUNTIF($E$3:$E80,"Q42026"),"")</f>
        <v/>
      </c>
      <c r="N80" s="67" t="str">
        <f>IF($E80="Backlog",COUNTIF($E$3:$E80,"Backlog"),"")</f>
        <v/>
      </c>
    </row>
    <row r="81" spans="1:14" ht="19.5" customHeight="1">
      <c r="A81" s="65">
        <v>79</v>
      </c>
      <c r="B81" s="16"/>
      <c r="C81" s="17"/>
      <c r="D81" s="17"/>
      <c r="E81" s="17"/>
      <c r="F81" s="17"/>
      <c r="G81" s="17"/>
      <c r="H81" s="66" t="str">
        <f>IF(C81="XXL (&gt;160h)",168,IF(C81="XL (&gt;40h)",48,IF(C81="L (20-40h)",30,IF(C81="M (10-20h)",15,IF(C81="S (&lt;10h)",5,"")))))</f>
        <v/>
      </c>
      <c r="I81" s="16"/>
      <c r="J81" s="67" t="str">
        <f>IF($E81="Q12026",COUNTIF($E$3:$E81,"Q12026"),"")</f>
        <v/>
      </c>
      <c r="K81" s="67" t="str">
        <f>IF($E81="Q22026",COUNTIF($E$3:$E81,"Q22026"),"")</f>
        <v/>
      </c>
      <c r="L81" s="67" t="str">
        <f>IF($E81="Q32026",COUNTIF($E$3:$E81,"Q32026"),"")</f>
        <v/>
      </c>
      <c r="M81" s="67" t="str">
        <f>IF($E81="Q42026",COUNTIF($E$3:$E81,"Q42026"),"")</f>
        <v/>
      </c>
      <c r="N81" s="67" t="str">
        <f>IF($E81="Backlog",COUNTIF($E$3:$E81,"Backlog"),"")</f>
        <v/>
      </c>
    </row>
    <row r="82" spans="1:14" ht="19.5" customHeight="1">
      <c r="A82" s="68">
        <v>80</v>
      </c>
      <c r="B82" s="18"/>
      <c r="C82" s="19"/>
      <c r="D82" s="19"/>
      <c r="E82" s="19"/>
      <c r="F82" s="19"/>
      <c r="G82" s="19"/>
      <c r="H82" s="69" t="str">
        <f>IF(C82="XXL (&gt;160h)",168,IF(C82="XL (&gt;40h)",48,IF(C82="L (20-40h)",30,IF(C82="M (10-20h)",15,IF(C82="S (&lt;10h)",5,"")))))</f>
        <v/>
      </c>
      <c r="I82" s="18"/>
      <c r="J82" s="67" t="str">
        <f>IF($E82="Q12026",COUNTIF($E$3:$E82,"Q12026"),"")</f>
        <v/>
      </c>
      <c r="K82" s="67" t="str">
        <f>IF($E82="Q22026",COUNTIF($E$3:$E82,"Q22026"),"")</f>
        <v/>
      </c>
      <c r="L82" s="67" t="str">
        <f>IF($E82="Q32026",COUNTIF($E$3:$E82,"Q32026"),"")</f>
        <v/>
      </c>
      <c r="M82" s="67" t="str">
        <f>IF($E82="Q42026",COUNTIF($E$3:$E82,"Q42026"),"")</f>
        <v/>
      </c>
      <c r="N82" s="67" t="str">
        <f>IF($E82="Backlog",COUNTIF($E$3:$E82,"Backlog"),"")</f>
        <v/>
      </c>
    </row>
    <row r="83" spans="1:14" ht="21.75" customHeight="1">
      <c r="A83" s="113" t="s">
        <v>56</v>
      </c>
      <c r="B83" s="113"/>
      <c r="C83" s="113"/>
      <c r="D83" s="113"/>
      <c r="E83" s="113"/>
      <c r="F83" s="113"/>
      <c r="G83" s="113"/>
      <c r="H83" s="20">
        <f>SUM(H3:H82)</f>
        <v>0</v>
      </c>
      <c r="I83" s="70"/>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121" priority="2" operator="equal">
      <formula>"Strengthen"</formula>
    </cfRule>
    <cfRule type="cellIs" dxfId="120" priority="3" operator="equal">
      <formula>"Innovation"</formula>
    </cfRule>
    <cfRule type="cellIs" dxfId="119" priority="4" operator="equal">
      <formula>"Repair"</formula>
    </cfRule>
  </conditionalFormatting>
  <dataValidations count="5">
    <dataValidation type="list" allowBlank="1" sqref="D3:D82" xr:uid="{00000000-0002-0000-0600-000000000000}">
      <formula1>"Strengthen,Innovation,Repair"</formula1>
      <formula2>0</formula2>
    </dataValidation>
    <dataValidation type="list" allowBlank="1" sqref="C3:C82" xr:uid="{00000000-0002-0000-0600-000001000000}">
      <formula1>"XXL (&gt;160h),XL (&gt;40h),L (20-40h),M (10-20h),S (&lt;10h)"</formula1>
      <formula2>0</formula2>
    </dataValidation>
    <dataValidation type="list" allowBlank="1" sqref="E3:E82" xr:uid="{00000000-0002-0000-0600-000002000000}">
      <formula1>"Q12026,Q22026,Q32026,Q42026,Backlog"</formula1>
      <formula2>0</formula2>
    </dataValidation>
    <dataValidation type="list" allowBlank="1" sqref="F3:F82" xr:uid="{00000000-0002-0000-0600-000003000000}">
      <formula1>"Must,Should,Could,Won't"</formula1>
      <formula2>0</formula2>
    </dataValidation>
    <dataValidation type="list" allowBlank="1" sqref="G3:G82" xr:uid="{00000000-0002-0000-06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499984740745262"/>
  </sheetPr>
  <dimension ref="B1:P101"/>
  <sheetViews>
    <sheetView showGridLines="0" zoomScaleNormal="100" workbookViewId="0">
      <pane xSplit="1" ySplit="17" topLeftCell="B18" activePane="bottomRight" state="frozen"/>
      <selection pane="bottomRight" activeCell="K10" sqref="K10"/>
      <selection pane="bottomLeft" activeCell="A18" sqref="A18"/>
      <selection pane="topRight"/>
    </sheetView>
  </sheetViews>
  <sheetFormatPr defaultColWidth="8.7109375" defaultRowHeight="15"/>
  <cols>
    <col min="1" max="1" width="3" style="74" customWidth="1"/>
    <col min="2" max="2" width="57.140625" style="74" customWidth="1"/>
    <col min="3" max="3" width="14" style="74" customWidth="1"/>
    <col min="4" max="4" width="13" style="74" customWidth="1"/>
    <col min="5" max="5" width="2" style="74" customWidth="1"/>
    <col min="6" max="6" width="56.85546875" style="74" customWidth="1"/>
    <col min="7" max="7" width="14" style="74" customWidth="1"/>
    <col min="8" max="8" width="13" style="74" customWidth="1"/>
    <col min="9" max="9" width="2" style="74" customWidth="1"/>
    <col min="10" max="10" width="56.7109375" style="74" customWidth="1"/>
    <col min="11" max="11" width="14" style="74" customWidth="1"/>
    <col min="12" max="12" width="13" style="74" customWidth="1"/>
    <col min="13" max="13" width="2" style="74" customWidth="1"/>
    <col min="14" max="14" width="57" style="74" customWidth="1"/>
    <col min="15" max="15" width="14" style="74" customWidth="1"/>
    <col min="16" max="16" width="13" style="74" customWidth="1"/>
    <col min="17" max="16384" width="8.7109375" style="74"/>
  </cols>
  <sheetData>
    <row r="1" spans="2:16" ht="51.75" customHeight="1">
      <c r="B1" s="114" t="s">
        <v>60</v>
      </c>
      <c r="C1" s="114"/>
      <c r="D1" s="114"/>
      <c r="E1" s="114"/>
      <c r="F1" s="114"/>
      <c r="G1" s="114"/>
      <c r="H1" s="114"/>
      <c r="I1" s="114"/>
      <c r="J1" s="114"/>
      <c r="K1" s="114"/>
      <c r="L1" s="114"/>
      <c r="M1" s="114"/>
      <c r="N1" s="114"/>
      <c r="O1" s="114"/>
      <c r="P1" s="114"/>
    </row>
    <row r="2" spans="2:16" ht="21.75" customHeight="1">
      <c r="B2" s="115" t="s">
        <v>61</v>
      </c>
      <c r="C2" s="115"/>
      <c r="D2" s="115"/>
      <c r="F2" s="116" t="s">
        <v>62</v>
      </c>
      <c r="G2" s="116"/>
      <c r="H2" s="116"/>
      <c r="J2" s="117" t="s">
        <v>54</v>
      </c>
      <c r="K2" s="117"/>
      <c r="L2" s="117"/>
      <c r="N2" s="118" t="s">
        <v>22</v>
      </c>
      <c r="O2" s="118"/>
      <c r="P2" s="118"/>
    </row>
    <row r="3" spans="2:16" ht="18" customHeight="1">
      <c r="B3" s="75" t="s">
        <v>63</v>
      </c>
      <c r="C3" s="75" t="s">
        <v>64</v>
      </c>
      <c r="D3" s="75" t="s">
        <v>65</v>
      </c>
      <c r="F3" s="75" t="s">
        <v>63</v>
      </c>
      <c r="G3" s="75" t="s">
        <v>64</v>
      </c>
      <c r="H3" s="75" t="s">
        <v>65</v>
      </c>
      <c r="J3" s="75" t="s">
        <v>63</v>
      </c>
      <c r="K3" s="75" t="s">
        <v>64</v>
      </c>
      <c r="L3" s="75" t="s">
        <v>65</v>
      </c>
      <c r="N3" s="75" t="s">
        <v>63</v>
      </c>
      <c r="O3" s="75" t="s">
        <v>64</v>
      </c>
      <c r="P3" s="75" t="s">
        <v>65</v>
      </c>
    </row>
    <row r="4" spans="2:16" ht="19.5" customHeight="1">
      <c r="B4" s="76" t="s">
        <v>66</v>
      </c>
      <c r="C4" s="77">
        <f>D4*8</f>
        <v>0</v>
      </c>
      <c r="D4" s="78"/>
      <c r="F4" s="76" t="s">
        <v>66</v>
      </c>
      <c r="G4" s="77">
        <f>H4*8</f>
        <v>0</v>
      </c>
      <c r="H4" s="78"/>
      <c r="J4" s="76" t="s">
        <v>66</v>
      </c>
      <c r="K4" s="77">
        <f>L4*8</f>
        <v>1192</v>
      </c>
      <c r="L4" s="78">
        <v>149</v>
      </c>
      <c r="N4" s="76" t="s">
        <v>66</v>
      </c>
      <c r="O4" s="77">
        <f>P4*8</f>
        <v>0</v>
      </c>
      <c r="P4" s="78"/>
    </row>
    <row r="5" spans="2:16" ht="19.5" customHeight="1">
      <c r="B5" s="79" t="s">
        <v>67</v>
      </c>
      <c r="C5" s="80">
        <f>D5*8</f>
        <v>0</v>
      </c>
      <c r="D5" s="81"/>
      <c r="F5" s="79" t="s">
        <v>67</v>
      </c>
      <c r="G5" s="80">
        <f>H5*8</f>
        <v>0</v>
      </c>
      <c r="H5" s="81"/>
      <c r="J5" s="79" t="s">
        <v>67</v>
      </c>
      <c r="K5" s="80">
        <f>L5*8</f>
        <v>608</v>
      </c>
      <c r="L5" s="81">
        <v>76</v>
      </c>
      <c r="N5" s="79" t="s">
        <v>67</v>
      </c>
      <c r="O5" s="80">
        <f>P5*8</f>
        <v>0</v>
      </c>
      <c r="P5" s="81"/>
    </row>
    <row r="6" spans="2:16" ht="19.5" customHeight="1">
      <c r="B6" s="76" t="s">
        <v>68</v>
      </c>
      <c r="C6" s="77">
        <f>D6*8</f>
        <v>0</v>
      </c>
      <c r="D6" s="78"/>
      <c r="F6" s="76" t="s">
        <v>68</v>
      </c>
      <c r="G6" s="77">
        <f>H6*8</f>
        <v>0</v>
      </c>
      <c r="H6" s="78"/>
      <c r="J6" s="76" t="s">
        <v>68</v>
      </c>
      <c r="K6" s="77">
        <f>L6*8</f>
        <v>688</v>
      </c>
      <c r="L6" s="78">
        <v>86</v>
      </c>
      <c r="N6" s="76" t="s">
        <v>68</v>
      </c>
      <c r="O6" s="77">
        <f>P6*8</f>
        <v>0</v>
      </c>
      <c r="P6" s="78"/>
    </row>
    <row r="7" spans="2:16" ht="18" customHeight="1">
      <c r="B7" s="119" t="s">
        <v>69</v>
      </c>
      <c r="C7" s="119"/>
      <c r="D7" s="119"/>
      <c r="F7" s="119" t="s">
        <v>69</v>
      </c>
      <c r="G7" s="119"/>
      <c r="H7" s="119"/>
      <c r="J7" s="119" t="s">
        <v>69</v>
      </c>
      <c r="K7" s="119"/>
      <c r="L7" s="119"/>
      <c r="N7" s="119" t="s">
        <v>69</v>
      </c>
      <c r="O7" s="119"/>
      <c r="P7" s="119"/>
    </row>
    <row r="8" spans="2:16" ht="18.75" customHeight="1">
      <c r="B8" s="76" t="s">
        <v>70</v>
      </c>
      <c r="C8" s="82"/>
      <c r="D8" s="83" t="str">
        <f>IFERROR(C8/C4,"")</f>
        <v/>
      </c>
      <c r="F8" s="76" t="s">
        <v>70</v>
      </c>
      <c r="G8" s="82"/>
      <c r="H8" s="83" t="str">
        <f>IFERROR(G8/G4,"")</f>
        <v/>
      </c>
      <c r="J8" s="76" t="s">
        <v>70</v>
      </c>
      <c r="K8" s="82"/>
      <c r="L8" s="83">
        <f>IFERROR(K8/K4,"")</f>
        <v>0</v>
      </c>
      <c r="N8" s="76" t="s">
        <v>70</v>
      </c>
      <c r="O8" s="82"/>
      <c r="P8" s="83" t="str">
        <f>IFERROR(O8/O4,"")</f>
        <v/>
      </c>
    </row>
    <row r="9" spans="2:16" ht="18.75" customHeight="1">
      <c r="B9" s="79" t="s">
        <v>71</v>
      </c>
      <c r="C9" s="84"/>
      <c r="D9" s="85" t="str">
        <f>IFERROR(C9/C4,"")</f>
        <v/>
      </c>
      <c r="F9" s="79" t="s">
        <v>71</v>
      </c>
      <c r="G9" s="84"/>
      <c r="H9" s="85" t="str">
        <f>IFERROR(G9/G4,"")</f>
        <v/>
      </c>
      <c r="J9" s="79" t="s">
        <v>71</v>
      </c>
      <c r="K9" s="84"/>
      <c r="L9" s="85">
        <f>IFERROR(K9/K4,"")</f>
        <v>0</v>
      </c>
      <c r="N9" s="79" t="s">
        <v>71</v>
      </c>
      <c r="O9" s="84"/>
      <c r="P9" s="85" t="str">
        <f>IFERROR(O9/O4,"")</f>
        <v/>
      </c>
    </row>
    <row r="10" spans="2:16" ht="18.75" customHeight="1">
      <c r="B10" s="76" t="s">
        <v>72</v>
      </c>
      <c r="C10" s="82"/>
      <c r="D10" s="83" t="str">
        <f>IFERROR(C10/C4,"")</f>
        <v/>
      </c>
      <c r="F10" s="76" t="s">
        <v>72</v>
      </c>
      <c r="G10" s="82"/>
      <c r="H10" s="83" t="str">
        <f>IFERROR(G10/G4,"")</f>
        <v/>
      </c>
      <c r="J10" s="76" t="s">
        <v>72</v>
      </c>
      <c r="K10" s="82"/>
      <c r="L10" s="83">
        <f>IFERROR(K10/K4,"")</f>
        <v>0</v>
      </c>
      <c r="N10" s="76" t="s">
        <v>72</v>
      </c>
      <c r="O10" s="82"/>
      <c r="P10" s="83" t="str">
        <f>IFERROR(O10/O4,"")</f>
        <v/>
      </c>
    </row>
    <row r="11" spans="2:16" ht="18.75" customHeight="1">
      <c r="B11" s="79" t="s">
        <v>73</v>
      </c>
      <c r="C11" s="84"/>
      <c r="D11" s="85" t="str">
        <f>IFERROR(C11/C4,"")</f>
        <v/>
      </c>
      <c r="F11" s="79" t="s">
        <v>73</v>
      </c>
      <c r="G11" s="84"/>
      <c r="H11" s="85" t="str">
        <f>IFERROR(G11/G4,"")</f>
        <v/>
      </c>
      <c r="J11" s="79" t="s">
        <v>73</v>
      </c>
      <c r="K11" s="84"/>
      <c r="L11" s="85">
        <f>IFERROR(K11/K4,"")</f>
        <v>0</v>
      </c>
      <c r="N11" s="79" t="s">
        <v>73</v>
      </c>
      <c r="O11" s="84"/>
      <c r="P11" s="85" t="str">
        <f>IFERROR(O11/O4,"")</f>
        <v/>
      </c>
    </row>
    <row r="12" spans="2:16" ht="18.75" customHeight="1">
      <c r="B12" s="76" t="s">
        <v>74</v>
      </c>
      <c r="C12" s="82"/>
      <c r="D12" s="83" t="str">
        <f>IFERROR(C12/C4,"")</f>
        <v/>
      </c>
      <c r="F12" s="76" t="s">
        <v>74</v>
      </c>
      <c r="G12" s="82"/>
      <c r="H12" s="83" t="str">
        <f>IFERROR(G12/G4,"")</f>
        <v/>
      </c>
      <c r="J12" s="76" t="s">
        <v>74</v>
      </c>
      <c r="K12" s="82"/>
      <c r="L12" s="83">
        <f>IFERROR(K12/K4,"")</f>
        <v>0</v>
      </c>
      <c r="N12" s="76" t="s">
        <v>74</v>
      </c>
      <c r="O12" s="82"/>
      <c r="P12" s="83" t="str">
        <f>IFERROR(O12/O4,"")</f>
        <v/>
      </c>
    </row>
    <row r="13" spans="2:16" ht="18.75" customHeight="1">
      <c r="B13" s="79" t="s">
        <v>75</v>
      </c>
      <c r="C13" s="84"/>
      <c r="D13" s="85" t="str">
        <f>IFERROR(C13/C4,"")</f>
        <v/>
      </c>
      <c r="F13" s="79" t="s">
        <v>75</v>
      </c>
      <c r="G13" s="84"/>
      <c r="H13" s="85" t="str">
        <f>IFERROR(G13/G4,"")</f>
        <v/>
      </c>
      <c r="J13" s="79" t="s">
        <v>75</v>
      </c>
      <c r="K13" s="84"/>
      <c r="L13" s="85">
        <f>IFERROR(K13/K4,"")</f>
        <v>0</v>
      </c>
      <c r="N13" s="79" t="s">
        <v>75</v>
      </c>
      <c r="O13" s="84"/>
      <c r="P13" s="85" t="str">
        <f>IFERROR(O13/O4,"")</f>
        <v/>
      </c>
    </row>
    <row r="14" spans="2:16" ht="18.75" customHeight="1">
      <c r="B14" s="76" t="s">
        <v>76</v>
      </c>
      <c r="C14" s="82"/>
      <c r="D14" s="83" t="str">
        <f>IFERROR(C14/C4,"")</f>
        <v/>
      </c>
      <c r="F14" s="76" t="s">
        <v>76</v>
      </c>
      <c r="G14" s="82"/>
      <c r="H14" s="83" t="str">
        <f>IFERROR(G14/G4,"")</f>
        <v/>
      </c>
      <c r="J14" s="76" t="s">
        <v>76</v>
      </c>
      <c r="K14" s="82"/>
      <c r="L14" s="83">
        <f>IFERROR(K14/K4,"")</f>
        <v>0</v>
      </c>
      <c r="N14" s="76" t="s">
        <v>76</v>
      </c>
      <c r="O14" s="82"/>
      <c r="P14" s="83" t="str">
        <f>IFERROR(O14/O4,"")</f>
        <v/>
      </c>
    </row>
    <row r="15" spans="2:16" ht="18.75" customHeight="1">
      <c r="B15" s="79" t="s">
        <v>77</v>
      </c>
      <c r="C15" s="84"/>
      <c r="D15" s="85" t="str">
        <f>IFERROR(C15/C4,"")</f>
        <v/>
      </c>
      <c r="F15" s="79" t="s">
        <v>77</v>
      </c>
      <c r="G15" s="84"/>
      <c r="H15" s="85" t="str">
        <f>IFERROR(G15/G4,"")</f>
        <v/>
      </c>
      <c r="J15" s="79" t="s">
        <v>77</v>
      </c>
      <c r="K15" s="84"/>
      <c r="L15" s="85">
        <f>IFERROR(K15/K4,"")</f>
        <v>0</v>
      </c>
      <c r="N15" s="79" t="s">
        <v>77</v>
      </c>
      <c r="O15" s="84"/>
      <c r="P15" s="85" t="str">
        <f>IFERROR(O15/O4,"")</f>
        <v/>
      </c>
    </row>
    <row r="16" spans="2:16" ht="6" customHeight="1">
      <c r="B16" s="154"/>
      <c r="C16" s="154"/>
      <c r="D16" s="154"/>
      <c r="F16" s="155"/>
      <c r="G16" s="155"/>
      <c r="H16" s="155"/>
      <c r="J16" s="156"/>
      <c r="K16" s="156"/>
      <c r="L16" s="156"/>
      <c r="N16" s="157"/>
      <c r="O16" s="157"/>
      <c r="P16" s="157"/>
    </row>
    <row r="17" spans="2:16" ht="21.75" customHeight="1">
      <c r="B17" s="86" t="s">
        <v>2</v>
      </c>
      <c r="C17" s="86" t="s">
        <v>3</v>
      </c>
      <c r="D17" s="86" t="s">
        <v>78</v>
      </c>
      <c r="F17" s="87" t="s">
        <v>2</v>
      </c>
      <c r="G17" s="87" t="s">
        <v>3</v>
      </c>
      <c r="H17" s="87" t="s">
        <v>78</v>
      </c>
      <c r="J17" s="88" t="s">
        <v>2</v>
      </c>
      <c r="K17" s="88" t="s">
        <v>3</v>
      </c>
      <c r="L17" s="88" t="s">
        <v>78</v>
      </c>
      <c r="N17" s="89" t="s">
        <v>2</v>
      </c>
      <c r="O17" s="89" t="s">
        <v>3</v>
      </c>
      <c r="P17" s="89" t="s">
        <v>78</v>
      </c>
    </row>
    <row r="18" spans="2:16" ht="24.75" customHeight="1">
      <c r="B18" s="90"/>
      <c r="C18" s="91"/>
      <c r="D18" s="91"/>
      <c r="F18" s="90" t="str">
        <f>IFERROR(INDEX(DATA2026!B$2:B$401,MATCH(1,DATA2026!J$2:J$401,0)),"")</f>
        <v>Apple iOS SDK Anforderungen</v>
      </c>
      <c r="G18" s="91" t="str">
        <f>IFERROR(INDEX(DATA2026!C$2:C$401,MATCH(1,DATA2026!J$2:J$401,0)),"")</f>
        <v>XL (&gt;40h)</v>
      </c>
      <c r="H18" s="91" t="str">
        <f>IFERROR(INDEX(DATA2026!D$2:D$401,MATCH(1,DATA2026!J$2:J$401,0)),"")</f>
        <v>Repair</v>
      </c>
      <c r="J18" s="99" t="str">
        <f>IFERROR(INDEX(DATA2026!B$2:B$401,MATCH(1,DATA2026!K$2:K$401,0)),"")</f>
        <v>GitHub - Umstellung</v>
      </c>
      <c r="K18" s="91" t="str">
        <f>IFERROR(INDEX(DATA2026!C$2:C$401,MATCH(1,DATA2026!K$2:K$401,0)),"")</f>
        <v>L (20-40h)</v>
      </c>
      <c r="L18" s="91" t="str">
        <f>IFERROR(INDEX(DATA2026!D$2:D$401,MATCH(1,DATA2026!K$2:K$401,0)),"")</f>
        <v>Strengthen</v>
      </c>
      <c r="N18" s="99" t="str">
        <f>IFERROR(INDEX(DATA2026!B$2:B$401,MATCH(1,DATA2026!L$2:L$401,0)),"")</f>
        <v>ReFund Zahlung POS | Refund bei Adyen | Pfand-Gutschrift bei Kartenzahlung</v>
      </c>
      <c r="O18" s="91">
        <f>IFERROR(INDEX(DATA2026!C$2:C$401,MATCH(1,DATA2026!L$2:L$401,0)),"")</f>
        <v>0</v>
      </c>
      <c r="P18" s="91">
        <f>IFERROR(INDEX(DATA2026!D$2:D$401,MATCH(1,DATA2026!L$2:L$401,0)),"")</f>
        <v>0</v>
      </c>
    </row>
    <row r="19" spans="2:16" ht="24.75" customHeight="1">
      <c r="B19" s="92" t="str">
        <f>IFERROR(INDEX(DATA2026!B$2:B$401,MATCH(2,DATA2026!I$2:I$401,0)),"")</f>
        <v/>
      </c>
      <c r="C19" s="93" t="str">
        <f>IFERROR(INDEX(DATA2026!C$2:C$401,MATCH(2,DATA2026!I$2:I$401,0)),"")</f>
        <v/>
      </c>
      <c r="D19" s="93" t="str">
        <f>IFERROR(INDEX(DATA2026!D$2:D$401,MATCH(2,DATA2026!I$2:I$401,0)),"")</f>
        <v/>
      </c>
      <c r="F19" s="92" t="str">
        <f>IFERROR(INDEX(DATA2026!B$2:B$401,MATCH(2,DATA2026!J$2:J$401,0)),"")</f>
        <v xml:space="preserve">mobilePeople.de - Vulnerabilitys Portal Live </v>
      </c>
      <c r="G19" s="93" t="str">
        <f>IFERROR(INDEX(DATA2026!C$2:C$401,MATCH(2,DATA2026!J$2:J$401,0)),"")</f>
        <v>XL (&gt;40h)</v>
      </c>
      <c r="H19" s="93" t="str">
        <f>IFERROR(INDEX(DATA2026!D$2:D$401,MATCH(2,DATA2026!J$2:J$401,0)),"")</f>
        <v>Repair</v>
      </c>
      <c r="J19" s="98" t="str">
        <f>IFERROR(INDEX(DATA2026!B$2:B$401,MATCH(2,DATA2026!K$2:K$401,0)),"")</f>
        <v>EFSTA - Anbindung (Spanien)</v>
      </c>
      <c r="K19" s="93" t="str">
        <f>IFERROR(INDEX(DATA2026!C$2:C$401,MATCH(2,DATA2026!K$2:K$401,0)),"")</f>
        <v>L (20-40h)</v>
      </c>
      <c r="L19" s="93" t="str">
        <f>IFERROR(INDEX(DATA2026!D$2:D$401,MATCH(2,DATA2026!K$2:K$401,0)),"")</f>
        <v>Strengthen</v>
      </c>
      <c r="N19" s="98" t="str">
        <f>IFERROR(INDEX(DATA2026!B$2:B$401,MATCH(2,DATA2026!L$2:L$401,0)),"")</f>
        <v>Abholmonitor (ggf. extern) | API</v>
      </c>
      <c r="O19" s="93">
        <f>IFERROR(INDEX(DATA2026!C$2:C$401,MATCH(2,DATA2026!L$2:L$401,0)),"")</f>
        <v>0</v>
      </c>
      <c r="P19" s="93">
        <f>IFERROR(INDEX(DATA2026!D$2:D$401,MATCH(2,DATA2026!L$2:L$401,0)),"")</f>
        <v>0</v>
      </c>
    </row>
    <row r="20" spans="2:16" ht="24.75" customHeight="1">
      <c r="B20" s="90" t="str">
        <f>IFERROR(INDEX(DATA2026!B$2:B$401,MATCH(3,DATA2026!I$2:I$401,0)),"")</f>
        <v/>
      </c>
      <c r="C20" s="91" t="str">
        <f>IFERROR(INDEX(DATA2026!C$2:C$401,MATCH(3,DATA2026!I$2:I$401,0)),"")</f>
        <v/>
      </c>
      <c r="D20" s="91" t="str">
        <f>IFERROR(INDEX(DATA2026!D$2:D$401,MATCH(3,DATA2026!I$2:I$401,0)),"")</f>
        <v/>
      </c>
      <c r="F20" s="90" t="str">
        <f>IFERROR(INDEX(DATA2026!B$2:B$401,MATCH(3,DATA2026!J$2:J$401,0)),"")</f>
        <v>Webshop mit Newsletter Zustimmung</v>
      </c>
      <c r="G20" s="91" t="str">
        <f>IFERROR(INDEX(DATA2026!C$2:C$401,MATCH(3,DATA2026!J$2:J$401,0)),"")</f>
        <v>M (10-20h)</v>
      </c>
      <c r="H20" s="91" t="str">
        <f>IFERROR(INDEX(DATA2026!D$2:D$401,MATCH(3,DATA2026!J$2:J$401,0)),"")</f>
        <v>Strengthen</v>
      </c>
      <c r="J20" s="99" t="str">
        <f>IFERROR(INDEX(DATA2026!B$2:B$401,MATCH(3,DATA2026!K$2:K$401,0)),"")</f>
        <v>DSFinV-K |  Startdatum der ersten Buchung</v>
      </c>
      <c r="K20" s="91" t="str">
        <f>IFERROR(INDEX(DATA2026!C$2:C$401,MATCH(3,DATA2026!K$2:K$401,0)),"")</f>
        <v>M (10-20h)</v>
      </c>
      <c r="L20" s="91" t="str">
        <f>IFERROR(INDEX(DATA2026!D$2:D$401,MATCH(3,DATA2026!K$2:K$401,0)),"")</f>
        <v>Repair</v>
      </c>
      <c r="N20" s="99" t="str">
        <f>IFERROR(INDEX(DATA2026!B$2:B$401,MATCH(3,DATA2026!L$2:L$401,0)),"")</f>
        <v>Portal &amp; POS - UX Update (1)</v>
      </c>
      <c r="O20" s="91">
        <f>IFERROR(INDEX(DATA2026!C$2:C$401,MATCH(3,DATA2026!L$2:L$401,0)),"")</f>
        <v>0</v>
      </c>
      <c r="P20" s="91">
        <f>IFERROR(INDEX(DATA2026!D$2:D$401,MATCH(3,DATA2026!L$2:L$401,0)),"")</f>
        <v>0</v>
      </c>
    </row>
    <row r="21" spans="2:16" ht="24.75" customHeight="1">
      <c r="B21" s="92" t="str">
        <f>IFERROR(INDEX(DATA2026!B$2:B$401,MATCH(4,DATA2026!I$2:I$401,0)),"")</f>
        <v/>
      </c>
      <c r="C21" s="93" t="str">
        <f>IFERROR(INDEX(DATA2026!C$2:C$401,MATCH(4,DATA2026!I$2:I$401,0)),"")</f>
        <v/>
      </c>
      <c r="D21" s="93" t="str">
        <f>IFERROR(INDEX(DATA2026!D$2:D$401,MATCH(4,DATA2026!I$2:I$401,0)),"")</f>
        <v/>
      </c>
      <c r="F21" s="92" t="str">
        <f>IFERROR(INDEX(DATA2026!B$2:B$401,MATCH(4,DATA2026!J$2:J$401,0)),"")</f>
        <v>Ticketshop mit Kalender &amp; Anzahl</v>
      </c>
      <c r="G21" s="93" t="str">
        <f>IFERROR(INDEX(DATA2026!C$2:C$401,MATCH(4,DATA2026!J$2:J$401,0)),"")</f>
        <v>M (10-20h)</v>
      </c>
      <c r="H21" s="93" t="str">
        <f>IFERROR(INDEX(DATA2026!D$2:D$401,MATCH(4,DATA2026!J$2:J$401,0)),"")</f>
        <v>Strengthen</v>
      </c>
      <c r="J21" s="98" t="str">
        <f>IFERROR(INDEX(DATA2026!B$2:B$401,MATCH(4,DATA2026!K$2:K$401,0)),"")</f>
        <v>Webhook Deliverect</v>
      </c>
      <c r="K21" s="93" t="str">
        <f>IFERROR(INDEX(DATA2026!C$2:C$401,MATCH(4,DATA2026!K$2:K$401,0)),"")</f>
        <v>L (20-40h)</v>
      </c>
      <c r="L21" s="93" t="str">
        <f>IFERROR(INDEX(DATA2026!D$2:D$401,MATCH(4,DATA2026!K$2:K$401,0)),"")</f>
        <v>Strengthen</v>
      </c>
      <c r="N21" s="98" t="str">
        <f>IFERROR(INDEX(DATA2026!B$2:B$401,MATCH(4,DATA2026!L$2:L$401,0)),"")</f>
        <v>Artikelbestandteile im eCom abwählen</v>
      </c>
      <c r="O21" s="93">
        <f>IFERROR(INDEX(DATA2026!C$2:C$401,MATCH(4,DATA2026!L$2:L$401,0)),"")</f>
        <v>0</v>
      </c>
      <c r="P21" s="93">
        <f>IFERROR(INDEX(DATA2026!D$2:D$401,MATCH(4,DATA2026!L$2:L$401,0)),"")</f>
        <v>0</v>
      </c>
    </row>
    <row r="22" spans="2:16" ht="24.75" customHeight="1">
      <c r="B22" s="90" t="str">
        <f>IFERROR(INDEX(DATA2026!B$2:B$401,MATCH(5,DATA2026!I$2:I$401,0)),"")</f>
        <v/>
      </c>
      <c r="C22" s="91" t="str">
        <f>IFERROR(INDEX(DATA2026!C$2:C$401,MATCH(5,DATA2026!I$2:I$401,0)),"")</f>
        <v/>
      </c>
      <c r="D22" s="91" t="str">
        <f>IFERROR(INDEX(DATA2026!D$2:D$401,MATCH(5,DATA2026!I$2:I$401,0)),"")</f>
        <v/>
      </c>
      <c r="F22" s="90" t="str">
        <f>IFERROR(INDEX(DATA2026!B$2:B$401,MATCH(5,DATA2026!J$2:J$401,0)),"")</f>
        <v>Optimierung SOT Sync</v>
      </c>
      <c r="G22" s="91" t="str">
        <f>IFERROR(INDEX(DATA2026!C$2:C$401,MATCH(5,DATA2026!J$2:J$401,0)),"")</f>
        <v>L (20-40h)</v>
      </c>
      <c r="H22" s="91" t="str">
        <f>IFERROR(INDEX(DATA2026!D$2:D$401,MATCH(5,DATA2026!J$2:J$401,0)),"")</f>
        <v>Repair</v>
      </c>
      <c r="J22" s="99" t="str">
        <f>IFERROR(INDEX(DATA2026!B$2:B$401,MATCH(5,DATA2026!K$2:K$401,0)),"")</f>
        <v>MwSt. Verteilung</v>
      </c>
      <c r="K22" s="91" t="str">
        <f>IFERROR(INDEX(DATA2026!C$2:C$401,MATCH(5,DATA2026!K$2:K$401,0)),"")</f>
        <v>XXL (&gt;160h)</v>
      </c>
      <c r="L22" s="91" t="str">
        <f>IFERROR(INDEX(DATA2026!D$2:D$401,MATCH(5,DATA2026!K$2:K$401,0)),"")</f>
        <v>Strengthen</v>
      </c>
      <c r="N22" s="99" t="str">
        <f>IFERROR(INDEX(DATA2026!B$2:B$401,MATCH(5,DATA2026!L$2:L$401,0)),"")</f>
        <v>KPI Dashboard mit KI</v>
      </c>
      <c r="O22" s="91">
        <f>IFERROR(INDEX(DATA2026!C$2:C$401,MATCH(5,DATA2026!L$2:L$401,0)),"")</f>
        <v>0</v>
      </c>
      <c r="P22" s="91">
        <f>IFERROR(INDEX(DATA2026!D$2:D$401,MATCH(5,DATA2026!L$2:L$401,0)),"")</f>
        <v>0</v>
      </c>
    </row>
    <row r="23" spans="2:16" ht="24.75" customHeight="1">
      <c r="B23" s="92" t="str">
        <f>IFERROR(INDEX(DATA2026!B$2:B$401,MATCH(6,DATA2026!I$2:I$401,0)),"")</f>
        <v/>
      </c>
      <c r="C23" s="93" t="str">
        <f>IFERROR(INDEX(DATA2026!C$2:C$401,MATCH(6,DATA2026!I$2:I$401,0)),"")</f>
        <v/>
      </c>
      <c r="D23" s="93" t="str">
        <f>IFERROR(INDEX(DATA2026!D$2:D$401,MATCH(6,DATA2026!I$2:I$401,0)),"")</f>
        <v/>
      </c>
      <c r="F23" s="92" t="str">
        <f>IFERROR(INDEX(DATA2026!B$2:B$401,MATCH(6,DATA2026!J$2:J$401,0)),"")</f>
        <v>UHD | AI Agent - Support</v>
      </c>
      <c r="G23" s="93" t="str">
        <f>IFERROR(INDEX(DATA2026!C$2:C$401,MATCH(6,DATA2026!J$2:J$401,0)),"")</f>
        <v>L (20-40h)</v>
      </c>
      <c r="H23" s="93" t="str">
        <f>IFERROR(INDEX(DATA2026!D$2:D$401,MATCH(6,DATA2026!J$2:J$401,0)),"")</f>
        <v>Strengthen</v>
      </c>
      <c r="J23" s="98" t="str">
        <f>IFERROR(INDEX(DATA2026!B$2:B$401,MATCH(6,DATA2026!K$2:K$401,0)),"")</f>
        <v>Protokollierung bei Lizenzzuweisungen. (Internal Audit)</v>
      </c>
      <c r="K23" s="93" t="str">
        <f>IFERROR(INDEX(DATA2026!C$2:C$401,MATCH(6,DATA2026!K$2:K$401,0)),"")</f>
        <v>XL (&gt;40h)</v>
      </c>
      <c r="L23" s="93" t="str">
        <f>IFERROR(INDEX(DATA2026!D$2:D$401,MATCH(6,DATA2026!K$2:K$401,0)),"")</f>
        <v>Repair</v>
      </c>
      <c r="N23" s="98" t="str">
        <f>IFERROR(INDEX(DATA2026!B$2:B$401,MATCH(6,DATA2026!L$2:L$401,0)),"")</f>
        <v>Loyalty (4) | DataWarehouse und KI NOCH NICHT GEPLANT</v>
      </c>
      <c r="O23" s="93">
        <f>IFERROR(INDEX(DATA2026!C$2:C$401,MATCH(6,DATA2026!L$2:L$401,0)),"")</f>
        <v>0</v>
      </c>
      <c r="P23" s="93">
        <f>IFERROR(INDEX(DATA2026!D$2:D$401,MATCH(6,DATA2026!L$2:L$401,0)),"")</f>
        <v>0</v>
      </c>
    </row>
    <row r="24" spans="2:16" ht="24.75" customHeight="1">
      <c r="B24" s="90" t="str">
        <f>IFERROR(INDEX(DATA2026!B$2:B$401,MATCH(7,DATA2026!I$2:I$401,0)),"")</f>
        <v/>
      </c>
      <c r="C24" s="91" t="str">
        <f>IFERROR(INDEX(DATA2026!C$2:C$401,MATCH(7,DATA2026!I$2:I$401,0)),"")</f>
        <v/>
      </c>
      <c r="D24" s="91" t="str">
        <f>IFERROR(INDEX(DATA2026!D$2:D$401,MATCH(7,DATA2026!I$2:I$401,0)),"")</f>
        <v/>
      </c>
      <c r="F24" s="90" t="str">
        <f>IFERROR(INDEX(DATA2026!B$2:B$401,MATCH(7,DATA2026!J$2:J$401,0)),"")</f>
        <v xml:space="preserve">3rd Party - Google Log In für APP </v>
      </c>
      <c r="G24" s="91" t="str">
        <f>IFERROR(INDEX(DATA2026!C$2:C$401,MATCH(7,DATA2026!J$2:J$401,0)),"")</f>
        <v>M (10-20h)</v>
      </c>
      <c r="H24" s="91" t="str">
        <f>IFERROR(INDEX(DATA2026!D$2:D$401,MATCH(7,DATA2026!J$2:J$401,0)),"")</f>
        <v>Repair</v>
      </c>
      <c r="J24" s="99" t="str">
        <f>IFERROR(INDEX(DATA2026!B$2:B$401,MATCH(7,DATA2026!K$2:K$401,0)),"")</f>
        <v>Trinkgeldentnahme signieren (ALEX-GRUPPE)</v>
      </c>
      <c r="K24" s="91" t="str">
        <f>IFERROR(INDEX(DATA2026!C$2:C$401,MATCH(7,DATA2026!K$2:K$401,0)),"")</f>
        <v>L (20-40h)</v>
      </c>
      <c r="L24" s="91" t="str">
        <f>IFERROR(INDEX(DATA2026!D$2:D$401,MATCH(7,DATA2026!K$2:K$401,0)),"")</f>
        <v>Strengthen</v>
      </c>
      <c r="N24" s="99" t="str">
        <f>IFERROR(INDEX(DATA2026!B$2:B$401,MATCH(7,DATA2026!L$2:L$401,0)),"")</f>
        <v>Jouney Gaps  (3)</v>
      </c>
      <c r="O24" s="91">
        <f>IFERROR(INDEX(DATA2026!C$2:C$401,MATCH(7,DATA2026!L$2:L$401,0)),"")</f>
        <v>0</v>
      </c>
      <c r="P24" s="91">
        <f>IFERROR(INDEX(DATA2026!D$2:D$401,MATCH(7,DATA2026!L$2:L$401,0)),"")</f>
        <v>0</v>
      </c>
    </row>
    <row r="25" spans="2:16" ht="24.75" customHeight="1">
      <c r="B25" s="92" t="str">
        <f>IFERROR(INDEX(DATA2026!B$2:B$401,MATCH(8,DATA2026!I$2:I$401,0)),"")</f>
        <v/>
      </c>
      <c r="C25" s="93" t="str">
        <f>IFERROR(INDEX(DATA2026!C$2:C$401,MATCH(8,DATA2026!I$2:I$401,0)),"")</f>
        <v/>
      </c>
      <c r="D25" s="93" t="str">
        <f>IFERROR(INDEX(DATA2026!D$2:D$401,MATCH(8,DATA2026!I$2:I$401,0)),"")</f>
        <v/>
      </c>
      <c r="F25" s="92" t="str">
        <f>IFERROR(INDEX(DATA2026!B$2:B$401,MATCH(8,DATA2026!J$2:J$401,0)),"")</f>
        <v xml:space="preserve">SIG#156 Landingpage -&gt; Bonuspunkte anzeigen </v>
      </c>
      <c r="G25" s="93" t="str">
        <f>IFERROR(INDEX(DATA2026!C$2:C$401,MATCH(8,DATA2026!J$2:J$401,0)),"")</f>
        <v>M (10-20h)</v>
      </c>
      <c r="H25" s="93" t="str">
        <f>IFERROR(INDEX(DATA2026!D$2:D$401,MATCH(8,DATA2026!J$2:J$401,0)),"")</f>
        <v>Strengthen</v>
      </c>
      <c r="J25" s="98" t="str">
        <f>IFERROR(INDEX(DATA2026!B$2:B$401,MATCH(8,DATA2026!K$2:K$401,0)),"")</f>
        <v>ePOS mobilePRO</v>
      </c>
      <c r="K25" s="93" t="str">
        <f>IFERROR(INDEX(DATA2026!C$2:C$401,MATCH(8,DATA2026!K$2:K$401,0)),"")</f>
        <v>XXL (&gt;160h)</v>
      </c>
      <c r="L25" s="93" t="str">
        <f>IFERROR(INDEX(DATA2026!D$2:D$401,MATCH(8,DATA2026!K$2:K$401,0)),"")</f>
        <v>Strengthen</v>
      </c>
      <c r="N25" s="98" t="str">
        <f>IFERROR(INDEX(DATA2026!B$2:B$401,MATCH(8,DATA2026!L$2:L$401,0)),"")</f>
        <v>Artikelgenaue Übergabe an PMS-Interface (MEWS)</v>
      </c>
      <c r="O25" s="93">
        <f>IFERROR(INDEX(DATA2026!C$2:C$401,MATCH(8,DATA2026!L$2:L$401,0)),"")</f>
        <v>0</v>
      </c>
      <c r="P25" s="93" t="str">
        <f>IFERROR(INDEX(DATA2026!D$2:D$401,MATCH(8,DATA2026!L$2:L$401,0)),"")</f>
        <v>Strengthen</v>
      </c>
    </row>
    <row r="26" spans="2:16" ht="24.75" customHeight="1">
      <c r="B26" s="90" t="str">
        <f>IFERROR(INDEX(DATA2026!B$2:B$401,MATCH(9,DATA2026!I$2:I$401,0)),"")</f>
        <v/>
      </c>
      <c r="C26" s="91" t="str">
        <f>IFERROR(INDEX(DATA2026!C$2:C$401,MATCH(9,DATA2026!I$2:I$401,0)),"")</f>
        <v/>
      </c>
      <c r="D26" s="91" t="str">
        <f>IFERROR(INDEX(DATA2026!D$2:D$401,MATCH(9,DATA2026!I$2:I$401,0)),"")</f>
        <v/>
      </c>
      <c r="F26" s="90" t="str">
        <f>IFERROR(INDEX(DATA2026!B$2:B$401,MATCH(9,DATA2026!J$2:J$401,0)),"")</f>
        <v>iCoupon</v>
      </c>
      <c r="G26" s="91" t="str">
        <f>IFERROR(INDEX(DATA2026!C$2:C$401,MATCH(9,DATA2026!J$2:J$401,0)),"")</f>
        <v>M (10-20h)</v>
      </c>
      <c r="H26" s="91" t="str">
        <f>IFERROR(INDEX(DATA2026!D$2:D$401,MATCH(9,DATA2026!J$2:J$401,0)),"")</f>
        <v>Strengthen</v>
      </c>
      <c r="J26" s="99" t="str">
        <f>IFERROR(INDEX(DATA2026!B$2:B$401,MATCH(9,DATA2026!K$2:K$401,0)),"")</f>
        <v>SOT/Webshop &amp; POS | Grundlage / Basis der Kundenkarte QR-Code zur Identifikation</v>
      </c>
      <c r="K26" s="91" t="str">
        <f>IFERROR(INDEX(DATA2026!C$2:C$401,MATCH(9,DATA2026!K$2:K$401,0)),"")</f>
        <v>XL (&gt;40h)</v>
      </c>
      <c r="L26" s="91" t="str">
        <f>IFERROR(INDEX(DATA2026!D$2:D$401,MATCH(9,DATA2026!K$2:K$401,0)),"")</f>
        <v>Innovation</v>
      </c>
      <c r="N26" s="99" t="str">
        <f>IFERROR(INDEX(DATA2026!B$2:B$401,MATCH(9,DATA2026!L$2:L$401,0)),"")</f>
        <v>ePOS Campaigns</v>
      </c>
      <c r="O26" s="91">
        <f>IFERROR(INDEX(DATA2026!C$2:C$401,MATCH(9,DATA2026!L$2:L$401,0)),"")</f>
        <v>0</v>
      </c>
      <c r="P26" s="91" t="str">
        <f>IFERROR(INDEX(DATA2026!D$2:D$401,MATCH(9,DATA2026!L$2:L$401,0)),"")</f>
        <v>Repair</v>
      </c>
    </row>
    <row r="27" spans="2:16" ht="24.75" customHeight="1">
      <c r="B27" s="92" t="str">
        <f>IFERROR(INDEX(DATA2026!B$2:B$401,MATCH(10,DATA2026!I$2:I$401,0)),"")</f>
        <v/>
      </c>
      <c r="C27" s="93" t="str">
        <f>IFERROR(INDEX(DATA2026!C$2:C$401,MATCH(10,DATA2026!I$2:I$401,0)),"")</f>
        <v/>
      </c>
      <c r="D27" s="93" t="str">
        <f>IFERROR(INDEX(DATA2026!D$2:D$401,MATCH(10,DATA2026!I$2:I$401,0)),"")</f>
        <v/>
      </c>
      <c r="F27" s="92" t="str">
        <f>IFERROR(INDEX(DATA2026!B$2:B$401,MATCH(10,DATA2026!J$2:J$401,0)),"")</f>
        <v>Supportreduzierung: / Kontingent definieren</v>
      </c>
      <c r="G27" s="93" t="str">
        <f>IFERROR(INDEX(DATA2026!C$2:C$401,MATCH(10,DATA2026!J$2:J$401,0)),"")</f>
        <v>XXL (&gt;160h)</v>
      </c>
      <c r="H27" s="93" t="str">
        <f>IFERROR(INDEX(DATA2026!D$2:D$401,MATCH(10,DATA2026!J$2:J$401,0)),"")</f>
        <v>Repair</v>
      </c>
      <c r="J27" s="98" t="str">
        <f>IFERROR(INDEX(DATA2026!B$2:B$401,MATCH(10,DATA2026!K$2:K$401,0)),"")</f>
        <v>Benefits am SOT einlösen</v>
      </c>
      <c r="K27" s="93" t="str">
        <f>IFERROR(INDEX(DATA2026!C$2:C$401,MATCH(10,DATA2026!K$2:K$401,0)),"")</f>
        <v>L (20-40h)</v>
      </c>
      <c r="L27" s="93" t="str">
        <f>IFERROR(INDEX(DATA2026!D$2:D$401,MATCH(10,DATA2026!K$2:K$401,0)),"")</f>
        <v>Strengthen</v>
      </c>
      <c r="N27" s="98" t="str">
        <f>IFERROR(INDEX(DATA2026!B$2:B$401,MATCH(10,DATA2026!L$2:L$401,0)),"")</f>
        <v>Deaktivierung von Order Channel an POS</v>
      </c>
      <c r="O27" s="93">
        <f>IFERROR(INDEX(DATA2026!C$2:C$401,MATCH(10,DATA2026!L$2:L$401,0)),"")</f>
        <v>0</v>
      </c>
      <c r="P27" s="93" t="str">
        <f>IFERROR(INDEX(DATA2026!D$2:D$401,MATCH(10,DATA2026!L$2:L$401,0)),"")</f>
        <v>Innovation</v>
      </c>
    </row>
    <row r="28" spans="2:16" ht="24.75" customHeight="1">
      <c r="B28" s="90" t="str">
        <f>IFERROR(INDEX(DATA2026!B$2:B$401,MATCH(11,DATA2026!I$2:I$401,0)),"")</f>
        <v/>
      </c>
      <c r="C28" s="91" t="str">
        <f>IFERROR(INDEX(DATA2026!C$2:C$401,MATCH(11,DATA2026!I$2:I$401,0)),"")</f>
        <v/>
      </c>
      <c r="D28" s="91" t="str">
        <f>IFERROR(INDEX(DATA2026!D$2:D$401,MATCH(11,DATA2026!I$2:I$401,0)),"")</f>
        <v/>
      </c>
      <c r="F28" s="90" t="str">
        <f>IFERROR(INDEX(DATA2026!B$2:B$401,MATCH(11,DATA2026!J$2:J$401,0)),"")</f>
        <v>Actian Umstellung</v>
      </c>
      <c r="G28" s="91" t="str">
        <f>IFERROR(INDEX(DATA2026!C$2:C$401,MATCH(11,DATA2026!J$2:J$401,0)),"")</f>
        <v>XXL (&gt;160h)</v>
      </c>
      <c r="H28" s="91" t="str">
        <f>IFERROR(INDEX(DATA2026!D$2:D$401,MATCH(11,DATA2026!J$2:J$401,0)),"")</f>
        <v>Repair</v>
      </c>
      <c r="J28" s="99" t="str">
        <f>IFERROR(INDEX(DATA2026!B$2:B$401,MATCH(11,DATA2026!K$2:K$401,0)),"")</f>
        <v>UHD | Rechnungsstellung in CHF</v>
      </c>
      <c r="K28" s="91" t="str">
        <f>IFERROR(INDEX(DATA2026!C$2:C$401,MATCH(11,DATA2026!K$2:K$401,0)),"")</f>
        <v>L (20-40h)</v>
      </c>
      <c r="L28" s="91" t="str">
        <f>IFERROR(INDEX(DATA2026!D$2:D$401,MATCH(11,DATA2026!K$2:K$401,0)),"")</f>
        <v>Strengthen</v>
      </c>
      <c r="N28" s="99" t="str">
        <f>IFERROR(INDEX(DATA2026!B$2:B$401,MATCH(11,DATA2026!L$2:L$401,0)),"")</f>
        <v>Accounting in YourAPP</v>
      </c>
      <c r="O28" s="91">
        <f>IFERROR(INDEX(DATA2026!C$2:C$401,MATCH(11,DATA2026!L$2:L$401,0)),"")</f>
        <v>0</v>
      </c>
      <c r="P28" s="91" t="str">
        <f>IFERROR(INDEX(DATA2026!D$2:D$401,MATCH(11,DATA2026!L$2:L$401,0)),"")</f>
        <v>Innovation</v>
      </c>
    </row>
    <row r="29" spans="2:16" ht="24.75" customHeight="1">
      <c r="B29" s="92" t="str">
        <f>IFERROR(INDEX(DATA2026!B$2:B$401,MATCH(12,DATA2026!I$2:I$401,0)),"")</f>
        <v/>
      </c>
      <c r="C29" s="93" t="str">
        <f>IFERROR(INDEX(DATA2026!C$2:C$401,MATCH(12,DATA2026!I$2:I$401,0)),"")</f>
        <v/>
      </c>
      <c r="D29" s="93" t="str">
        <f>IFERROR(INDEX(DATA2026!D$2:D$401,MATCH(12,DATA2026!I$2:I$401,0)),"")</f>
        <v/>
      </c>
      <c r="F29" s="92" t="str">
        <f>IFERROR(INDEX(DATA2026!B$2:B$401,MATCH(12,DATA2026!J$2:J$401,0)),"")</f>
        <v>ePOS mobile PRO V1</v>
      </c>
      <c r="G29" s="93" t="str">
        <f>IFERROR(INDEX(DATA2026!C$2:C$401,MATCH(12,DATA2026!J$2:J$401,0)),"")</f>
        <v>XL (&gt;40h)</v>
      </c>
      <c r="H29" s="93" t="str">
        <f>IFERROR(INDEX(DATA2026!D$2:D$401,MATCH(12,DATA2026!J$2:J$401,0)),"")</f>
        <v>Innovation</v>
      </c>
      <c r="J29" s="98" t="str">
        <f>IFERROR(INDEX(DATA2026!B$2:B$401,MATCH(12,DATA2026!K$2:K$401,0)),"")</f>
        <v xml:space="preserve">UHD | Filtermöglichkeit für „Priorisierung“ </v>
      </c>
      <c r="K29" s="93" t="str">
        <f>IFERROR(INDEX(DATA2026!C$2:C$401,MATCH(12,DATA2026!K$2:K$401,0)),"")</f>
        <v>L (20-40h)</v>
      </c>
      <c r="L29" s="93" t="str">
        <f>IFERROR(INDEX(DATA2026!D$2:D$401,MATCH(12,DATA2026!K$2:K$401,0)),"")</f>
        <v>Strengthen</v>
      </c>
      <c r="N29" s="98" t="str">
        <f>IFERROR(INDEX(DATA2026!B$2:B$401,MATCH(12,DATA2026!L$2:L$401,0)),"")</f>
        <v>Signum Orga-Soft API erweitern</v>
      </c>
      <c r="O29" s="93">
        <f>IFERROR(INDEX(DATA2026!C$2:C$401,MATCH(12,DATA2026!L$2:L$401,0)),"")</f>
        <v>0</v>
      </c>
      <c r="P29" s="93" t="str">
        <f>IFERROR(INDEX(DATA2026!D$2:D$401,MATCH(12,DATA2026!L$2:L$401,0)),"")</f>
        <v>Strengthen</v>
      </c>
    </row>
    <row r="30" spans="2:16" ht="24.75" customHeight="1">
      <c r="B30" s="90" t="str">
        <f>IFERROR(INDEX(DATA2026!B$2:B$401,MATCH(13,DATA2026!I$2:I$401,0)),"")</f>
        <v/>
      </c>
      <c r="C30" s="91" t="str">
        <f>IFERROR(INDEX(DATA2026!C$2:C$401,MATCH(13,DATA2026!I$2:I$401,0)),"")</f>
        <v/>
      </c>
      <c r="D30" s="91" t="str">
        <f>IFERROR(INDEX(DATA2026!D$2:D$401,MATCH(13,DATA2026!I$2:I$401,0)),"")</f>
        <v/>
      </c>
      <c r="F30" s="90" t="str">
        <f>IFERROR(INDEX(DATA2026!B$2:B$401,MATCH(13,DATA2026!J$2:J$401,0)),"")</f>
        <v>Artikel-Tabellenbearbeitung auch Bilder (Shop) hinzufügen</v>
      </c>
      <c r="G30" s="91" t="str">
        <f>IFERROR(INDEX(DATA2026!C$2:C$401,MATCH(13,DATA2026!J$2:J$401,0)),"")</f>
        <v>M (10-20h)</v>
      </c>
      <c r="H30" s="91" t="str">
        <f>IFERROR(INDEX(DATA2026!D$2:D$401,MATCH(13,DATA2026!J$2:J$401,0)),"")</f>
        <v>Strengthen</v>
      </c>
      <c r="J30" s="99" t="str">
        <f>IFERROR(INDEX(DATA2026!B$2:B$401,MATCH(13,DATA2026!K$2:K$401,0)),"")</f>
        <v>UHD | Bearbeiter ergänzen / anzeigen</v>
      </c>
      <c r="K30" s="91" t="str">
        <f>IFERROR(INDEX(DATA2026!C$2:C$401,MATCH(13,DATA2026!K$2:K$401,0)),"")</f>
        <v>L (20-40h)</v>
      </c>
      <c r="L30" s="91" t="str">
        <f>IFERROR(INDEX(DATA2026!D$2:D$401,MATCH(13,DATA2026!K$2:K$401,0)),"")</f>
        <v>Strengthen</v>
      </c>
      <c r="N30" s="99" t="str">
        <f>IFERROR(INDEX(DATA2026!B$2:B$401,MATCH(13,DATA2026!L$2:L$401,0)),"")</f>
        <v>Loyalty (3) | Couopons 2.0 NOCH NICHT GEPLANT</v>
      </c>
      <c r="O30" s="91">
        <f>IFERROR(INDEX(DATA2026!C$2:C$401,MATCH(13,DATA2026!L$2:L$401,0)),"")</f>
        <v>0</v>
      </c>
      <c r="P30" s="91" t="str">
        <f>IFERROR(INDEX(DATA2026!D$2:D$401,MATCH(13,DATA2026!L$2:L$401,0)),"")</f>
        <v>Innovation</v>
      </c>
    </row>
    <row r="31" spans="2:16" ht="24.75" customHeight="1">
      <c r="B31" s="92" t="str">
        <f>IFERROR(INDEX(DATA2026!B$2:B$401,MATCH(14,DATA2026!I$2:I$401,0)),"")</f>
        <v/>
      </c>
      <c r="C31" s="93" t="str">
        <f>IFERROR(INDEX(DATA2026!C$2:C$401,MATCH(14,DATA2026!I$2:I$401,0)),"")</f>
        <v/>
      </c>
      <c r="D31" s="93" t="str">
        <f>IFERROR(INDEX(DATA2026!D$2:D$401,MATCH(14,DATA2026!I$2:I$401,0)),"")</f>
        <v/>
      </c>
      <c r="F31" s="92" t="str">
        <f>IFERROR(INDEX(DATA2026!B$2:B$401,MATCH(14,DATA2026!J$2:J$401,0)),"")</f>
        <v>DSFinV-K: Verknüpfung von Bestellsignaturen</v>
      </c>
      <c r="G31" s="93" t="str">
        <f>IFERROR(INDEX(DATA2026!C$2:C$401,MATCH(14,DATA2026!J$2:J$401,0)),"")</f>
        <v>L (20-40h)</v>
      </c>
      <c r="H31" s="93" t="str">
        <f>IFERROR(INDEX(DATA2026!D$2:D$401,MATCH(14,DATA2026!J$2:J$401,0)),"")</f>
        <v>Strengthen</v>
      </c>
      <c r="J31" s="98" t="str">
        <f>IFERROR(INDEX(DATA2026!B$2:B$401,MATCH(14,DATA2026!K$2:K$401,0)),"")</f>
        <v xml:space="preserve">UHD | S, M, L im UH sichtbar/Filterbar. (Kritisch, Wichtig und Normal -&gt; sichtbar) </v>
      </c>
      <c r="K31" s="93" t="str">
        <f>IFERROR(INDEX(DATA2026!C$2:C$401,MATCH(14,DATA2026!K$2:K$401,0)),"")</f>
        <v>L (20-40h)</v>
      </c>
      <c r="L31" s="93" t="str">
        <f>IFERROR(INDEX(DATA2026!D$2:D$401,MATCH(14,DATA2026!K$2:K$401,0)),"")</f>
        <v>Strengthen</v>
      </c>
      <c r="N31" s="98" t="str">
        <f>IFERROR(INDEX(DATA2026!B$2:B$401,MATCH(14,DATA2026!L$2:L$401,0)),"")</f>
        <v>Data Warehouse</v>
      </c>
      <c r="O31" s="93">
        <f>IFERROR(INDEX(DATA2026!C$2:C$401,MATCH(14,DATA2026!L$2:L$401,0)),"")</f>
        <v>0</v>
      </c>
      <c r="P31" s="93" t="str">
        <f>IFERROR(INDEX(DATA2026!D$2:D$401,MATCH(14,DATA2026!L$2:L$401,0)),"")</f>
        <v>Strengthen</v>
      </c>
    </row>
    <row r="32" spans="2:16" ht="24.75" customHeight="1">
      <c r="B32" s="90" t="str">
        <f>IFERROR(INDEX(DATA2026!B$2:B$401,MATCH(15,DATA2026!I$2:I$401,0)),"")</f>
        <v/>
      </c>
      <c r="C32" s="91" t="str">
        <f>IFERROR(INDEX(DATA2026!C$2:C$401,MATCH(15,DATA2026!I$2:I$401,0)),"")</f>
        <v/>
      </c>
      <c r="D32" s="91" t="str">
        <f>IFERROR(INDEX(DATA2026!D$2:D$401,MATCH(15,DATA2026!I$2:I$401,0)),"")</f>
        <v/>
      </c>
      <c r="F32" s="90" t="str">
        <f>IFERROR(INDEX(DATA2026!B$2:B$401,MATCH(15,DATA2026!J$2:J$401,0)),"")</f>
        <v/>
      </c>
      <c r="G32" s="91" t="str">
        <f>IFERROR(INDEX(DATA2026!C$2:C$401,MATCH(15,DATA2026!J$2:J$401,0)),"")</f>
        <v/>
      </c>
      <c r="H32" s="91" t="str">
        <f>IFERROR(INDEX(DATA2026!D$2:D$401,MATCH(15,DATA2026!J$2:J$401,0)),"")</f>
        <v/>
      </c>
      <c r="J32" s="99" t="str">
        <f>IFERROR(INDEX(DATA2026!B$2:B$401,MATCH(15,DATA2026!K$2:K$401,0)),"")</f>
        <v>Loaylty | Bonussystem 2.0</v>
      </c>
      <c r="K32" s="91" t="str">
        <f>IFERROR(INDEX(DATA2026!C$2:C$401,MATCH(15,DATA2026!K$2:K$401,0)),"")</f>
        <v>XXL (&gt;160h)</v>
      </c>
      <c r="L32" s="91" t="str">
        <f>IFERROR(INDEX(DATA2026!D$2:D$401,MATCH(15,DATA2026!K$2:K$401,0)),"")</f>
        <v>Innovation</v>
      </c>
      <c r="N32" s="99" t="str">
        <f>IFERROR(INDEX(DATA2026!B$2:B$401,MATCH(15,DATA2026!L$2:L$401,0)),"")</f>
        <v>Paypal V2</v>
      </c>
      <c r="O32" s="91">
        <f>IFERROR(INDEX(DATA2026!C$2:C$401,MATCH(15,DATA2026!L$2:L$401,0)),"")</f>
        <v>0</v>
      </c>
      <c r="P32" s="91" t="str">
        <f>IFERROR(INDEX(DATA2026!D$2:D$401,MATCH(15,DATA2026!L$2:L$401,0)),"")</f>
        <v>Strengthen</v>
      </c>
    </row>
    <row r="33" spans="2:16" ht="24.75" customHeight="1">
      <c r="B33" s="92" t="str">
        <f>IFERROR(INDEX(DATA2026!B$2:B$401,MATCH(16,DATA2026!I$2:I$401,0)),"")</f>
        <v/>
      </c>
      <c r="C33" s="93" t="str">
        <f>IFERROR(INDEX(DATA2026!C$2:C$401,MATCH(16,DATA2026!I$2:I$401,0)),"")</f>
        <v/>
      </c>
      <c r="D33" s="93" t="str">
        <f>IFERROR(INDEX(DATA2026!D$2:D$401,MATCH(16,DATA2026!I$2:I$401,0)),"")</f>
        <v/>
      </c>
      <c r="F33" s="92" t="str">
        <f>IFERROR(INDEX(DATA2026!B$2:B$401,MATCH(16,DATA2026!J$2:J$401,0)),"")</f>
        <v/>
      </c>
      <c r="G33" s="93" t="str">
        <f>IFERROR(INDEX(DATA2026!C$2:C$401,MATCH(16,DATA2026!J$2:J$401,0)),"")</f>
        <v/>
      </c>
      <c r="H33" s="93" t="str">
        <f>IFERROR(INDEX(DATA2026!D$2:D$401,MATCH(16,DATA2026!J$2:J$401,0)),"")</f>
        <v/>
      </c>
      <c r="J33" s="98" t="str">
        <f>IFERROR(INDEX(DATA2026!B$2:B$401,MATCH(16,DATA2026!K$2:K$401,0)),"")</f>
        <v>Wallet-Anbindung iOS &amp; Android | Web Gutscheine und Tickets</v>
      </c>
      <c r="K33" s="93" t="str">
        <f>IFERROR(INDEX(DATA2026!C$2:C$401,MATCH(16,DATA2026!K$2:K$401,0)),"")</f>
        <v>XL (&gt;40h)</v>
      </c>
      <c r="L33" s="93" t="str">
        <f>IFERROR(INDEX(DATA2026!D$2:D$401,MATCH(16,DATA2026!K$2:K$401,0)),"")</f>
        <v>Innovation</v>
      </c>
      <c r="N33" s="98" t="str">
        <f>IFERROR(INDEX(DATA2026!B$2:B$401,MATCH(16,DATA2026!L$2:L$401,0)),"")</f>
        <v>App-Systemstart beschleunigen / Code aktualisieren</v>
      </c>
      <c r="O33" s="93">
        <f>IFERROR(INDEX(DATA2026!C$2:C$401,MATCH(16,DATA2026!L$2:L$401,0)),"")</f>
        <v>0</v>
      </c>
      <c r="P33" s="93" t="str">
        <f>IFERROR(INDEX(DATA2026!D$2:D$401,MATCH(16,DATA2026!L$2:L$401,0)),"")</f>
        <v>Strengthen</v>
      </c>
    </row>
    <row r="34" spans="2:16" ht="24.75" customHeight="1">
      <c r="B34" s="90" t="str">
        <f>IFERROR(INDEX(DATA2026!B$2:B$401,MATCH(17,DATA2026!I$2:I$401,0)),"")</f>
        <v/>
      </c>
      <c r="C34" s="91" t="str">
        <f>IFERROR(INDEX(DATA2026!C$2:C$401,MATCH(17,DATA2026!I$2:I$401,0)),"")</f>
        <v/>
      </c>
      <c r="D34" s="91" t="str">
        <f>IFERROR(INDEX(DATA2026!D$2:D$401,MATCH(17,DATA2026!I$2:I$401,0)),"")</f>
        <v/>
      </c>
      <c r="F34" s="90" t="str">
        <f>IFERROR(INDEX(DATA2026!B$2:B$401,MATCH(17,DATA2026!J$2:J$401,0)),"")</f>
        <v/>
      </c>
      <c r="G34" s="91" t="str">
        <f>IFERROR(INDEX(DATA2026!C$2:C$401,MATCH(17,DATA2026!J$2:J$401,0)),"")</f>
        <v/>
      </c>
      <c r="H34" s="91" t="str">
        <f>IFERROR(INDEX(DATA2026!D$2:D$401,MATCH(17,DATA2026!J$2:J$401,0)),"")</f>
        <v/>
      </c>
      <c r="J34" s="99" t="str">
        <f>IFERROR(INDEX(DATA2026!B$2:B$401,MATCH(17,DATA2026!K$2:K$401,0)),"")</f>
        <v>API | Externer Kundenstamm</v>
      </c>
      <c r="K34" s="91" t="str">
        <f>IFERROR(INDEX(DATA2026!C$2:C$401,MATCH(17,DATA2026!K$2:K$401,0)),"")</f>
        <v>L (20-40h)</v>
      </c>
      <c r="L34" s="91" t="str">
        <f>IFERROR(INDEX(DATA2026!D$2:D$401,MATCH(17,DATA2026!K$2:K$401,0)),"")</f>
        <v>Strengthen</v>
      </c>
      <c r="N34" s="99" t="str">
        <f>IFERROR(INDEX(DATA2026!B$2:B$401,MATCH(17,DATA2026!L$2:L$401,0)),"")</f>
        <v>SIG - WAWI - Schnittstelle (Foodnotify / Apicbase) -&gt; CDS &amp; Vapiano</v>
      </c>
      <c r="O34" s="91">
        <f>IFERROR(INDEX(DATA2026!C$2:C$401,MATCH(17,DATA2026!L$2:L$401,0)),"")</f>
        <v>0</v>
      </c>
      <c r="P34" s="91" t="str">
        <f>IFERROR(INDEX(DATA2026!D$2:D$401,MATCH(17,DATA2026!L$2:L$401,0)),"")</f>
        <v>Innovation</v>
      </c>
    </row>
    <row r="35" spans="2:16" ht="24.75" customHeight="1">
      <c r="B35" s="92" t="str">
        <f>IFERROR(INDEX(DATA2026!B$2:B$401,MATCH(18,DATA2026!I$2:I$401,0)),"")</f>
        <v/>
      </c>
      <c r="C35" s="93" t="str">
        <f>IFERROR(INDEX(DATA2026!C$2:C$401,MATCH(18,DATA2026!I$2:I$401,0)),"")</f>
        <v/>
      </c>
      <c r="D35" s="93" t="str">
        <f>IFERROR(INDEX(DATA2026!D$2:D$401,MATCH(18,DATA2026!I$2:I$401,0)),"")</f>
        <v/>
      </c>
      <c r="F35" s="92" t="str">
        <f>IFERROR(INDEX(DATA2026!B$2:B$401,MATCH(18,DATA2026!J$2:J$401,0)),"")</f>
        <v/>
      </c>
      <c r="G35" s="93" t="str">
        <f>IFERROR(INDEX(DATA2026!C$2:C$401,MATCH(18,DATA2026!J$2:J$401,0)),"")</f>
        <v/>
      </c>
      <c r="H35" s="93" t="str">
        <f>IFERROR(INDEX(DATA2026!D$2:D$401,MATCH(18,DATA2026!J$2:J$401,0)),"")</f>
        <v/>
      </c>
      <c r="J35" s="98" t="str">
        <f>IFERROR(INDEX(DATA2026!B$2:B$401,MATCH(18,DATA2026!K$2:K$401,0)),"")</f>
        <v>TWINT / Konstantin / HILTL</v>
      </c>
      <c r="K35" s="93" t="str">
        <f>IFERROR(INDEX(DATA2026!C$2:C$401,MATCH(18,DATA2026!K$2:K$401,0)),"")</f>
        <v>M (10-20h)</v>
      </c>
      <c r="L35" s="93" t="str">
        <f>IFERROR(INDEX(DATA2026!D$2:D$401,MATCH(18,DATA2026!K$2:K$401,0)),"")</f>
        <v>Repair</v>
      </c>
      <c r="N35" s="98" t="str">
        <f>IFERROR(INDEX(DATA2026!B$2:B$401,MATCH(18,DATA2026!L$2:L$401,0)),"")</f>
        <v>NoCOO Code am SOT mit optionalem Ausdruck / weitere Informationen müssen ergänzt werden (Superhelden, etc.) -&gt; Bewerten Q3</v>
      </c>
      <c r="O35" s="93">
        <f>IFERROR(INDEX(DATA2026!C$2:C$401,MATCH(18,DATA2026!L$2:L$401,0)),"")</f>
        <v>0</v>
      </c>
      <c r="P35" s="93" t="str">
        <f>IFERROR(INDEX(DATA2026!D$2:D$401,MATCH(18,DATA2026!L$2:L$401,0)),"")</f>
        <v>Strengthen</v>
      </c>
    </row>
    <row r="36" spans="2:16" ht="24.75" customHeight="1">
      <c r="B36" s="90" t="str">
        <f>IFERROR(INDEX(DATA2026!B$2:B$401,MATCH(19,DATA2026!I$2:I$401,0)),"")</f>
        <v/>
      </c>
      <c r="C36" s="91" t="str">
        <f>IFERROR(INDEX(DATA2026!C$2:C$401,MATCH(19,DATA2026!I$2:I$401,0)),"")</f>
        <v/>
      </c>
      <c r="D36" s="91" t="str">
        <f>IFERROR(INDEX(DATA2026!D$2:D$401,MATCH(19,DATA2026!I$2:I$401,0)),"")</f>
        <v/>
      </c>
      <c r="F36" s="90" t="str">
        <f>IFERROR(INDEX(DATA2026!B$2:B$401,MATCH(19,DATA2026!J$2:J$401,0)),"")</f>
        <v/>
      </c>
      <c r="G36" s="91" t="str">
        <f>IFERROR(INDEX(DATA2026!C$2:C$401,MATCH(19,DATA2026!J$2:J$401,0)),"")</f>
        <v/>
      </c>
      <c r="H36" s="91" t="str">
        <f>IFERROR(INDEX(DATA2026!D$2:D$401,MATCH(19,DATA2026!J$2:J$401,0)),"")</f>
        <v/>
      </c>
      <c r="J36" s="99" t="str">
        <f>IFERROR(INDEX(DATA2026!B$2:B$401,MATCH(19,DATA2026!K$2:K$401,0)),"")</f>
        <v>OpenTable API</v>
      </c>
      <c r="K36" s="91" t="str">
        <f>IFERROR(INDEX(DATA2026!C$2:C$401,MATCH(19,DATA2026!K$2:K$401,0)),"")</f>
        <v>M (10-20h)</v>
      </c>
      <c r="L36" s="91" t="str">
        <f>IFERROR(INDEX(DATA2026!D$2:D$401,MATCH(19,DATA2026!K$2:K$401,0)),"")</f>
        <v>Innovation</v>
      </c>
      <c r="N36" s="99" t="str">
        <f>IFERROR(INDEX(DATA2026!B$2:B$401,MATCH(19,DATA2026!L$2:L$401,0)),"")</f>
        <v>Borland Code Migrieren in Visual Studio - bis Q4 muss das umgesetzt werden</v>
      </c>
      <c r="O36" s="91">
        <f>IFERROR(INDEX(DATA2026!C$2:C$401,MATCH(19,DATA2026!L$2:L$401,0)),"")</f>
        <v>0</v>
      </c>
      <c r="P36" s="91" t="str">
        <f>IFERROR(INDEX(DATA2026!D$2:D$401,MATCH(19,DATA2026!L$2:L$401,0)),"")</f>
        <v>Strengthen</v>
      </c>
    </row>
    <row r="37" spans="2:16" ht="24.75" customHeight="1">
      <c r="B37" s="92" t="str">
        <f>IFERROR(INDEX(DATA2026!B$2:B$401,MATCH(20,DATA2026!I$2:I$401,0)),"")</f>
        <v/>
      </c>
      <c r="C37" s="93" t="str">
        <f>IFERROR(INDEX(DATA2026!C$2:C$401,MATCH(20,DATA2026!I$2:I$401,0)),"")</f>
        <v/>
      </c>
      <c r="D37" s="93" t="str">
        <f>IFERROR(INDEX(DATA2026!D$2:D$401,MATCH(20,DATA2026!I$2:I$401,0)),"")</f>
        <v/>
      </c>
      <c r="F37" s="92" t="str">
        <f>IFERROR(INDEX(DATA2026!B$2:B$401,MATCH(20,DATA2026!J$2:J$401,0)),"")</f>
        <v/>
      </c>
      <c r="G37" s="93" t="str">
        <f>IFERROR(INDEX(DATA2026!C$2:C$401,MATCH(20,DATA2026!J$2:J$401,0)),"")</f>
        <v/>
      </c>
      <c r="H37" s="93" t="str">
        <f>IFERROR(INDEX(DATA2026!D$2:D$401,MATCH(20,DATA2026!J$2:J$401,0)),"")</f>
        <v/>
      </c>
      <c r="J37" s="98" t="str">
        <f>IFERROR(INDEX(DATA2026!B$2:B$401,MATCH(20,DATA2026!K$2:K$401,0)),"")</f>
        <v>UHD | Incident Feedback an Kunde</v>
      </c>
      <c r="K37" s="93" t="str">
        <f>IFERROR(INDEX(DATA2026!C$2:C$401,MATCH(20,DATA2026!K$2:K$401,0)),"")</f>
        <v>L (20-40h)</v>
      </c>
      <c r="L37" s="93" t="str">
        <f>IFERROR(INDEX(DATA2026!D$2:D$401,MATCH(20,DATA2026!K$2:K$401,0)),"")</f>
        <v>Strengthen</v>
      </c>
      <c r="N37" s="98" t="str">
        <f>IFERROR(INDEX(DATA2026!B$2:B$401,MATCH(20,DATA2026!L$2:L$401,0)),"")</f>
        <v>64 Bit Konvertierung</v>
      </c>
      <c r="O37" s="93">
        <f>IFERROR(INDEX(DATA2026!C$2:C$401,MATCH(20,DATA2026!L$2:L$401,0)),"")</f>
        <v>0</v>
      </c>
      <c r="P37" s="93" t="str">
        <f>IFERROR(INDEX(DATA2026!D$2:D$401,MATCH(20,DATA2026!L$2:L$401,0)),"")</f>
        <v>Strengthen</v>
      </c>
    </row>
    <row r="38" spans="2:16" ht="24.75" customHeight="1">
      <c r="B38" s="90" t="str">
        <f>IFERROR(INDEX(DATA2026!B$2:B$401,MATCH(21,DATA2026!I$2:I$401,0)),"")</f>
        <v/>
      </c>
      <c r="C38" s="91" t="str">
        <f>IFERROR(INDEX(DATA2026!C$2:C$401,MATCH(21,DATA2026!I$2:I$401,0)),"")</f>
        <v/>
      </c>
      <c r="D38" s="91" t="str">
        <f>IFERROR(INDEX(DATA2026!D$2:D$401,MATCH(21,DATA2026!I$2:I$401,0)),"")</f>
        <v/>
      </c>
      <c r="F38" s="90" t="str">
        <f>IFERROR(INDEX(DATA2026!B$2:B$401,MATCH(21,DATA2026!J$2:J$401,0)),"")</f>
        <v/>
      </c>
      <c r="G38" s="91" t="str">
        <f>IFERROR(INDEX(DATA2026!C$2:C$401,MATCH(21,DATA2026!J$2:J$401,0)),"")</f>
        <v/>
      </c>
      <c r="H38" s="91" t="str">
        <f>IFERROR(INDEX(DATA2026!D$2:D$401,MATCH(21,DATA2026!J$2:J$401,0)),"")</f>
        <v/>
      </c>
      <c r="J38" s="99" t="str">
        <f>IFERROR(INDEX(DATA2026!B$2:B$401,MATCH(21,DATA2026!K$2:K$401,0)),"")</f>
        <v>HeyRosi -&gt; API</v>
      </c>
      <c r="K38" s="91" t="str">
        <f>IFERROR(INDEX(DATA2026!C$2:C$401,MATCH(21,DATA2026!K$2:K$401,0)),"")</f>
        <v>M (10-20h)</v>
      </c>
      <c r="L38" s="91" t="str">
        <f>IFERROR(INDEX(DATA2026!D$2:D$401,MATCH(21,DATA2026!K$2:K$401,0)),"")</f>
        <v>Innovation</v>
      </c>
      <c r="N38" s="99" t="str">
        <f>IFERROR(INDEX(DATA2026!B$2:B$401,MATCH(21,DATA2026!L$2:L$401,0)),"")</f>
        <v>Webshop und erweiterte Zeitsteuerung (Artikel nicht verfügbar, bei Bestellung morgens für Mittags) -&gt; CDS</v>
      </c>
      <c r="O38" s="91">
        <f>IFERROR(INDEX(DATA2026!C$2:C$401,MATCH(21,DATA2026!L$2:L$401,0)),"")</f>
        <v>0</v>
      </c>
      <c r="P38" s="91" t="str">
        <f>IFERROR(INDEX(DATA2026!D$2:D$401,MATCH(21,DATA2026!L$2:L$401,0)),"")</f>
        <v>Strengthen</v>
      </c>
    </row>
    <row r="39" spans="2:16" ht="24.75" customHeight="1">
      <c r="B39" s="92" t="str">
        <f>IFERROR(INDEX(DATA2026!B$2:B$401,MATCH(22,DATA2026!I$2:I$401,0)),"")</f>
        <v/>
      </c>
      <c r="C39" s="93" t="str">
        <f>IFERROR(INDEX(DATA2026!C$2:C$401,MATCH(22,DATA2026!I$2:I$401,0)),"")</f>
        <v/>
      </c>
      <c r="D39" s="93" t="str">
        <f>IFERROR(INDEX(DATA2026!D$2:D$401,MATCH(22,DATA2026!I$2:I$401,0)),"")</f>
        <v/>
      </c>
      <c r="F39" s="92" t="str">
        <f>IFERROR(INDEX(DATA2026!B$2:B$401,MATCH(22,DATA2026!J$2:J$401,0)),"")</f>
        <v/>
      </c>
      <c r="G39" s="93" t="str">
        <f>IFERROR(INDEX(DATA2026!C$2:C$401,MATCH(22,DATA2026!J$2:J$401,0)),"")</f>
        <v/>
      </c>
      <c r="H39" s="93" t="str">
        <f>IFERROR(INDEX(DATA2026!D$2:D$401,MATCH(22,DATA2026!J$2:J$401,0)),"")</f>
        <v/>
      </c>
      <c r="J39" s="98" t="str">
        <f>IFERROR(INDEX(DATA2026!B$2:B$401,MATCH(22,DATA2026!K$2:K$401,0)),"")</f>
        <v>Landingpage zur Registrierung</v>
      </c>
      <c r="K39" s="93" t="str">
        <f>IFERROR(INDEX(DATA2026!C$2:C$401,MATCH(22,DATA2026!K$2:K$401,0)),"")</f>
        <v>M (10-20h)</v>
      </c>
      <c r="L39" s="93" t="str">
        <f>IFERROR(INDEX(DATA2026!D$2:D$401,MATCH(22,DATA2026!K$2:K$401,0)),"")</f>
        <v>Strengthen</v>
      </c>
      <c r="N39" s="98" t="str">
        <f>IFERROR(INDEX(DATA2026!B$2:B$401,MATCH(22,DATA2026!L$2:L$401,0)),"")</f>
        <v>Digital Signage (Api)</v>
      </c>
      <c r="O39" s="93">
        <f>IFERROR(INDEX(DATA2026!C$2:C$401,MATCH(22,DATA2026!L$2:L$401,0)),"")</f>
        <v>0</v>
      </c>
      <c r="P39" s="93" t="str">
        <f>IFERROR(INDEX(DATA2026!D$2:D$401,MATCH(22,DATA2026!L$2:L$401,0)),"")</f>
        <v>Innovation</v>
      </c>
    </row>
    <row r="40" spans="2:16" ht="24.75" customHeight="1">
      <c r="B40" s="90" t="str">
        <f>IFERROR(INDEX(DATA2026!B$2:B$401,MATCH(23,DATA2026!I$2:I$401,0)),"")</f>
        <v/>
      </c>
      <c r="C40" s="91" t="str">
        <f>IFERROR(INDEX(DATA2026!C$2:C$401,MATCH(23,DATA2026!I$2:I$401,0)),"")</f>
        <v/>
      </c>
      <c r="D40" s="91" t="str">
        <f>IFERROR(INDEX(DATA2026!D$2:D$401,MATCH(23,DATA2026!I$2:I$401,0)),"")</f>
        <v/>
      </c>
      <c r="F40" s="90" t="str">
        <f>IFERROR(INDEX(DATA2026!B$2:B$401,MATCH(23,DATA2026!J$2:J$401,0)),"")</f>
        <v/>
      </c>
      <c r="G40" s="91" t="str">
        <f>IFERROR(INDEX(DATA2026!C$2:C$401,MATCH(23,DATA2026!J$2:J$401,0)),"")</f>
        <v/>
      </c>
      <c r="H40" s="91" t="str">
        <f>IFERROR(INDEX(DATA2026!D$2:D$401,MATCH(23,DATA2026!J$2:J$401,0)),"")</f>
        <v/>
      </c>
      <c r="J40" s="99" t="str">
        <f>IFERROR(INDEX(DATA2026!B$2:B$401,MATCH(23,DATA2026!K$2:K$401,0)),"")</f>
        <v>UI / Code - Portalmodernisierung | Benutzer</v>
      </c>
      <c r="K40" s="91" t="str">
        <f>IFERROR(INDEX(DATA2026!C$2:C$401,MATCH(23,DATA2026!K$2:K$401,0)),"")</f>
        <v>XXL (&gt;160h)</v>
      </c>
      <c r="L40" s="91" t="str">
        <f>IFERROR(INDEX(DATA2026!D$2:D$401,MATCH(23,DATA2026!K$2:K$401,0)),"")</f>
        <v>Strengthen</v>
      </c>
      <c r="N40" s="99" t="str">
        <f>IFERROR(INDEX(DATA2026!B$2:B$401,MATCH(23,DATA2026!L$2:L$401,0)),"")</f>
        <v>2-Faktor-Authentifizierung / Portal</v>
      </c>
      <c r="O40" s="91">
        <f>IFERROR(INDEX(DATA2026!C$2:C$401,MATCH(23,DATA2026!L$2:L$401,0)),"")</f>
        <v>0</v>
      </c>
      <c r="P40" s="91" t="str">
        <f>IFERROR(INDEX(DATA2026!D$2:D$401,MATCH(23,DATA2026!L$2:L$401,0)),"")</f>
        <v>Strengthen</v>
      </c>
    </row>
    <row r="41" spans="2:16" ht="24.75" customHeight="1">
      <c r="B41" s="92" t="str">
        <f>IFERROR(INDEX(DATA2026!B$2:B$401,MATCH(24,DATA2026!I$2:I$401,0)),"")</f>
        <v/>
      </c>
      <c r="C41" s="93" t="str">
        <f>IFERROR(INDEX(DATA2026!C$2:C$401,MATCH(24,DATA2026!I$2:I$401,0)),"")</f>
        <v/>
      </c>
      <c r="D41" s="93" t="str">
        <f>IFERROR(INDEX(DATA2026!D$2:D$401,MATCH(24,DATA2026!I$2:I$401,0)),"")</f>
        <v/>
      </c>
      <c r="F41" s="92" t="str">
        <f>IFERROR(INDEX(DATA2026!B$2:B$401,MATCH(24,DATA2026!J$2:J$401,0)),"")</f>
        <v/>
      </c>
      <c r="G41" s="93" t="str">
        <f>IFERROR(INDEX(DATA2026!C$2:C$401,MATCH(24,DATA2026!J$2:J$401,0)),"")</f>
        <v/>
      </c>
      <c r="H41" s="93" t="str">
        <f>IFERROR(INDEX(DATA2026!D$2:D$401,MATCH(24,DATA2026!J$2:J$401,0)),"")</f>
        <v/>
      </c>
      <c r="J41" s="98" t="str">
        <f>IFERROR(INDEX(DATA2026!B$2:B$401,MATCH(24,DATA2026!K$2:K$401,0)),"")</f>
        <v>Einmal einlösbare Coupons für die YourApp</v>
      </c>
      <c r="K41" s="93" t="str">
        <f>IFERROR(INDEX(DATA2026!C$2:C$401,MATCH(24,DATA2026!K$2:K$401,0)),"")</f>
        <v>XL (&gt;40h)</v>
      </c>
      <c r="L41" s="93" t="str">
        <f>IFERROR(INDEX(DATA2026!D$2:D$401,MATCH(24,DATA2026!K$2:K$401,0)),"")</f>
        <v>Strengthen</v>
      </c>
      <c r="N41" s="98" t="str">
        <f>IFERROR(INDEX(DATA2026!B$2:B$401,MATCH(24,DATA2026!L$2:L$401,0)),"")</f>
        <v>UHD - RMA Digitalisieren</v>
      </c>
      <c r="O41" s="93">
        <f>IFERROR(INDEX(DATA2026!C$2:C$401,MATCH(24,DATA2026!L$2:L$401,0)),"")</f>
        <v>0</v>
      </c>
      <c r="P41" s="93" t="str">
        <f>IFERROR(INDEX(DATA2026!D$2:D$401,MATCH(24,DATA2026!L$2:L$401,0)),"")</f>
        <v>Strengthen</v>
      </c>
    </row>
    <row r="42" spans="2:16" ht="24.75" customHeight="1">
      <c r="B42" s="90" t="str">
        <f>IFERROR(INDEX(DATA2026!B$2:B$401,MATCH(25,DATA2026!I$2:I$401,0)),"")</f>
        <v/>
      </c>
      <c r="C42" s="91" t="str">
        <f>IFERROR(INDEX(DATA2026!C$2:C$401,MATCH(25,DATA2026!I$2:I$401,0)),"")</f>
        <v/>
      </c>
      <c r="D42" s="91" t="str">
        <f>IFERROR(INDEX(DATA2026!D$2:D$401,MATCH(25,DATA2026!I$2:I$401,0)),"")</f>
        <v/>
      </c>
      <c r="F42" s="90" t="str">
        <f>IFERROR(INDEX(DATA2026!B$2:B$401,MATCH(25,DATA2026!J$2:J$401,0)),"")</f>
        <v/>
      </c>
      <c r="G42" s="91" t="str">
        <f>IFERROR(INDEX(DATA2026!C$2:C$401,MATCH(25,DATA2026!J$2:J$401,0)),"")</f>
        <v/>
      </c>
      <c r="H42" s="91" t="str">
        <f>IFERROR(INDEX(DATA2026!D$2:D$401,MATCH(25,DATA2026!J$2:J$401,0)),"")</f>
        <v/>
      </c>
      <c r="J42" s="99" t="str">
        <f>IFERROR(INDEX(DATA2026!B$2:B$401,MATCH(25,DATA2026!K$2:K$401,0)),"")</f>
        <v>KI-Prompt-Interface für den Desktop-UHD. Eventuell mittels "MCP"</v>
      </c>
      <c r="K42" s="91">
        <f>IFERROR(INDEX(DATA2026!C$2:C$401,MATCH(25,DATA2026!K$2:K$401,0)),"")</f>
        <v>0</v>
      </c>
      <c r="L42" s="91">
        <f>IFERROR(INDEX(DATA2026!D$2:D$401,MATCH(25,DATA2026!K$2:K$401,0)),"")</f>
        <v>0</v>
      </c>
      <c r="N42" s="99" t="str">
        <f>IFERROR(INDEX(DATA2026!B$2:B$401,MATCH(25,DATA2026!L$2:L$401,0)),"")</f>
        <v>MobileEntry in das ePOS mobilePRO integrieren</v>
      </c>
      <c r="O42" s="91">
        <f>IFERROR(INDEX(DATA2026!C$2:C$401,MATCH(25,DATA2026!L$2:L$401,0)),"")</f>
        <v>0</v>
      </c>
      <c r="P42" s="91">
        <f>IFERROR(INDEX(DATA2026!D$2:D$401,MATCH(25,DATA2026!L$2:L$401,0)),"")</f>
        <v>0</v>
      </c>
    </row>
    <row r="43" spans="2:16" ht="24.75" customHeight="1">
      <c r="B43" s="92" t="str">
        <f>IFERROR(INDEX(DATA2026!B$2:B$401,MATCH(26,DATA2026!I$2:I$401,0)),"")</f>
        <v/>
      </c>
      <c r="C43" s="93" t="str">
        <f>IFERROR(INDEX(DATA2026!C$2:C$401,MATCH(26,DATA2026!I$2:I$401,0)),"")</f>
        <v/>
      </c>
      <c r="D43" s="93" t="str">
        <f>IFERROR(INDEX(DATA2026!D$2:D$401,MATCH(26,DATA2026!I$2:I$401,0)),"")</f>
        <v/>
      </c>
      <c r="F43" s="92" t="str">
        <f>IFERROR(INDEX(DATA2026!B$2:B$401,MATCH(26,DATA2026!J$2:J$401,0)),"")</f>
        <v/>
      </c>
      <c r="G43" s="93" t="str">
        <f>IFERROR(INDEX(DATA2026!C$2:C$401,MATCH(26,DATA2026!J$2:J$401,0)),"")</f>
        <v/>
      </c>
      <c r="H43" s="93" t="str">
        <f>IFERROR(INDEX(DATA2026!D$2:D$401,MATCH(26,DATA2026!J$2:J$401,0)),"")</f>
        <v/>
      </c>
      <c r="J43" s="98" t="str">
        <f>IFERROR(INDEX(DATA2026!B$2:B$401,MATCH(26,DATA2026!K$2:K$401,0)),"")</f>
        <v>Touchpoint-Lizensierung</v>
      </c>
      <c r="K43" s="93">
        <f>IFERROR(INDEX(DATA2026!C$2:C$401,MATCH(26,DATA2026!K$2:K$401,0)),"")</f>
        <v>0</v>
      </c>
      <c r="L43" s="93">
        <f>IFERROR(INDEX(DATA2026!D$2:D$401,MATCH(26,DATA2026!K$2:K$401,0)),"")</f>
        <v>0</v>
      </c>
      <c r="N43" s="98" t="str">
        <f>IFERROR(INDEX(DATA2026!B$2:B$401,MATCH(26,DATA2026!L$2:L$401,0)),"")</f>
        <v>Andorid Anforderungen</v>
      </c>
      <c r="O43" s="93">
        <f>IFERROR(INDEX(DATA2026!C$2:C$401,MATCH(26,DATA2026!L$2:L$401,0)),"")</f>
        <v>0</v>
      </c>
      <c r="P43" s="93">
        <f>IFERROR(INDEX(DATA2026!D$2:D$401,MATCH(26,DATA2026!L$2:L$401,0)),"")</f>
        <v>0</v>
      </c>
    </row>
    <row r="44" spans="2:16" ht="24.75" customHeight="1">
      <c r="B44" s="90" t="str">
        <f>IFERROR(INDEX(DATA2026!B$2:B$401,MATCH(27,DATA2026!I$2:I$401,0)),"")</f>
        <v/>
      </c>
      <c r="C44" s="91" t="str">
        <f>IFERROR(INDEX(DATA2026!C$2:C$401,MATCH(27,DATA2026!I$2:I$401,0)),"")</f>
        <v/>
      </c>
      <c r="D44" s="91" t="str">
        <f>IFERROR(INDEX(DATA2026!D$2:D$401,MATCH(27,DATA2026!I$2:I$401,0)),"")</f>
        <v/>
      </c>
      <c r="F44" s="90" t="str">
        <f>IFERROR(INDEX(DATA2026!B$2:B$401,MATCH(27,DATA2026!J$2:J$401,0)),"")</f>
        <v/>
      </c>
      <c r="G44" s="91" t="str">
        <f>IFERROR(INDEX(DATA2026!C$2:C$401,MATCH(27,DATA2026!J$2:J$401,0)),"")</f>
        <v/>
      </c>
      <c r="H44" s="91" t="str">
        <f>IFERROR(INDEX(DATA2026!D$2:D$401,MATCH(27,DATA2026!J$2:J$401,0)),"")</f>
        <v/>
      </c>
      <c r="J44" s="99" t="str">
        <f>IFERROR(INDEX(DATA2026!B$2:B$401,MATCH(27,DATA2026!K$2:K$401,0)),"")</f>
        <v/>
      </c>
      <c r="K44" s="91" t="str">
        <f>IFERROR(INDEX(DATA2026!C$2:C$401,MATCH(27,DATA2026!K$2:K$401,0)),"")</f>
        <v/>
      </c>
      <c r="L44" s="91" t="str">
        <f>IFERROR(INDEX(DATA2026!D$2:D$401,MATCH(27,DATA2026!K$2:K$401,0)),"")</f>
        <v/>
      </c>
      <c r="N44" s="99" t="str">
        <f>IFERROR(INDEX(DATA2026!B$2:B$401,MATCH(27,DATA2026!L$2:L$401,0)),"")</f>
        <v>Widerruf im Onlineshop (Pflicht ab 19.06.2026)</v>
      </c>
      <c r="O44" s="91">
        <f>IFERROR(INDEX(DATA2026!C$2:C$401,MATCH(27,DATA2026!L$2:L$401,0)),"")</f>
        <v>0</v>
      </c>
      <c r="P44" s="91">
        <f>IFERROR(INDEX(DATA2026!D$2:D$401,MATCH(27,DATA2026!L$2:L$401,0)),"")</f>
        <v>0</v>
      </c>
    </row>
    <row r="45" spans="2:16" ht="24.75" customHeight="1">
      <c r="B45" s="92" t="str">
        <f>IFERROR(INDEX(DATA2026!B$2:B$401,MATCH(28,DATA2026!I$2:I$401,0)),"")</f>
        <v/>
      </c>
      <c r="C45" s="93" t="str">
        <f>IFERROR(INDEX(DATA2026!C$2:C$401,MATCH(28,DATA2026!I$2:I$401,0)),"")</f>
        <v/>
      </c>
      <c r="D45" s="93" t="str">
        <f>IFERROR(INDEX(DATA2026!D$2:D$401,MATCH(28,DATA2026!I$2:I$401,0)),"")</f>
        <v/>
      </c>
      <c r="F45" s="92" t="str">
        <f>IFERROR(INDEX(DATA2026!B$2:B$401,MATCH(28,DATA2026!J$2:J$401,0)),"")</f>
        <v/>
      </c>
      <c r="G45" s="93" t="str">
        <f>IFERROR(INDEX(DATA2026!C$2:C$401,MATCH(28,DATA2026!J$2:J$401,0)),"")</f>
        <v/>
      </c>
      <c r="H45" s="93" t="str">
        <f>IFERROR(INDEX(DATA2026!D$2:D$401,MATCH(28,DATA2026!J$2:J$401,0)),"")</f>
        <v/>
      </c>
      <c r="J45" s="98" t="str">
        <f>IFERROR(INDEX(DATA2026!B$2:B$401,MATCH(28,DATA2026!K$2:K$401,0)),"")</f>
        <v/>
      </c>
      <c r="K45" s="93" t="str">
        <f>IFERROR(INDEX(DATA2026!C$2:C$401,MATCH(28,DATA2026!K$2:K$401,0)),"")</f>
        <v/>
      </c>
      <c r="L45" s="93" t="str">
        <f>IFERROR(INDEX(DATA2026!D$2:D$401,MATCH(28,DATA2026!K$2:K$401,0)),"")</f>
        <v/>
      </c>
      <c r="N45" s="98" t="str">
        <f>IFERROR(INDEX(DATA2026!B$2:B$401,MATCH(28,DATA2026!L$2:L$401,0)),"")</f>
        <v/>
      </c>
      <c r="O45" s="93" t="str">
        <f>IFERROR(INDEX(DATA2026!C$2:C$401,MATCH(28,DATA2026!L$2:L$401,0)),"")</f>
        <v/>
      </c>
      <c r="P45" s="93" t="str">
        <f>IFERROR(INDEX(DATA2026!D$2:D$401,MATCH(28,DATA2026!L$2:L$401,0)),"")</f>
        <v/>
      </c>
    </row>
    <row r="46" spans="2:16" ht="24.75" customHeight="1">
      <c r="B46" s="90" t="str">
        <f>IFERROR(INDEX(DATA2026!B$2:B$401,MATCH(29,DATA2026!I$2:I$401,0)),"")</f>
        <v/>
      </c>
      <c r="C46" s="91" t="str">
        <f>IFERROR(INDEX(DATA2026!C$2:C$401,MATCH(29,DATA2026!I$2:I$401,0)),"")</f>
        <v/>
      </c>
      <c r="D46" s="91" t="str">
        <f>IFERROR(INDEX(DATA2026!D$2:D$401,MATCH(29,DATA2026!I$2:I$401,0)),"")</f>
        <v/>
      </c>
      <c r="F46" s="90" t="str">
        <f>IFERROR(INDEX(DATA2026!B$2:B$401,MATCH(29,DATA2026!J$2:J$401,0)),"")</f>
        <v/>
      </c>
      <c r="G46" s="91" t="str">
        <f>IFERROR(INDEX(DATA2026!C$2:C$401,MATCH(29,DATA2026!J$2:J$401,0)),"")</f>
        <v/>
      </c>
      <c r="H46" s="91" t="str">
        <f>IFERROR(INDEX(DATA2026!D$2:D$401,MATCH(29,DATA2026!J$2:J$401,0)),"")</f>
        <v/>
      </c>
      <c r="J46" s="99" t="str">
        <f>IFERROR(INDEX(DATA2026!B$2:B$401,MATCH(29,DATA2026!K$2:K$401,0)),"")</f>
        <v/>
      </c>
      <c r="K46" s="91" t="str">
        <f>IFERROR(INDEX(DATA2026!C$2:C$401,MATCH(29,DATA2026!K$2:K$401,0)),"")</f>
        <v/>
      </c>
      <c r="L46" s="91" t="str">
        <f>IFERROR(INDEX(DATA2026!D$2:D$401,MATCH(29,DATA2026!K$2:K$401,0)),"")</f>
        <v/>
      </c>
      <c r="N46" s="99" t="str">
        <f>IFERROR(INDEX(DATA2026!B$2:B$401,MATCH(29,DATA2026!L$2:L$401,0)),"")</f>
        <v/>
      </c>
      <c r="O46" s="91" t="str">
        <f>IFERROR(INDEX(DATA2026!C$2:C$401,MATCH(29,DATA2026!L$2:L$401,0)),"")</f>
        <v/>
      </c>
      <c r="P46" s="91" t="str">
        <f>IFERROR(INDEX(DATA2026!D$2:D$401,MATCH(29,DATA2026!L$2:L$401,0)),"")</f>
        <v/>
      </c>
    </row>
    <row r="47" spans="2:16" ht="24.75" customHeight="1">
      <c r="B47" s="92" t="str">
        <f>IFERROR(INDEX(DATA2026!B$2:B$401,MATCH(30,DATA2026!I$2:I$401,0)),"")</f>
        <v/>
      </c>
      <c r="C47" s="93" t="str">
        <f>IFERROR(INDEX(DATA2026!C$2:C$401,MATCH(30,DATA2026!I$2:I$401,0)),"")</f>
        <v/>
      </c>
      <c r="D47" s="93" t="str">
        <f>IFERROR(INDEX(DATA2026!D$2:D$401,MATCH(30,DATA2026!I$2:I$401,0)),"")</f>
        <v/>
      </c>
      <c r="F47" s="92" t="str">
        <f>IFERROR(INDEX(DATA2026!B$2:B$401,MATCH(30,DATA2026!J$2:J$401,0)),"")</f>
        <v/>
      </c>
      <c r="G47" s="93" t="str">
        <f>IFERROR(INDEX(DATA2026!C$2:C$401,MATCH(30,DATA2026!J$2:J$401,0)),"")</f>
        <v/>
      </c>
      <c r="H47" s="93" t="str">
        <f>IFERROR(INDEX(DATA2026!D$2:D$401,MATCH(30,DATA2026!J$2:J$401,0)),"")</f>
        <v/>
      </c>
      <c r="J47" s="98" t="str">
        <f>IFERROR(INDEX(DATA2026!B$2:B$401,MATCH(30,DATA2026!K$2:K$401,0)),"")</f>
        <v/>
      </c>
      <c r="K47" s="93" t="str">
        <f>IFERROR(INDEX(DATA2026!C$2:C$401,MATCH(30,DATA2026!K$2:K$401,0)),"")</f>
        <v/>
      </c>
      <c r="L47" s="93" t="str">
        <f>IFERROR(INDEX(DATA2026!D$2:D$401,MATCH(30,DATA2026!K$2:K$401,0)),"")</f>
        <v/>
      </c>
      <c r="N47" s="98" t="str">
        <f>IFERROR(INDEX(DATA2026!B$2:B$401,MATCH(30,DATA2026!L$2:L$401,0)),"")</f>
        <v/>
      </c>
      <c r="O47" s="93" t="str">
        <f>IFERROR(INDEX(DATA2026!C$2:C$401,MATCH(30,DATA2026!L$2:L$401,0)),"")</f>
        <v/>
      </c>
      <c r="P47" s="93" t="str">
        <f>IFERROR(INDEX(DATA2026!D$2:D$401,MATCH(30,DATA2026!L$2:L$401,0)),"")</f>
        <v/>
      </c>
    </row>
    <row r="48" spans="2:16" ht="24.75" customHeight="1">
      <c r="B48" s="90" t="str">
        <f>IFERROR(INDEX(DATA2026!B$2:B$401,MATCH(31,DATA2026!I$2:I$401,0)),"")</f>
        <v/>
      </c>
      <c r="C48" s="91" t="str">
        <f>IFERROR(INDEX(DATA2026!C$2:C$401,MATCH(31,DATA2026!I$2:I$401,0)),"")</f>
        <v/>
      </c>
      <c r="D48" s="91" t="str">
        <f>IFERROR(INDEX(DATA2026!D$2:D$401,MATCH(31,DATA2026!I$2:I$401,0)),"")</f>
        <v/>
      </c>
      <c r="F48" s="90" t="str">
        <f>IFERROR(INDEX(DATA2026!B$2:B$401,MATCH(31,DATA2026!J$2:J$401,0)),"")</f>
        <v/>
      </c>
      <c r="G48" s="91" t="str">
        <f>IFERROR(INDEX(DATA2026!C$2:C$401,MATCH(31,DATA2026!J$2:J$401,0)),"")</f>
        <v/>
      </c>
      <c r="H48" s="91" t="str">
        <f>IFERROR(INDEX(DATA2026!D$2:D$401,MATCH(31,DATA2026!J$2:J$401,0)),"")</f>
        <v/>
      </c>
      <c r="J48" s="99" t="str">
        <f>IFERROR(INDEX(DATA2026!B$2:B$401,MATCH(31,DATA2026!K$2:K$401,0)),"")</f>
        <v/>
      </c>
      <c r="K48" s="91" t="str">
        <f>IFERROR(INDEX(DATA2026!C$2:C$401,MATCH(31,DATA2026!K$2:K$401,0)),"")</f>
        <v/>
      </c>
      <c r="L48" s="91" t="str">
        <f>IFERROR(INDEX(DATA2026!D$2:D$401,MATCH(31,DATA2026!K$2:K$401,0)),"")</f>
        <v/>
      </c>
      <c r="N48" s="99" t="str">
        <f>IFERROR(INDEX(DATA2026!B$2:B$401,MATCH(31,DATA2026!L$2:L$401,0)),"")</f>
        <v/>
      </c>
      <c r="O48" s="91" t="str">
        <f>IFERROR(INDEX(DATA2026!C$2:C$401,MATCH(31,DATA2026!L$2:L$401,0)),"")</f>
        <v/>
      </c>
      <c r="P48" s="91" t="str">
        <f>IFERROR(INDEX(DATA2026!D$2:D$401,MATCH(31,DATA2026!L$2:L$401,0)),"")</f>
        <v/>
      </c>
    </row>
    <row r="49" spans="2:16" ht="24.75" customHeight="1">
      <c r="B49" s="92" t="str">
        <f>IFERROR(INDEX(DATA2026!B$2:B$401,MATCH(32,DATA2026!I$2:I$401,0)),"")</f>
        <v/>
      </c>
      <c r="C49" s="93" t="str">
        <f>IFERROR(INDEX(DATA2026!C$2:C$401,MATCH(32,DATA2026!I$2:I$401,0)),"")</f>
        <v/>
      </c>
      <c r="D49" s="93" t="str">
        <f>IFERROR(INDEX(DATA2026!D$2:D$401,MATCH(32,DATA2026!I$2:I$401,0)),"")</f>
        <v/>
      </c>
      <c r="F49" s="92" t="str">
        <f>IFERROR(INDEX(DATA2026!B$2:B$401,MATCH(32,DATA2026!J$2:J$401,0)),"")</f>
        <v/>
      </c>
      <c r="G49" s="93" t="str">
        <f>IFERROR(INDEX(DATA2026!C$2:C$401,MATCH(32,DATA2026!J$2:J$401,0)),"")</f>
        <v/>
      </c>
      <c r="H49" s="93" t="str">
        <f>IFERROR(INDEX(DATA2026!D$2:D$401,MATCH(32,DATA2026!J$2:J$401,0)),"")</f>
        <v/>
      </c>
      <c r="J49" s="98" t="str">
        <f>IFERROR(INDEX(DATA2026!B$2:B$401,MATCH(32,DATA2026!K$2:K$401,0)),"")</f>
        <v/>
      </c>
      <c r="K49" s="93" t="str">
        <f>IFERROR(INDEX(DATA2026!C$2:C$401,MATCH(32,DATA2026!K$2:K$401,0)),"")</f>
        <v/>
      </c>
      <c r="L49" s="93" t="str">
        <f>IFERROR(INDEX(DATA2026!D$2:D$401,MATCH(32,DATA2026!K$2:K$401,0)),"")</f>
        <v/>
      </c>
      <c r="N49" s="98" t="str">
        <f>IFERROR(INDEX(DATA2026!B$2:B$401,MATCH(32,DATA2026!L$2:L$401,0)),"")</f>
        <v/>
      </c>
      <c r="O49" s="93" t="str">
        <f>IFERROR(INDEX(DATA2026!C$2:C$401,MATCH(32,DATA2026!L$2:L$401,0)),"")</f>
        <v/>
      </c>
      <c r="P49" s="93" t="str">
        <f>IFERROR(INDEX(DATA2026!D$2:D$401,MATCH(32,DATA2026!L$2:L$401,0)),"")</f>
        <v/>
      </c>
    </row>
    <row r="50" spans="2:16" ht="24.75" customHeight="1">
      <c r="B50" s="90" t="str">
        <f>IFERROR(INDEX(DATA2026!B$2:B$401,MATCH(33,DATA2026!I$2:I$401,0)),"")</f>
        <v/>
      </c>
      <c r="C50" s="91" t="str">
        <f>IFERROR(INDEX(DATA2026!C$2:C$401,MATCH(33,DATA2026!I$2:I$401,0)),"")</f>
        <v/>
      </c>
      <c r="D50" s="91" t="str">
        <f>IFERROR(INDEX(DATA2026!D$2:D$401,MATCH(33,DATA2026!I$2:I$401,0)),"")</f>
        <v/>
      </c>
      <c r="F50" s="90" t="str">
        <f>IFERROR(INDEX(DATA2026!B$2:B$401,MATCH(33,DATA2026!J$2:J$401,0)),"")</f>
        <v/>
      </c>
      <c r="G50" s="91" t="str">
        <f>IFERROR(INDEX(DATA2026!C$2:C$401,MATCH(33,DATA2026!J$2:J$401,0)),"")</f>
        <v/>
      </c>
      <c r="H50" s="91" t="str">
        <f>IFERROR(INDEX(DATA2026!D$2:D$401,MATCH(33,DATA2026!J$2:J$401,0)),"")</f>
        <v/>
      </c>
      <c r="J50" s="99" t="str">
        <f>IFERROR(INDEX(DATA2026!B$2:B$401,MATCH(33,DATA2026!K$2:K$401,0)),"")</f>
        <v/>
      </c>
      <c r="K50" s="91" t="str">
        <f>IFERROR(INDEX(DATA2026!C$2:C$401,MATCH(33,DATA2026!K$2:K$401,0)),"")</f>
        <v/>
      </c>
      <c r="L50" s="91" t="str">
        <f>IFERROR(INDEX(DATA2026!D$2:D$401,MATCH(33,DATA2026!K$2:K$401,0)),"")</f>
        <v/>
      </c>
      <c r="N50" s="99" t="str">
        <f>IFERROR(INDEX(DATA2026!B$2:B$401,MATCH(33,DATA2026!L$2:L$401,0)),"")</f>
        <v/>
      </c>
      <c r="O50" s="91" t="str">
        <f>IFERROR(INDEX(DATA2026!C$2:C$401,MATCH(33,DATA2026!L$2:L$401,0)),"")</f>
        <v/>
      </c>
      <c r="P50" s="91" t="str">
        <f>IFERROR(INDEX(DATA2026!D$2:D$401,MATCH(33,DATA2026!L$2:L$401,0)),"")</f>
        <v/>
      </c>
    </row>
    <row r="51" spans="2:16" ht="24.75" customHeight="1">
      <c r="B51" s="92" t="str">
        <f>IFERROR(INDEX(DATA2026!B$2:B$401,MATCH(34,DATA2026!I$2:I$401,0)),"")</f>
        <v/>
      </c>
      <c r="C51" s="93" t="str">
        <f>IFERROR(INDEX(DATA2026!C$2:C$401,MATCH(34,DATA2026!I$2:I$401,0)),"")</f>
        <v/>
      </c>
      <c r="D51" s="93" t="str">
        <f>IFERROR(INDEX(DATA2026!D$2:D$401,MATCH(34,DATA2026!I$2:I$401,0)),"")</f>
        <v/>
      </c>
      <c r="F51" s="92" t="str">
        <f>IFERROR(INDEX(DATA2026!B$2:B$401,MATCH(34,DATA2026!J$2:J$401,0)),"")</f>
        <v/>
      </c>
      <c r="G51" s="93" t="str">
        <f>IFERROR(INDEX(DATA2026!C$2:C$401,MATCH(34,DATA2026!J$2:J$401,0)),"")</f>
        <v/>
      </c>
      <c r="H51" s="93" t="str">
        <f>IFERROR(INDEX(DATA2026!D$2:D$401,MATCH(34,DATA2026!J$2:J$401,0)),"")</f>
        <v/>
      </c>
      <c r="J51" s="98" t="str">
        <f>IFERROR(INDEX(DATA2026!B$2:B$401,MATCH(34,DATA2026!K$2:K$401,0)),"")</f>
        <v/>
      </c>
      <c r="K51" s="93" t="str">
        <f>IFERROR(INDEX(DATA2026!C$2:C$401,MATCH(34,DATA2026!K$2:K$401,0)),"")</f>
        <v/>
      </c>
      <c r="L51" s="93" t="str">
        <f>IFERROR(INDEX(DATA2026!D$2:D$401,MATCH(34,DATA2026!K$2:K$401,0)),"")</f>
        <v/>
      </c>
      <c r="N51" s="98" t="str">
        <f>IFERROR(INDEX(DATA2026!B$2:B$401,MATCH(34,DATA2026!L$2:L$401,0)),"")</f>
        <v/>
      </c>
      <c r="O51" s="93" t="str">
        <f>IFERROR(INDEX(DATA2026!C$2:C$401,MATCH(34,DATA2026!L$2:L$401,0)),"")</f>
        <v/>
      </c>
      <c r="P51" s="93" t="str">
        <f>IFERROR(INDEX(DATA2026!D$2:D$401,MATCH(34,DATA2026!L$2:L$401,0)),"")</f>
        <v/>
      </c>
    </row>
    <row r="52" spans="2:16" ht="24.75" customHeight="1">
      <c r="B52" s="90" t="str">
        <f>IFERROR(INDEX(DATA2026!B$2:B$401,MATCH(35,DATA2026!I$2:I$401,0)),"")</f>
        <v/>
      </c>
      <c r="C52" s="91" t="str">
        <f>IFERROR(INDEX(DATA2026!C$2:C$401,MATCH(35,DATA2026!I$2:I$401,0)),"")</f>
        <v/>
      </c>
      <c r="D52" s="91" t="str">
        <f>IFERROR(INDEX(DATA2026!D$2:D$401,MATCH(35,DATA2026!I$2:I$401,0)),"")</f>
        <v/>
      </c>
      <c r="F52" s="90" t="str">
        <f>IFERROR(INDEX(DATA2026!B$2:B$401,MATCH(35,DATA2026!J$2:J$401,0)),"")</f>
        <v/>
      </c>
      <c r="G52" s="91" t="str">
        <f>IFERROR(INDEX(DATA2026!C$2:C$401,MATCH(35,DATA2026!J$2:J$401,0)),"")</f>
        <v/>
      </c>
      <c r="H52" s="91" t="str">
        <f>IFERROR(INDEX(DATA2026!D$2:D$401,MATCH(35,DATA2026!J$2:J$401,0)),"")</f>
        <v/>
      </c>
      <c r="J52" s="99" t="str">
        <f>IFERROR(INDEX(DATA2026!B$2:B$401,MATCH(35,DATA2026!K$2:K$401,0)),"")</f>
        <v/>
      </c>
      <c r="K52" s="91" t="str">
        <f>IFERROR(INDEX(DATA2026!C$2:C$401,MATCH(35,DATA2026!K$2:K$401,0)),"")</f>
        <v/>
      </c>
      <c r="L52" s="91" t="str">
        <f>IFERROR(INDEX(DATA2026!D$2:D$401,MATCH(35,DATA2026!K$2:K$401,0)),"")</f>
        <v/>
      </c>
      <c r="N52" s="99" t="str">
        <f>IFERROR(INDEX(DATA2026!B$2:B$401,MATCH(35,DATA2026!L$2:L$401,0)),"")</f>
        <v/>
      </c>
      <c r="O52" s="91" t="str">
        <f>IFERROR(INDEX(DATA2026!C$2:C$401,MATCH(35,DATA2026!L$2:L$401,0)),"")</f>
        <v/>
      </c>
      <c r="P52" s="91" t="str">
        <f>IFERROR(INDEX(DATA2026!D$2:D$401,MATCH(35,DATA2026!L$2:L$401,0)),"")</f>
        <v/>
      </c>
    </row>
    <row r="53" spans="2:16" ht="24.75" customHeight="1">
      <c r="B53" s="92" t="str">
        <f>IFERROR(INDEX(DATA2026!B$2:B$401,MATCH(36,DATA2026!I$2:I$401,0)),"")</f>
        <v/>
      </c>
      <c r="C53" s="93" t="str">
        <f>IFERROR(INDEX(DATA2026!C$2:C$401,MATCH(36,DATA2026!I$2:I$401,0)),"")</f>
        <v/>
      </c>
      <c r="D53" s="93" t="str">
        <f>IFERROR(INDEX(DATA2026!D$2:D$401,MATCH(36,DATA2026!I$2:I$401,0)),"")</f>
        <v/>
      </c>
      <c r="F53" s="92" t="str">
        <f>IFERROR(INDEX(DATA2026!B$2:B$401,MATCH(36,DATA2026!J$2:J$401,0)),"")</f>
        <v/>
      </c>
      <c r="G53" s="93" t="str">
        <f>IFERROR(INDEX(DATA2026!C$2:C$401,MATCH(36,DATA2026!J$2:J$401,0)),"")</f>
        <v/>
      </c>
      <c r="H53" s="93" t="str">
        <f>IFERROR(INDEX(DATA2026!D$2:D$401,MATCH(36,DATA2026!J$2:J$401,0)),"")</f>
        <v/>
      </c>
      <c r="J53" s="98" t="str">
        <f>IFERROR(INDEX(DATA2026!B$2:B$401,MATCH(36,DATA2026!K$2:K$401,0)),"")</f>
        <v/>
      </c>
      <c r="K53" s="93" t="str">
        <f>IFERROR(INDEX(DATA2026!C$2:C$401,MATCH(36,DATA2026!K$2:K$401,0)),"")</f>
        <v/>
      </c>
      <c r="L53" s="93" t="str">
        <f>IFERROR(INDEX(DATA2026!D$2:D$401,MATCH(36,DATA2026!K$2:K$401,0)),"")</f>
        <v/>
      </c>
      <c r="N53" s="98" t="str">
        <f>IFERROR(INDEX(DATA2026!B$2:B$401,MATCH(36,DATA2026!L$2:L$401,0)),"")</f>
        <v/>
      </c>
      <c r="O53" s="93" t="str">
        <f>IFERROR(INDEX(DATA2026!C$2:C$401,MATCH(36,DATA2026!L$2:L$401,0)),"")</f>
        <v/>
      </c>
      <c r="P53" s="93" t="str">
        <f>IFERROR(INDEX(DATA2026!D$2:D$401,MATCH(36,DATA2026!L$2:L$401,0)),"")</f>
        <v/>
      </c>
    </row>
    <row r="54" spans="2:16" ht="24.75" customHeight="1">
      <c r="B54" s="90" t="str">
        <f>IFERROR(INDEX(DATA2026!B$2:B$401,MATCH(37,DATA2026!I$2:I$401,0)),"")</f>
        <v/>
      </c>
      <c r="C54" s="91" t="str">
        <f>IFERROR(INDEX(DATA2026!C$2:C$401,MATCH(37,DATA2026!I$2:I$401,0)),"")</f>
        <v/>
      </c>
      <c r="D54" s="91" t="str">
        <f>IFERROR(INDEX(DATA2026!D$2:D$401,MATCH(37,DATA2026!I$2:I$401,0)),"")</f>
        <v/>
      </c>
      <c r="F54" s="90" t="str">
        <f>IFERROR(INDEX(DATA2026!B$2:B$401,MATCH(37,DATA2026!J$2:J$401,0)),"")</f>
        <v/>
      </c>
      <c r="G54" s="91" t="str">
        <f>IFERROR(INDEX(DATA2026!C$2:C$401,MATCH(37,DATA2026!J$2:J$401,0)),"")</f>
        <v/>
      </c>
      <c r="H54" s="91" t="str">
        <f>IFERROR(INDEX(DATA2026!D$2:D$401,MATCH(37,DATA2026!J$2:J$401,0)),"")</f>
        <v/>
      </c>
      <c r="J54" s="99" t="str">
        <f>IFERROR(INDEX(DATA2026!B$2:B$401,MATCH(37,DATA2026!K$2:K$401,0)),"")</f>
        <v/>
      </c>
      <c r="K54" s="91" t="str">
        <f>IFERROR(INDEX(DATA2026!C$2:C$401,MATCH(37,DATA2026!K$2:K$401,0)),"")</f>
        <v/>
      </c>
      <c r="L54" s="91" t="str">
        <f>IFERROR(INDEX(DATA2026!D$2:D$401,MATCH(37,DATA2026!K$2:K$401,0)),"")</f>
        <v/>
      </c>
      <c r="N54" s="99" t="str">
        <f>IFERROR(INDEX(DATA2026!B$2:B$401,MATCH(37,DATA2026!L$2:L$401,0)),"")</f>
        <v/>
      </c>
      <c r="O54" s="91" t="str">
        <f>IFERROR(INDEX(DATA2026!C$2:C$401,MATCH(37,DATA2026!L$2:L$401,0)),"")</f>
        <v/>
      </c>
      <c r="P54" s="91" t="str">
        <f>IFERROR(INDEX(DATA2026!D$2:D$401,MATCH(37,DATA2026!L$2:L$401,0)),"")</f>
        <v/>
      </c>
    </row>
    <row r="55" spans="2:16" ht="24.75" customHeight="1">
      <c r="B55" s="92" t="str">
        <f>IFERROR(INDEX(DATA2026!B$2:B$401,MATCH(38,DATA2026!I$2:I$401,0)),"")</f>
        <v/>
      </c>
      <c r="C55" s="93" t="str">
        <f>IFERROR(INDEX(DATA2026!C$2:C$401,MATCH(38,DATA2026!I$2:I$401,0)),"")</f>
        <v/>
      </c>
      <c r="D55" s="93" t="str">
        <f>IFERROR(INDEX(DATA2026!D$2:D$401,MATCH(38,DATA2026!I$2:I$401,0)),"")</f>
        <v/>
      </c>
      <c r="F55" s="92" t="str">
        <f>IFERROR(INDEX(DATA2026!B$2:B$401,MATCH(38,DATA2026!J$2:J$401,0)),"")</f>
        <v/>
      </c>
      <c r="G55" s="93" t="str">
        <f>IFERROR(INDEX(DATA2026!C$2:C$401,MATCH(38,DATA2026!J$2:J$401,0)),"")</f>
        <v/>
      </c>
      <c r="H55" s="93" t="str">
        <f>IFERROR(INDEX(DATA2026!D$2:D$401,MATCH(38,DATA2026!J$2:J$401,0)),"")</f>
        <v/>
      </c>
      <c r="J55" s="98" t="str">
        <f>IFERROR(INDEX(DATA2026!B$2:B$401,MATCH(38,DATA2026!K$2:K$401,0)),"")</f>
        <v/>
      </c>
      <c r="K55" s="93" t="str">
        <f>IFERROR(INDEX(DATA2026!C$2:C$401,MATCH(38,DATA2026!K$2:K$401,0)),"")</f>
        <v/>
      </c>
      <c r="L55" s="93" t="str">
        <f>IFERROR(INDEX(DATA2026!D$2:D$401,MATCH(38,DATA2026!K$2:K$401,0)),"")</f>
        <v/>
      </c>
      <c r="N55" s="98" t="str">
        <f>IFERROR(INDEX(DATA2026!B$2:B$401,MATCH(38,DATA2026!L$2:L$401,0)),"")</f>
        <v/>
      </c>
      <c r="O55" s="93" t="str">
        <f>IFERROR(INDEX(DATA2026!C$2:C$401,MATCH(38,DATA2026!L$2:L$401,0)),"")</f>
        <v/>
      </c>
      <c r="P55" s="93" t="str">
        <f>IFERROR(INDEX(DATA2026!D$2:D$401,MATCH(38,DATA2026!L$2:L$401,0)),"")</f>
        <v/>
      </c>
    </row>
    <row r="56" spans="2:16" ht="24.75" customHeight="1">
      <c r="B56" s="90" t="str">
        <f>IFERROR(INDEX(DATA2026!B$2:B$401,MATCH(39,DATA2026!I$2:I$401,0)),"")</f>
        <v/>
      </c>
      <c r="C56" s="91" t="str">
        <f>IFERROR(INDEX(DATA2026!C$2:C$401,MATCH(39,DATA2026!I$2:I$401,0)),"")</f>
        <v/>
      </c>
      <c r="D56" s="91" t="str">
        <f>IFERROR(INDEX(DATA2026!D$2:D$401,MATCH(39,DATA2026!I$2:I$401,0)),"")</f>
        <v/>
      </c>
      <c r="F56" s="90" t="str">
        <f>IFERROR(INDEX(DATA2026!B$2:B$401,MATCH(39,DATA2026!J$2:J$401,0)),"")</f>
        <v/>
      </c>
      <c r="G56" s="91" t="str">
        <f>IFERROR(INDEX(DATA2026!C$2:C$401,MATCH(39,DATA2026!J$2:J$401,0)),"")</f>
        <v/>
      </c>
      <c r="H56" s="91" t="str">
        <f>IFERROR(INDEX(DATA2026!D$2:D$401,MATCH(39,DATA2026!J$2:J$401,0)),"")</f>
        <v/>
      </c>
      <c r="J56" s="99" t="str">
        <f>IFERROR(INDEX(DATA2026!B$2:B$401,MATCH(39,DATA2026!K$2:K$401,0)),"")</f>
        <v/>
      </c>
      <c r="K56" s="91" t="str">
        <f>IFERROR(INDEX(DATA2026!C$2:C$401,MATCH(39,DATA2026!K$2:K$401,0)),"")</f>
        <v/>
      </c>
      <c r="L56" s="91" t="str">
        <f>IFERROR(INDEX(DATA2026!D$2:D$401,MATCH(39,DATA2026!K$2:K$401,0)),"")</f>
        <v/>
      </c>
      <c r="N56" s="99" t="str">
        <f>IFERROR(INDEX(DATA2026!B$2:B$401,MATCH(39,DATA2026!L$2:L$401,0)),"")</f>
        <v/>
      </c>
      <c r="O56" s="91" t="str">
        <f>IFERROR(INDEX(DATA2026!C$2:C$401,MATCH(39,DATA2026!L$2:L$401,0)),"")</f>
        <v/>
      </c>
      <c r="P56" s="91" t="str">
        <f>IFERROR(INDEX(DATA2026!D$2:D$401,MATCH(39,DATA2026!L$2:L$401,0)),"")</f>
        <v/>
      </c>
    </row>
    <row r="57" spans="2:16" ht="24.75" customHeight="1">
      <c r="B57" s="92" t="str">
        <f>IFERROR(INDEX(DATA2026!B$2:B$401,MATCH(40,DATA2026!I$2:I$401,0)),"")</f>
        <v/>
      </c>
      <c r="C57" s="93" t="str">
        <f>IFERROR(INDEX(DATA2026!C$2:C$401,MATCH(40,DATA2026!I$2:I$401,0)),"")</f>
        <v/>
      </c>
      <c r="D57" s="93" t="str">
        <f>IFERROR(INDEX(DATA2026!D$2:D$401,MATCH(40,DATA2026!I$2:I$401,0)),"")</f>
        <v/>
      </c>
      <c r="F57" s="92" t="str">
        <f>IFERROR(INDEX(DATA2026!B$2:B$401,MATCH(40,DATA2026!J$2:J$401,0)),"")</f>
        <v/>
      </c>
      <c r="G57" s="93" t="str">
        <f>IFERROR(INDEX(DATA2026!C$2:C$401,MATCH(40,DATA2026!J$2:J$401,0)),"")</f>
        <v/>
      </c>
      <c r="H57" s="93" t="str">
        <f>IFERROR(INDEX(DATA2026!D$2:D$401,MATCH(40,DATA2026!J$2:J$401,0)),"")</f>
        <v/>
      </c>
      <c r="J57" s="98" t="str">
        <f>IFERROR(INDEX(DATA2026!B$2:B$401,MATCH(40,DATA2026!K$2:K$401,0)),"")</f>
        <v/>
      </c>
      <c r="K57" s="93" t="str">
        <f>IFERROR(INDEX(DATA2026!C$2:C$401,MATCH(40,DATA2026!K$2:K$401,0)),"")</f>
        <v/>
      </c>
      <c r="L57" s="93" t="str">
        <f>IFERROR(INDEX(DATA2026!D$2:D$401,MATCH(40,DATA2026!K$2:K$401,0)),"")</f>
        <v/>
      </c>
      <c r="N57" s="98" t="str">
        <f>IFERROR(INDEX(DATA2026!B$2:B$401,MATCH(40,DATA2026!L$2:L$401,0)),"")</f>
        <v/>
      </c>
      <c r="O57" s="93" t="str">
        <f>IFERROR(INDEX(DATA2026!C$2:C$401,MATCH(40,DATA2026!L$2:L$401,0)),"")</f>
        <v/>
      </c>
      <c r="P57" s="93" t="str">
        <f>IFERROR(INDEX(DATA2026!D$2:D$401,MATCH(40,DATA2026!L$2:L$401,0)),"")</f>
        <v/>
      </c>
    </row>
    <row r="58" spans="2:16" ht="24.75" customHeight="1">
      <c r="B58" s="90" t="str">
        <f>IFERROR(INDEX(DATA2026!B$2:B$401,MATCH(41,DATA2026!I$2:I$401,0)),"")</f>
        <v/>
      </c>
      <c r="C58" s="91" t="str">
        <f>IFERROR(INDEX(DATA2026!C$2:C$401,MATCH(41,DATA2026!I$2:I$401,0)),"")</f>
        <v/>
      </c>
      <c r="D58" s="91" t="str">
        <f>IFERROR(INDEX(DATA2026!D$2:D$401,MATCH(41,DATA2026!I$2:I$401,0)),"")</f>
        <v/>
      </c>
      <c r="F58" s="90" t="str">
        <f>IFERROR(INDEX(DATA2026!B$2:B$401,MATCH(41,DATA2026!J$2:J$401,0)),"")</f>
        <v/>
      </c>
      <c r="G58" s="91" t="str">
        <f>IFERROR(INDEX(DATA2026!C$2:C$401,MATCH(41,DATA2026!J$2:J$401,0)),"")</f>
        <v/>
      </c>
      <c r="H58" s="91" t="str">
        <f>IFERROR(INDEX(DATA2026!D$2:D$401,MATCH(41,DATA2026!J$2:J$401,0)),"")</f>
        <v/>
      </c>
      <c r="J58" s="99" t="str">
        <f>IFERROR(INDEX(DATA2026!B$2:B$401,MATCH(41,DATA2026!K$2:K$401,0)),"")</f>
        <v/>
      </c>
      <c r="K58" s="91" t="str">
        <f>IFERROR(INDEX(DATA2026!C$2:C$401,MATCH(41,DATA2026!K$2:K$401,0)),"")</f>
        <v/>
      </c>
      <c r="L58" s="91" t="str">
        <f>IFERROR(INDEX(DATA2026!D$2:D$401,MATCH(41,DATA2026!K$2:K$401,0)),"")</f>
        <v/>
      </c>
      <c r="N58" s="99" t="str">
        <f>IFERROR(INDEX(DATA2026!B$2:B$401,MATCH(41,DATA2026!L$2:L$401,0)),"")</f>
        <v/>
      </c>
      <c r="O58" s="91" t="str">
        <f>IFERROR(INDEX(DATA2026!C$2:C$401,MATCH(41,DATA2026!L$2:L$401,0)),"")</f>
        <v/>
      </c>
      <c r="P58" s="91" t="str">
        <f>IFERROR(INDEX(DATA2026!D$2:D$401,MATCH(41,DATA2026!L$2:L$401,0)),"")</f>
        <v/>
      </c>
    </row>
    <row r="59" spans="2:16" ht="24.75" customHeight="1">
      <c r="B59" s="92" t="str">
        <f>IFERROR(INDEX(DATA2026!B$2:B$401,MATCH(42,DATA2026!I$2:I$401,0)),"")</f>
        <v/>
      </c>
      <c r="C59" s="93" t="str">
        <f>IFERROR(INDEX(DATA2026!C$2:C$401,MATCH(42,DATA2026!I$2:I$401,0)),"")</f>
        <v/>
      </c>
      <c r="D59" s="93" t="str">
        <f>IFERROR(INDEX(DATA2026!D$2:D$401,MATCH(42,DATA2026!I$2:I$401,0)),"")</f>
        <v/>
      </c>
      <c r="F59" s="92" t="str">
        <f>IFERROR(INDEX(DATA2026!B$2:B$401,MATCH(42,DATA2026!J$2:J$401,0)),"")</f>
        <v/>
      </c>
      <c r="G59" s="93" t="str">
        <f>IFERROR(INDEX(DATA2026!C$2:C$401,MATCH(42,DATA2026!J$2:J$401,0)),"")</f>
        <v/>
      </c>
      <c r="H59" s="93" t="str">
        <f>IFERROR(INDEX(DATA2026!D$2:D$401,MATCH(42,DATA2026!J$2:J$401,0)),"")</f>
        <v/>
      </c>
      <c r="J59" s="98" t="str">
        <f>IFERROR(INDEX(DATA2026!B$2:B$401,MATCH(42,DATA2026!K$2:K$401,0)),"")</f>
        <v/>
      </c>
      <c r="K59" s="93" t="str">
        <f>IFERROR(INDEX(DATA2026!C$2:C$401,MATCH(42,DATA2026!K$2:K$401,0)),"")</f>
        <v/>
      </c>
      <c r="L59" s="93" t="str">
        <f>IFERROR(INDEX(DATA2026!D$2:D$401,MATCH(42,DATA2026!K$2:K$401,0)),"")</f>
        <v/>
      </c>
      <c r="N59" s="98" t="str">
        <f>IFERROR(INDEX(DATA2026!B$2:B$401,MATCH(42,DATA2026!L$2:L$401,0)),"")</f>
        <v/>
      </c>
      <c r="O59" s="93" t="str">
        <f>IFERROR(INDEX(DATA2026!C$2:C$401,MATCH(42,DATA2026!L$2:L$401,0)),"")</f>
        <v/>
      </c>
      <c r="P59" s="93" t="str">
        <f>IFERROR(INDEX(DATA2026!D$2:D$401,MATCH(42,DATA2026!L$2:L$401,0)),"")</f>
        <v/>
      </c>
    </row>
    <row r="60" spans="2:16" ht="24.75" customHeight="1">
      <c r="B60" s="90" t="str">
        <f>IFERROR(INDEX(DATA2026!B$2:B$401,MATCH(43,DATA2026!I$2:I$401,0)),"")</f>
        <v/>
      </c>
      <c r="C60" s="91" t="str">
        <f>IFERROR(INDEX(DATA2026!C$2:C$401,MATCH(43,DATA2026!I$2:I$401,0)),"")</f>
        <v/>
      </c>
      <c r="D60" s="91" t="str">
        <f>IFERROR(INDEX(DATA2026!D$2:D$401,MATCH(43,DATA2026!I$2:I$401,0)),"")</f>
        <v/>
      </c>
      <c r="F60" s="90" t="str">
        <f>IFERROR(INDEX(DATA2026!B$2:B$401,MATCH(43,DATA2026!J$2:J$401,0)),"")</f>
        <v/>
      </c>
      <c r="G60" s="91" t="str">
        <f>IFERROR(INDEX(DATA2026!C$2:C$401,MATCH(43,DATA2026!J$2:J$401,0)),"")</f>
        <v/>
      </c>
      <c r="H60" s="91" t="str">
        <f>IFERROR(INDEX(DATA2026!D$2:D$401,MATCH(43,DATA2026!J$2:J$401,0)),"")</f>
        <v/>
      </c>
      <c r="J60" s="99" t="str">
        <f>IFERROR(INDEX(DATA2026!B$2:B$401,MATCH(43,DATA2026!K$2:K$401,0)),"")</f>
        <v/>
      </c>
      <c r="K60" s="91" t="str">
        <f>IFERROR(INDEX(DATA2026!C$2:C$401,MATCH(43,DATA2026!K$2:K$401,0)),"")</f>
        <v/>
      </c>
      <c r="L60" s="91" t="str">
        <f>IFERROR(INDEX(DATA2026!D$2:D$401,MATCH(43,DATA2026!K$2:K$401,0)),"")</f>
        <v/>
      </c>
      <c r="N60" s="99" t="str">
        <f>IFERROR(INDEX(DATA2026!B$2:B$401,MATCH(43,DATA2026!L$2:L$401,0)),"")</f>
        <v/>
      </c>
      <c r="O60" s="91" t="str">
        <f>IFERROR(INDEX(DATA2026!C$2:C$401,MATCH(43,DATA2026!L$2:L$401,0)),"")</f>
        <v/>
      </c>
      <c r="P60" s="91" t="str">
        <f>IFERROR(INDEX(DATA2026!D$2:D$401,MATCH(43,DATA2026!L$2:L$401,0)),"")</f>
        <v/>
      </c>
    </row>
    <row r="61" spans="2:16" ht="24.75" customHeight="1">
      <c r="B61" s="92" t="str">
        <f>IFERROR(INDEX(DATA2026!B$2:B$401,MATCH(44,DATA2026!I$2:I$401,0)),"")</f>
        <v/>
      </c>
      <c r="C61" s="93" t="str">
        <f>IFERROR(INDEX(DATA2026!C$2:C$401,MATCH(44,DATA2026!I$2:I$401,0)),"")</f>
        <v/>
      </c>
      <c r="D61" s="93" t="str">
        <f>IFERROR(INDEX(DATA2026!D$2:D$401,MATCH(44,DATA2026!I$2:I$401,0)),"")</f>
        <v/>
      </c>
      <c r="F61" s="92" t="str">
        <f>IFERROR(INDEX(DATA2026!B$2:B$401,MATCH(44,DATA2026!J$2:J$401,0)),"")</f>
        <v/>
      </c>
      <c r="G61" s="93" t="str">
        <f>IFERROR(INDEX(DATA2026!C$2:C$401,MATCH(44,DATA2026!J$2:J$401,0)),"")</f>
        <v/>
      </c>
      <c r="H61" s="93" t="str">
        <f>IFERROR(INDEX(DATA2026!D$2:D$401,MATCH(44,DATA2026!J$2:J$401,0)),"")</f>
        <v/>
      </c>
      <c r="J61" s="98" t="str">
        <f>IFERROR(INDEX(DATA2026!B$2:B$401,MATCH(44,DATA2026!K$2:K$401,0)),"")</f>
        <v/>
      </c>
      <c r="K61" s="93" t="str">
        <f>IFERROR(INDEX(DATA2026!C$2:C$401,MATCH(44,DATA2026!K$2:K$401,0)),"")</f>
        <v/>
      </c>
      <c r="L61" s="93" t="str">
        <f>IFERROR(INDEX(DATA2026!D$2:D$401,MATCH(44,DATA2026!K$2:K$401,0)),"")</f>
        <v/>
      </c>
      <c r="N61" s="98" t="str">
        <f>IFERROR(INDEX(DATA2026!B$2:B$401,MATCH(44,DATA2026!L$2:L$401,0)),"")</f>
        <v/>
      </c>
      <c r="O61" s="93" t="str">
        <f>IFERROR(INDEX(DATA2026!C$2:C$401,MATCH(44,DATA2026!L$2:L$401,0)),"")</f>
        <v/>
      </c>
      <c r="P61" s="93" t="str">
        <f>IFERROR(INDEX(DATA2026!D$2:D$401,MATCH(44,DATA2026!L$2:L$401,0)),"")</f>
        <v/>
      </c>
    </row>
    <row r="62" spans="2:16" ht="24.75" customHeight="1">
      <c r="B62" s="90" t="str">
        <f>IFERROR(INDEX(DATA2026!B$2:B$401,MATCH(45,DATA2026!I$2:I$401,0)),"")</f>
        <v/>
      </c>
      <c r="C62" s="91" t="str">
        <f>IFERROR(INDEX(DATA2026!C$2:C$401,MATCH(45,DATA2026!I$2:I$401,0)),"")</f>
        <v/>
      </c>
      <c r="D62" s="91" t="str">
        <f>IFERROR(INDEX(DATA2026!D$2:D$401,MATCH(45,DATA2026!I$2:I$401,0)),"")</f>
        <v/>
      </c>
      <c r="F62" s="90" t="str">
        <f>IFERROR(INDEX(DATA2026!B$2:B$401,MATCH(45,DATA2026!J$2:J$401,0)),"")</f>
        <v/>
      </c>
      <c r="G62" s="91" t="str">
        <f>IFERROR(INDEX(DATA2026!C$2:C$401,MATCH(45,DATA2026!J$2:J$401,0)),"")</f>
        <v/>
      </c>
      <c r="H62" s="91" t="str">
        <f>IFERROR(INDEX(DATA2026!D$2:D$401,MATCH(45,DATA2026!J$2:J$401,0)),"")</f>
        <v/>
      </c>
      <c r="J62" s="99" t="str">
        <f>IFERROR(INDEX(DATA2026!B$2:B$401,MATCH(45,DATA2026!K$2:K$401,0)),"")</f>
        <v/>
      </c>
      <c r="K62" s="91" t="str">
        <f>IFERROR(INDEX(DATA2026!C$2:C$401,MATCH(45,DATA2026!K$2:K$401,0)),"")</f>
        <v/>
      </c>
      <c r="L62" s="91" t="str">
        <f>IFERROR(INDEX(DATA2026!D$2:D$401,MATCH(45,DATA2026!K$2:K$401,0)),"")</f>
        <v/>
      </c>
      <c r="N62" s="99" t="str">
        <f>IFERROR(INDEX(DATA2026!B$2:B$401,MATCH(45,DATA2026!L$2:L$401,0)),"")</f>
        <v/>
      </c>
      <c r="O62" s="91" t="str">
        <f>IFERROR(INDEX(DATA2026!C$2:C$401,MATCH(45,DATA2026!L$2:L$401,0)),"")</f>
        <v/>
      </c>
      <c r="P62" s="91" t="str">
        <f>IFERROR(INDEX(DATA2026!D$2:D$401,MATCH(45,DATA2026!L$2:L$401,0)),"")</f>
        <v/>
      </c>
    </row>
    <row r="63" spans="2:16" ht="24.75" customHeight="1">
      <c r="B63" s="92" t="str">
        <f>IFERROR(INDEX(DATA2026!B$2:B$401,MATCH(46,DATA2026!I$2:I$401,0)),"")</f>
        <v/>
      </c>
      <c r="C63" s="93" t="str">
        <f>IFERROR(INDEX(DATA2026!C$2:C$401,MATCH(46,DATA2026!I$2:I$401,0)),"")</f>
        <v/>
      </c>
      <c r="D63" s="93" t="str">
        <f>IFERROR(INDEX(DATA2026!D$2:D$401,MATCH(46,DATA2026!I$2:I$401,0)),"")</f>
        <v/>
      </c>
      <c r="F63" s="92" t="str">
        <f>IFERROR(INDEX(DATA2026!B$2:B$401,MATCH(46,DATA2026!J$2:J$401,0)),"")</f>
        <v/>
      </c>
      <c r="G63" s="93" t="str">
        <f>IFERROR(INDEX(DATA2026!C$2:C$401,MATCH(46,DATA2026!J$2:J$401,0)),"")</f>
        <v/>
      </c>
      <c r="H63" s="93" t="str">
        <f>IFERROR(INDEX(DATA2026!D$2:D$401,MATCH(46,DATA2026!J$2:J$401,0)),"")</f>
        <v/>
      </c>
      <c r="J63" s="98" t="str">
        <f>IFERROR(INDEX(DATA2026!B$2:B$401,MATCH(46,DATA2026!K$2:K$401,0)),"")</f>
        <v/>
      </c>
      <c r="K63" s="93" t="str">
        <f>IFERROR(INDEX(DATA2026!C$2:C$401,MATCH(46,DATA2026!K$2:K$401,0)),"")</f>
        <v/>
      </c>
      <c r="L63" s="93" t="str">
        <f>IFERROR(INDEX(DATA2026!D$2:D$401,MATCH(46,DATA2026!K$2:K$401,0)),"")</f>
        <v/>
      </c>
      <c r="N63" s="98" t="str">
        <f>IFERROR(INDEX(DATA2026!B$2:B$401,MATCH(46,DATA2026!L$2:L$401,0)),"")</f>
        <v/>
      </c>
      <c r="O63" s="93" t="str">
        <f>IFERROR(INDEX(DATA2026!C$2:C$401,MATCH(46,DATA2026!L$2:L$401,0)),"")</f>
        <v/>
      </c>
      <c r="P63" s="93" t="str">
        <f>IFERROR(INDEX(DATA2026!D$2:D$401,MATCH(46,DATA2026!L$2:L$401,0)),"")</f>
        <v/>
      </c>
    </row>
    <row r="64" spans="2:16" ht="24.75" customHeight="1">
      <c r="B64" s="90" t="str">
        <f>IFERROR(INDEX(DATA2026!B$2:B$401,MATCH(47,DATA2026!I$2:I$401,0)),"")</f>
        <v/>
      </c>
      <c r="C64" s="91" t="str">
        <f>IFERROR(INDEX(DATA2026!C$2:C$401,MATCH(47,DATA2026!I$2:I$401,0)),"")</f>
        <v/>
      </c>
      <c r="D64" s="91" t="str">
        <f>IFERROR(INDEX(DATA2026!D$2:D$401,MATCH(47,DATA2026!I$2:I$401,0)),"")</f>
        <v/>
      </c>
      <c r="F64" s="90" t="str">
        <f>IFERROR(INDEX(DATA2026!B$2:B$401,MATCH(47,DATA2026!J$2:J$401,0)),"")</f>
        <v/>
      </c>
      <c r="G64" s="91" t="str">
        <f>IFERROR(INDEX(DATA2026!C$2:C$401,MATCH(47,DATA2026!J$2:J$401,0)),"")</f>
        <v/>
      </c>
      <c r="H64" s="91" t="str">
        <f>IFERROR(INDEX(DATA2026!D$2:D$401,MATCH(47,DATA2026!J$2:J$401,0)),"")</f>
        <v/>
      </c>
      <c r="J64" s="99" t="str">
        <f>IFERROR(INDEX(DATA2026!B$2:B$401,MATCH(47,DATA2026!K$2:K$401,0)),"")</f>
        <v/>
      </c>
      <c r="K64" s="91" t="str">
        <f>IFERROR(INDEX(DATA2026!C$2:C$401,MATCH(47,DATA2026!K$2:K$401,0)),"")</f>
        <v/>
      </c>
      <c r="L64" s="91" t="str">
        <f>IFERROR(INDEX(DATA2026!D$2:D$401,MATCH(47,DATA2026!K$2:K$401,0)),"")</f>
        <v/>
      </c>
      <c r="N64" s="99" t="str">
        <f>IFERROR(INDEX(DATA2026!B$2:B$401,MATCH(47,DATA2026!L$2:L$401,0)),"")</f>
        <v/>
      </c>
      <c r="O64" s="91" t="str">
        <f>IFERROR(INDEX(DATA2026!C$2:C$401,MATCH(47,DATA2026!L$2:L$401,0)),"")</f>
        <v/>
      </c>
      <c r="P64" s="91" t="str">
        <f>IFERROR(INDEX(DATA2026!D$2:D$401,MATCH(47,DATA2026!L$2:L$401,0)),"")</f>
        <v/>
      </c>
    </row>
    <row r="65" spans="2:16" ht="24.75" customHeight="1">
      <c r="B65" s="92" t="str">
        <f>IFERROR(INDEX(DATA2026!B$2:B$401,MATCH(48,DATA2026!I$2:I$401,0)),"")</f>
        <v/>
      </c>
      <c r="C65" s="93" t="str">
        <f>IFERROR(INDEX(DATA2026!C$2:C$401,MATCH(48,DATA2026!I$2:I$401,0)),"")</f>
        <v/>
      </c>
      <c r="D65" s="93" t="str">
        <f>IFERROR(INDEX(DATA2026!D$2:D$401,MATCH(48,DATA2026!I$2:I$401,0)),"")</f>
        <v/>
      </c>
      <c r="F65" s="92" t="str">
        <f>IFERROR(INDEX(DATA2026!B$2:B$401,MATCH(48,DATA2026!J$2:J$401,0)),"")</f>
        <v/>
      </c>
      <c r="G65" s="93" t="str">
        <f>IFERROR(INDEX(DATA2026!C$2:C$401,MATCH(48,DATA2026!J$2:J$401,0)),"")</f>
        <v/>
      </c>
      <c r="H65" s="93" t="str">
        <f>IFERROR(INDEX(DATA2026!D$2:D$401,MATCH(48,DATA2026!J$2:J$401,0)),"")</f>
        <v/>
      </c>
      <c r="J65" s="98" t="str">
        <f>IFERROR(INDEX(DATA2026!B$2:B$401,MATCH(48,DATA2026!K$2:K$401,0)),"")</f>
        <v/>
      </c>
      <c r="K65" s="93" t="str">
        <f>IFERROR(INDEX(DATA2026!C$2:C$401,MATCH(48,DATA2026!K$2:K$401,0)),"")</f>
        <v/>
      </c>
      <c r="L65" s="93" t="str">
        <f>IFERROR(INDEX(DATA2026!D$2:D$401,MATCH(48,DATA2026!K$2:K$401,0)),"")</f>
        <v/>
      </c>
      <c r="N65" s="98" t="str">
        <f>IFERROR(INDEX(DATA2026!B$2:B$401,MATCH(48,DATA2026!L$2:L$401,0)),"")</f>
        <v/>
      </c>
      <c r="O65" s="93" t="str">
        <f>IFERROR(INDEX(DATA2026!C$2:C$401,MATCH(48,DATA2026!L$2:L$401,0)),"")</f>
        <v/>
      </c>
      <c r="P65" s="93" t="str">
        <f>IFERROR(INDEX(DATA2026!D$2:D$401,MATCH(48,DATA2026!L$2:L$401,0)),"")</f>
        <v/>
      </c>
    </row>
    <row r="66" spans="2:16" ht="24.75" customHeight="1">
      <c r="B66" s="90" t="str">
        <f>IFERROR(INDEX(DATA2026!B$2:B$401,MATCH(49,DATA2026!I$2:I$401,0)),"")</f>
        <v/>
      </c>
      <c r="C66" s="91" t="str">
        <f>IFERROR(INDEX(DATA2026!C$2:C$401,MATCH(49,DATA2026!I$2:I$401,0)),"")</f>
        <v/>
      </c>
      <c r="D66" s="91" t="str">
        <f>IFERROR(INDEX(DATA2026!D$2:D$401,MATCH(49,DATA2026!I$2:I$401,0)),"")</f>
        <v/>
      </c>
      <c r="F66" s="90" t="str">
        <f>IFERROR(INDEX(DATA2026!B$2:B$401,MATCH(49,DATA2026!J$2:J$401,0)),"")</f>
        <v/>
      </c>
      <c r="G66" s="91" t="str">
        <f>IFERROR(INDEX(DATA2026!C$2:C$401,MATCH(49,DATA2026!J$2:J$401,0)),"")</f>
        <v/>
      </c>
      <c r="H66" s="91" t="str">
        <f>IFERROR(INDEX(DATA2026!D$2:D$401,MATCH(49,DATA2026!J$2:J$401,0)),"")</f>
        <v/>
      </c>
      <c r="J66" s="99" t="str">
        <f>IFERROR(INDEX(DATA2026!B$2:B$401,MATCH(49,DATA2026!K$2:K$401,0)),"")</f>
        <v/>
      </c>
      <c r="K66" s="91" t="str">
        <f>IFERROR(INDEX(DATA2026!C$2:C$401,MATCH(49,DATA2026!K$2:K$401,0)),"")</f>
        <v/>
      </c>
      <c r="L66" s="91" t="str">
        <f>IFERROR(INDEX(DATA2026!D$2:D$401,MATCH(49,DATA2026!K$2:K$401,0)),"")</f>
        <v/>
      </c>
      <c r="N66" s="99" t="str">
        <f>IFERROR(INDEX(DATA2026!B$2:B$401,MATCH(49,DATA2026!L$2:L$401,0)),"")</f>
        <v/>
      </c>
      <c r="O66" s="91" t="str">
        <f>IFERROR(INDEX(DATA2026!C$2:C$401,MATCH(49,DATA2026!L$2:L$401,0)),"")</f>
        <v/>
      </c>
      <c r="P66" s="91" t="str">
        <f>IFERROR(INDEX(DATA2026!D$2:D$401,MATCH(49,DATA2026!L$2:L$401,0)),"")</f>
        <v/>
      </c>
    </row>
    <row r="67" spans="2:16" ht="24.75" customHeight="1">
      <c r="B67" s="92" t="str">
        <f>IFERROR(INDEX(DATA2026!B$2:B$401,MATCH(50,DATA2026!I$2:I$401,0)),"")</f>
        <v/>
      </c>
      <c r="C67" s="93" t="str">
        <f>IFERROR(INDEX(DATA2026!C$2:C$401,MATCH(50,DATA2026!I$2:I$401,0)),"")</f>
        <v/>
      </c>
      <c r="D67" s="93" t="str">
        <f>IFERROR(INDEX(DATA2026!D$2:D$401,MATCH(50,DATA2026!I$2:I$401,0)),"")</f>
        <v/>
      </c>
      <c r="F67" s="92" t="str">
        <f>IFERROR(INDEX(DATA2026!B$2:B$401,MATCH(50,DATA2026!J$2:J$401,0)),"")</f>
        <v/>
      </c>
      <c r="G67" s="93" t="str">
        <f>IFERROR(INDEX(DATA2026!C$2:C$401,MATCH(50,DATA2026!J$2:J$401,0)),"")</f>
        <v/>
      </c>
      <c r="H67" s="93" t="str">
        <f>IFERROR(INDEX(DATA2026!D$2:D$401,MATCH(50,DATA2026!J$2:J$401,0)),"")</f>
        <v/>
      </c>
      <c r="J67" s="98" t="str">
        <f>IFERROR(INDEX(DATA2026!B$2:B$401,MATCH(50,DATA2026!K$2:K$401,0)),"")</f>
        <v/>
      </c>
      <c r="K67" s="93" t="str">
        <f>IFERROR(INDEX(DATA2026!C$2:C$401,MATCH(50,DATA2026!K$2:K$401,0)),"")</f>
        <v/>
      </c>
      <c r="L67" s="93" t="str">
        <f>IFERROR(INDEX(DATA2026!D$2:D$401,MATCH(50,DATA2026!K$2:K$401,0)),"")</f>
        <v/>
      </c>
      <c r="N67" s="98" t="str">
        <f>IFERROR(INDEX(DATA2026!B$2:B$401,MATCH(50,DATA2026!L$2:L$401,0)),"")</f>
        <v/>
      </c>
      <c r="O67" s="93" t="str">
        <f>IFERROR(INDEX(DATA2026!C$2:C$401,MATCH(50,DATA2026!L$2:L$401,0)),"")</f>
        <v/>
      </c>
      <c r="P67" s="93" t="str">
        <f>IFERROR(INDEX(DATA2026!D$2:D$401,MATCH(50,DATA2026!L$2:L$401,0)),"")</f>
        <v/>
      </c>
    </row>
    <row r="68" spans="2:16" ht="24.75" customHeight="1">
      <c r="B68" s="90" t="str">
        <f>IFERROR(INDEX(DATA2026!B$2:B$401,MATCH(51,DATA2026!I$2:I$401,0)),"")</f>
        <v/>
      </c>
      <c r="C68" s="91" t="str">
        <f>IFERROR(INDEX(DATA2026!C$2:C$401,MATCH(51,DATA2026!I$2:I$401,0)),"")</f>
        <v/>
      </c>
      <c r="D68" s="91" t="str">
        <f>IFERROR(INDEX(DATA2026!D$2:D$401,MATCH(51,DATA2026!I$2:I$401,0)),"")</f>
        <v/>
      </c>
      <c r="F68" s="90" t="str">
        <f>IFERROR(INDEX(DATA2026!B$2:B$401,MATCH(51,DATA2026!J$2:J$401,0)),"")</f>
        <v/>
      </c>
      <c r="G68" s="91" t="str">
        <f>IFERROR(INDEX(DATA2026!C$2:C$401,MATCH(51,DATA2026!J$2:J$401,0)),"")</f>
        <v/>
      </c>
      <c r="H68" s="91" t="str">
        <f>IFERROR(INDEX(DATA2026!D$2:D$401,MATCH(51,DATA2026!J$2:J$401,0)),"")</f>
        <v/>
      </c>
      <c r="J68" s="99" t="str">
        <f>IFERROR(INDEX(DATA2026!B$2:B$401,MATCH(51,DATA2026!K$2:K$401,0)),"")</f>
        <v/>
      </c>
      <c r="K68" s="91" t="str">
        <f>IFERROR(INDEX(DATA2026!C$2:C$401,MATCH(51,DATA2026!K$2:K$401,0)),"")</f>
        <v/>
      </c>
      <c r="L68" s="91" t="str">
        <f>IFERROR(INDEX(DATA2026!D$2:D$401,MATCH(51,DATA2026!K$2:K$401,0)),"")</f>
        <v/>
      </c>
      <c r="N68" s="99" t="str">
        <f>IFERROR(INDEX(DATA2026!B$2:B$401,MATCH(51,DATA2026!L$2:L$401,0)),"")</f>
        <v/>
      </c>
      <c r="O68" s="91" t="str">
        <f>IFERROR(INDEX(DATA2026!C$2:C$401,MATCH(51,DATA2026!L$2:L$401,0)),"")</f>
        <v/>
      </c>
      <c r="P68" s="91" t="str">
        <f>IFERROR(INDEX(DATA2026!D$2:D$401,MATCH(51,DATA2026!L$2:L$401,0)),"")</f>
        <v/>
      </c>
    </row>
    <row r="69" spans="2:16" ht="24.75" customHeight="1">
      <c r="B69" s="92" t="str">
        <f>IFERROR(INDEX(DATA2026!B$2:B$401,MATCH(52,DATA2026!I$2:I$401,0)),"")</f>
        <v/>
      </c>
      <c r="C69" s="93" t="str">
        <f>IFERROR(INDEX(DATA2026!C$2:C$401,MATCH(52,DATA2026!I$2:I$401,0)),"")</f>
        <v/>
      </c>
      <c r="D69" s="93" t="str">
        <f>IFERROR(INDEX(DATA2026!D$2:D$401,MATCH(52,DATA2026!I$2:I$401,0)),"")</f>
        <v/>
      </c>
      <c r="F69" s="92" t="str">
        <f>IFERROR(INDEX(DATA2026!B$2:B$401,MATCH(52,DATA2026!J$2:J$401,0)),"")</f>
        <v/>
      </c>
      <c r="G69" s="93" t="str">
        <f>IFERROR(INDEX(DATA2026!C$2:C$401,MATCH(52,DATA2026!J$2:J$401,0)),"")</f>
        <v/>
      </c>
      <c r="H69" s="93" t="str">
        <f>IFERROR(INDEX(DATA2026!D$2:D$401,MATCH(52,DATA2026!J$2:J$401,0)),"")</f>
        <v/>
      </c>
      <c r="J69" s="98" t="str">
        <f>IFERROR(INDEX(DATA2026!B$2:B$401,MATCH(52,DATA2026!K$2:K$401,0)),"")</f>
        <v/>
      </c>
      <c r="K69" s="93" t="str">
        <f>IFERROR(INDEX(DATA2026!C$2:C$401,MATCH(52,DATA2026!K$2:K$401,0)),"")</f>
        <v/>
      </c>
      <c r="L69" s="93" t="str">
        <f>IFERROR(INDEX(DATA2026!D$2:D$401,MATCH(52,DATA2026!K$2:K$401,0)),"")</f>
        <v/>
      </c>
      <c r="N69" s="98" t="str">
        <f>IFERROR(INDEX(DATA2026!B$2:B$401,MATCH(52,DATA2026!L$2:L$401,0)),"")</f>
        <v/>
      </c>
      <c r="O69" s="93" t="str">
        <f>IFERROR(INDEX(DATA2026!C$2:C$401,MATCH(52,DATA2026!L$2:L$401,0)),"")</f>
        <v/>
      </c>
      <c r="P69" s="93" t="str">
        <f>IFERROR(INDEX(DATA2026!D$2:D$401,MATCH(52,DATA2026!L$2:L$401,0)),"")</f>
        <v/>
      </c>
    </row>
    <row r="70" spans="2:16" ht="24.75" customHeight="1">
      <c r="B70" s="90" t="str">
        <f>IFERROR(INDEX(DATA2026!B$2:B$401,MATCH(53,DATA2026!I$2:I$401,0)),"")</f>
        <v/>
      </c>
      <c r="C70" s="91" t="str">
        <f>IFERROR(INDEX(DATA2026!C$2:C$401,MATCH(53,DATA2026!I$2:I$401,0)),"")</f>
        <v/>
      </c>
      <c r="D70" s="91" t="str">
        <f>IFERROR(INDEX(DATA2026!D$2:D$401,MATCH(53,DATA2026!I$2:I$401,0)),"")</f>
        <v/>
      </c>
      <c r="F70" s="90" t="str">
        <f>IFERROR(INDEX(DATA2026!B$2:B$401,MATCH(53,DATA2026!J$2:J$401,0)),"")</f>
        <v/>
      </c>
      <c r="G70" s="91" t="str">
        <f>IFERROR(INDEX(DATA2026!C$2:C$401,MATCH(53,DATA2026!J$2:J$401,0)),"")</f>
        <v/>
      </c>
      <c r="H70" s="91" t="str">
        <f>IFERROR(INDEX(DATA2026!D$2:D$401,MATCH(53,DATA2026!J$2:J$401,0)),"")</f>
        <v/>
      </c>
      <c r="J70" s="99" t="str">
        <f>IFERROR(INDEX(DATA2026!B$2:B$401,MATCH(53,DATA2026!K$2:K$401,0)),"")</f>
        <v/>
      </c>
      <c r="K70" s="91" t="str">
        <f>IFERROR(INDEX(DATA2026!C$2:C$401,MATCH(53,DATA2026!K$2:K$401,0)),"")</f>
        <v/>
      </c>
      <c r="L70" s="91" t="str">
        <f>IFERROR(INDEX(DATA2026!D$2:D$401,MATCH(53,DATA2026!K$2:K$401,0)),"")</f>
        <v/>
      </c>
      <c r="N70" s="99" t="str">
        <f>IFERROR(INDEX(DATA2026!B$2:B$401,MATCH(53,DATA2026!L$2:L$401,0)),"")</f>
        <v/>
      </c>
      <c r="O70" s="91" t="str">
        <f>IFERROR(INDEX(DATA2026!C$2:C$401,MATCH(53,DATA2026!L$2:L$401,0)),"")</f>
        <v/>
      </c>
      <c r="P70" s="91" t="str">
        <f>IFERROR(INDEX(DATA2026!D$2:D$401,MATCH(53,DATA2026!L$2:L$401,0)),"")</f>
        <v/>
      </c>
    </row>
    <row r="71" spans="2:16" ht="24.75" customHeight="1">
      <c r="B71" s="92" t="str">
        <f>IFERROR(INDEX(DATA2026!B$2:B$401,MATCH(54,DATA2026!I$2:I$401,0)),"")</f>
        <v/>
      </c>
      <c r="C71" s="93" t="str">
        <f>IFERROR(INDEX(DATA2026!C$2:C$401,MATCH(54,DATA2026!I$2:I$401,0)),"")</f>
        <v/>
      </c>
      <c r="D71" s="93" t="str">
        <f>IFERROR(INDEX(DATA2026!D$2:D$401,MATCH(54,DATA2026!I$2:I$401,0)),"")</f>
        <v/>
      </c>
      <c r="F71" s="92" t="str">
        <f>IFERROR(INDEX(DATA2026!B$2:B$401,MATCH(54,DATA2026!J$2:J$401,0)),"")</f>
        <v/>
      </c>
      <c r="G71" s="93" t="str">
        <f>IFERROR(INDEX(DATA2026!C$2:C$401,MATCH(54,DATA2026!J$2:J$401,0)),"")</f>
        <v/>
      </c>
      <c r="H71" s="93" t="str">
        <f>IFERROR(INDEX(DATA2026!D$2:D$401,MATCH(54,DATA2026!J$2:J$401,0)),"")</f>
        <v/>
      </c>
      <c r="J71" s="98" t="str">
        <f>IFERROR(INDEX(DATA2026!B$2:B$401,MATCH(54,DATA2026!K$2:K$401,0)),"")</f>
        <v/>
      </c>
      <c r="K71" s="93" t="str">
        <f>IFERROR(INDEX(DATA2026!C$2:C$401,MATCH(54,DATA2026!K$2:K$401,0)),"")</f>
        <v/>
      </c>
      <c r="L71" s="93" t="str">
        <f>IFERROR(INDEX(DATA2026!D$2:D$401,MATCH(54,DATA2026!K$2:K$401,0)),"")</f>
        <v/>
      </c>
      <c r="N71" s="98" t="str">
        <f>IFERROR(INDEX(DATA2026!B$2:B$401,MATCH(54,DATA2026!L$2:L$401,0)),"")</f>
        <v/>
      </c>
      <c r="O71" s="93" t="str">
        <f>IFERROR(INDEX(DATA2026!C$2:C$401,MATCH(54,DATA2026!L$2:L$401,0)),"")</f>
        <v/>
      </c>
      <c r="P71" s="93" t="str">
        <f>IFERROR(INDEX(DATA2026!D$2:D$401,MATCH(54,DATA2026!L$2:L$401,0)),"")</f>
        <v/>
      </c>
    </row>
    <row r="72" spans="2:16" ht="24.75" customHeight="1">
      <c r="B72" s="90" t="str">
        <f>IFERROR(INDEX(DATA2026!B$2:B$401,MATCH(55,DATA2026!I$2:I$401,0)),"")</f>
        <v/>
      </c>
      <c r="C72" s="91" t="str">
        <f>IFERROR(INDEX(DATA2026!C$2:C$401,MATCH(55,DATA2026!I$2:I$401,0)),"")</f>
        <v/>
      </c>
      <c r="D72" s="91" t="str">
        <f>IFERROR(INDEX(DATA2026!D$2:D$401,MATCH(55,DATA2026!I$2:I$401,0)),"")</f>
        <v/>
      </c>
      <c r="F72" s="90" t="str">
        <f>IFERROR(INDEX(DATA2026!B$2:B$401,MATCH(55,DATA2026!J$2:J$401,0)),"")</f>
        <v/>
      </c>
      <c r="G72" s="91" t="str">
        <f>IFERROR(INDEX(DATA2026!C$2:C$401,MATCH(55,DATA2026!J$2:J$401,0)),"")</f>
        <v/>
      </c>
      <c r="H72" s="91" t="str">
        <f>IFERROR(INDEX(DATA2026!D$2:D$401,MATCH(55,DATA2026!J$2:J$401,0)),"")</f>
        <v/>
      </c>
      <c r="J72" s="99" t="str">
        <f>IFERROR(INDEX(DATA2026!B$2:B$401,MATCH(55,DATA2026!K$2:K$401,0)),"")</f>
        <v/>
      </c>
      <c r="K72" s="91" t="str">
        <f>IFERROR(INDEX(DATA2026!C$2:C$401,MATCH(55,DATA2026!K$2:K$401,0)),"")</f>
        <v/>
      </c>
      <c r="L72" s="91" t="str">
        <f>IFERROR(INDEX(DATA2026!D$2:D$401,MATCH(55,DATA2026!K$2:K$401,0)),"")</f>
        <v/>
      </c>
      <c r="N72" s="99" t="str">
        <f>IFERROR(INDEX(DATA2026!B$2:B$401,MATCH(55,DATA2026!L$2:L$401,0)),"")</f>
        <v/>
      </c>
      <c r="O72" s="91" t="str">
        <f>IFERROR(INDEX(DATA2026!C$2:C$401,MATCH(55,DATA2026!L$2:L$401,0)),"")</f>
        <v/>
      </c>
      <c r="P72" s="91" t="str">
        <f>IFERROR(INDEX(DATA2026!D$2:D$401,MATCH(55,DATA2026!L$2:L$401,0)),"")</f>
        <v/>
      </c>
    </row>
    <row r="73" spans="2:16" ht="24.75" customHeight="1">
      <c r="B73" s="92" t="str">
        <f>IFERROR(INDEX(DATA2026!B$2:B$401,MATCH(56,DATA2026!I$2:I$401,0)),"")</f>
        <v/>
      </c>
      <c r="C73" s="93" t="str">
        <f>IFERROR(INDEX(DATA2026!C$2:C$401,MATCH(56,DATA2026!I$2:I$401,0)),"")</f>
        <v/>
      </c>
      <c r="D73" s="93" t="str">
        <f>IFERROR(INDEX(DATA2026!D$2:D$401,MATCH(56,DATA2026!I$2:I$401,0)),"")</f>
        <v/>
      </c>
      <c r="F73" s="92" t="str">
        <f>IFERROR(INDEX(DATA2026!B$2:B$401,MATCH(56,DATA2026!J$2:J$401,0)),"")</f>
        <v/>
      </c>
      <c r="G73" s="93" t="str">
        <f>IFERROR(INDEX(DATA2026!C$2:C$401,MATCH(56,DATA2026!J$2:J$401,0)),"")</f>
        <v/>
      </c>
      <c r="H73" s="93" t="str">
        <f>IFERROR(INDEX(DATA2026!D$2:D$401,MATCH(56,DATA2026!J$2:J$401,0)),"")</f>
        <v/>
      </c>
      <c r="J73" s="98" t="str">
        <f>IFERROR(INDEX(DATA2026!B$2:B$401,MATCH(56,DATA2026!K$2:K$401,0)),"")</f>
        <v/>
      </c>
      <c r="K73" s="93" t="str">
        <f>IFERROR(INDEX(DATA2026!C$2:C$401,MATCH(56,DATA2026!K$2:K$401,0)),"")</f>
        <v/>
      </c>
      <c r="L73" s="93" t="str">
        <f>IFERROR(INDEX(DATA2026!D$2:D$401,MATCH(56,DATA2026!K$2:K$401,0)),"")</f>
        <v/>
      </c>
      <c r="N73" s="98" t="str">
        <f>IFERROR(INDEX(DATA2026!B$2:B$401,MATCH(56,DATA2026!L$2:L$401,0)),"")</f>
        <v/>
      </c>
      <c r="O73" s="93" t="str">
        <f>IFERROR(INDEX(DATA2026!C$2:C$401,MATCH(56,DATA2026!L$2:L$401,0)),"")</f>
        <v/>
      </c>
      <c r="P73" s="93" t="str">
        <f>IFERROR(INDEX(DATA2026!D$2:D$401,MATCH(56,DATA2026!L$2:L$401,0)),"")</f>
        <v/>
      </c>
    </row>
    <row r="74" spans="2:16" ht="24.75" customHeight="1">
      <c r="B74" s="90" t="str">
        <f>IFERROR(INDEX(DATA2026!B$2:B$401,MATCH(57,DATA2026!I$2:I$401,0)),"")</f>
        <v/>
      </c>
      <c r="C74" s="91" t="str">
        <f>IFERROR(INDEX(DATA2026!C$2:C$401,MATCH(57,DATA2026!I$2:I$401,0)),"")</f>
        <v/>
      </c>
      <c r="D74" s="91" t="str">
        <f>IFERROR(INDEX(DATA2026!D$2:D$401,MATCH(57,DATA2026!I$2:I$401,0)),"")</f>
        <v/>
      </c>
      <c r="F74" s="90" t="str">
        <f>IFERROR(INDEX(DATA2026!B$2:B$401,MATCH(57,DATA2026!J$2:J$401,0)),"")</f>
        <v/>
      </c>
      <c r="G74" s="91" t="str">
        <f>IFERROR(INDEX(DATA2026!C$2:C$401,MATCH(57,DATA2026!J$2:J$401,0)),"")</f>
        <v/>
      </c>
      <c r="H74" s="91" t="str">
        <f>IFERROR(INDEX(DATA2026!D$2:D$401,MATCH(57,DATA2026!J$2:J$401,0)),"")</f>
        <v/>
      </c>
      <c r="J74" s="99" t="str">
        <f>IFERROR(INDEX(DATA2026!B$2:B$401,MATCH(57,DATA2026!K$2:K$401,0)),"")</f>
        <v/>
      </c>
      <c r="K74" s="91" t="str">
        <f>IFERROR(INDEX(DATA2026!C$2:C$401,MATCH(57,DATA2026!K$2:K$401,0)),"")</f>
        <v/>
      </c>
      <c r="L74" s="91" t="str">
        <f>IFERROR(INDEX(DATA2026!D$2:D$401,MATCH(57,DATA2026!K$2:K$401,0)),"")</f>
        <v/>
      </c>
      <c r="N74" s="99" t="str">
        <f>IFERROR(INDEX(DATA2026!B$2:B$401,MATCH(57,DATA2026!L$2:L$401,0)),"")</f>
        <v/>
      </c>
      <c r="O74" s="91" t="str">
        <f>IFERROR(INDEX(DATA2026!C$2:C$401,MATCH(57,DATA2026!L$2:L$401,0)),"")</f>
        <v/>
      </c>
      <c r="P74" s="91" t="str">
        <f>IFERROR(INDEX(DATA2026!D$2:D$401,MATCH(57,DATA2026!L$2:L$401,0)),"")</f>
        <v/>
      </c>
    </row>
    <row r="75" spans="2:16" ht="24.75" customHeight="1">
      <c r="B75" s="92" t="str">
        <f>IFERROR(INDEX(DATA2026!B$2:B$401,MATCH(58,DATA2026!I$2:I$401,0)),"")</f>
        <v/>
      </c>
      <c r="C75" s="93" t="str">
        <f>IFERROR(INDEX(DATA2026!C$2:C$401,MATCH(58,DATA2026!I$2:I$401,0)),"")</f>
        <v/>
      </c>
      <c r="D75" s="93" t="str">
        <f>IFERROR(INDEX(DATA2026!D$2:D$401,MATCH(58,DATA2026!I$2:I$401,0)),"")</f>
        <v/>
      </c>
      <c r="F75" s="92" t="str">
        <f>IFERROR(INDEX(DATA2026!B$2:B$401,MATCH(58,DATA2026!J$2:J$401,0)),"")</f>
        <v/>
      </c>
      <c r="G75" s="93" t="str">
        <f>IFERROR(INDEX(DATA2026!C$2:C$401,MATCH(58,DATA2026!J$2:J$401,0)),"")</f>
        <v/>
      </c>
      <c r="H75" s="93" t="str">
        <f>IFERROR(INDEX(DATA2026!D$2:D$401,MATCH(58,DATA2026!J$2:J$401,0)),"")</f>
        <v/>
      </c>
      <c r="J75" s="98" t="str">
        <f>IFERROR(INDEX(DATA2026!B$2:B$401,MATCH(58,DATA2026!K$2:K$401,0)),"")</f>
        <v/>
      </c>
      <c r="K75" s="93" t="str">
        <f>IFERROR(INDEX(DATA2026!C$2:C$401,MATCH(58,DATA2026!K$2:K$401,0)),"")</f>
        <v/>
      </c>
      <c r="L75" s="93" t="str">
        <f>IFERROR(INDEX(DATA2026!D$2:D$401,MATCH(58,DATA2026!K$2:K$401,0)),"")</f>
        <v/>
      </c>
      <c r="N75" s="98" t="str">
        <f>IFERROR(INDEX(DATA2026!B$2:B$401,MATCH(58,DATA2026!L$2:L$401,0)),"")</f>
        <v/>
      </c>
      <c r="O75" s="93" t="str">
        <f>IFERROR(INDEX(DATA2026!C$2:C$401,MATCH(58,DATA2026!L$2:L$401,0)),"")</f>
        <v/>
      </c>
      <c r="P75" s="93" t="str">
        <f>IFERROR(INDEX(DATA2026!D$2:D$401,MATCH(58,DATA2026!L$2:L$401,0)),"")</f>
        <v/>
      </c>
    </row>
    <row r="76" spans="2:16" ht="24.75" customHeight="1">
      <c r="B76" s="90" t="str">
        <f>IFERROR(INDEX(DATA2026!B$2:B$401,MATCH(59,DATA2026!I$2:I$401,0)),"")</f>
        <v/>
      </c>
      <c r="C76" s="91" t="str">
        <f>IFERROR(INDEX(DATA2026!C$2:C$401,MATCH(59,DATA2026!I$2:I$401,0)),"")</f>
        <v/>
      </c>
      <c r="D76" s="91" t="str">
        <f>IFERROR(INDEX(DATA2026!D$2:D$401,MATCH(59,DATA2026!I$2:I$401,0)),"")</f>
        <v/>
      </c>
      <c r="F76" s="90" t="str">
        <f>IFERROR(INDEX(DATA2026!B$2:B$401,MATCH(59,DATA2026!J$2:J$401,0)),"")</f>
        <v/>
      </c>
      <c r="G76" s="91" t="str">
        <f>IFERROR(INDEX(DATA2026!C$2:C$401,MATCH(59,DATA2026!J$2:J$401,0)),"")</f>
        <v/>
      </c>
      <c r="H76" s="91" t="str">
        <f>IFERROR(INDEX(DATA2026!D$2:D$401,MATCH(59,DATA2026!J$2:J$401,0)),"")</f>
        <v/>
      </c>
      <c r="J76" s="99" t="str">
        <f>IFERROR(INDEX(DATA2026!B$2:B$401,MATCH(59,DATA2026!K$2:K$401,0)),"")</f>
        <v/>
      </c>
      <c r="K76" s="91" t="str">
        <f>IFERROR(INDEX(DATA2026!C$2:C$401,MATCH(59,DATA2026!K$2:K$401,0)),"")</f>
        <v/>
      </c>
      <c r="L76" s="91" t="str">
        <f>IFERROR(INDEX(DATA2026!D$2:D$401,MATCH(59,DATA2026!K$2:K$401,0)),"")</f>
        <v/>
      </c>
      <c r="N76" s="99" t="str">
        <f>IFERROR(INDEX(DATA2026!B$2:B$401,MATCH(59,DATA2026!L$2:L$401,0)),"")</f>
        <v/>
      </c>
      <c r="O76" s="91" t="str">
        <f>IFERROR(INDEX(DATA2026!C$2:C$401,MATCH(59,DATA2026!L$2:L$401,0)),"")</f>
        <v/>
      </c>
      <c r="P76" s="91" t="str">
        <f>IFERROR(INDEX(DATA2026!D$2:D$401,MATCH(59,DATA2026!L$2:L$401,0)),"")</f>
        <v/>
      </c>
    </row>
    <row r="77" spans="2:16" ht="24.75" customHeight="1">
      <c r="B77" s="92" t="str">
        <f>IFERROR(INDEX(DATA2026!B$2:B$401,MATCH(60,DATA2026!I$2:I$401,0)),"")</f>
        <v/>
      </c>
      <c r="C77" s="93" t="str">
        <f>IFERROR(INDEX(DATA2026!C$2:C$401,MATCH(60,DATA2026!I$2:I$401,0)),"")</f>
        <v/>
      </c>
      <c r="D77" s="93" t="str">
        <f>IFERROR(INDEX(DATA2026!D$2:D$401,MATCH(60,DATA2026!I$2:I$401,0)),"")</f>
        <v/>
      </c>
      <c r="F77" s="92" t="str">
        <f>IFERROR(INDEX(DATA2026!B$2:B$401,MATCH(60,DATA2026!J$2:J$401,0)),"")</f>
        <v/>
      </c>
      <c r="G77" s="93" t="str">
        <f>IFERROR(INDEX(DATA2026!C$2:C$401,MATCH(60,DATA2026!J$2:J$401,0)),"")</f>
        <v/>
      </c>
      <c r="H77" s="93" t="str">
        <f>IFERROR(INDEX(DATA2026!D$2:D$401,MATCH(60,DATA2026!J$2:J$401,0)),"")</f>
        <v/>
      </c>
      <c r="J77" s="98" t="str">
        <f>IFERROR(INDEX(DATA2026!B$2:B$401,MATCH(60,DATA2026!K$2:K$401,0)),"")</f>
        <v/>
      </c>
      <c r="K77" s="93" t="str">
        <f>IFERROR(INDEX(DATA2026!C$2:C$401,MATCH(60,DATA2026!K$2:K$401,0)),"")</f>
        <v/>
      </c>
      <c r="L77" s="93" t="str">
        <f>IFERROR(INDEX(DATA2026!D$2:D$401,MATCH(60,DATA2026!K$2:K$401,0)),"")</f>
        <v/>
      </c>
      <c r="N77" s="98" t="str">
        <f>IFERROR(INDEX(DATA2026!B$2:B$401,MATCH(60,DATA2026!L$2:L$401,0)),"")</f>
        <v/>
      </c>
      <c r="O77" s="93" t="str">
        <f>IFERROR(INDEX(DATA2026!C$2:C$401,MATCH(60,DATA2026!L$2:L$401,0)),"")</f>
        <v/>
      </c>
      <c r="P77" s="93" t="str">
        <f>IFERROR(INDEX(DATA2026!D$2:D$401,MATCH(60,DATA2026!L$2:L$401,0)),"")</f>
        <v/>
      </c>
    </row>
    <row r="78" spans="2:16" ht="24.75" customHeight="1">
      <c r="B78" s="90" t="str">
        <f>IFERROR(INDEX(DATA2026!B$2:B$401,MATCH(61,DATA2026!I$2:I$401,0)),"")</f>
        <v/>
      </c>
      <c r="C78" s="91" t="str">
        <f>IFERROR(INDEX(DATA2026!C$2:C$401,MATCH(61,DATA2026!I$2:I$401,0)),"")</f>
        <v/>
      </c>
      <c r="D78" s="91" t="str">
        <f>IFERROR(INDEX(DATA2026!D$2:D$401,MATCH(61,DATA2026!I$2:I$401,0)),"")</f>
        <v/>
      </c>
      <c r="F78" s="90" t="str">
        <f>IFERROR(INDEX(DATA2026!B$2:B$401,MATCH(61,DATA2026!J$2:J$401,0)),"")</f>
        <v/>
      </c>
      <c r="G78" s="91" t="str">
        <f>IFERROR(INDEX(DATA2026!C$2:C$401,MATCH(61,DATA2026!J$2:J$401,0)),"")</f>
        <v/>
      </c>
      <c r="H78" s="91" t="str">
        <f>IFERROR(INDEX(DATA2026!D$2:D$401,MATCH(61,DATA2026!J$2:J$401,0)),"")</f>
        <v/>
      </c>
      <c r="J78" s="99" t="str">
        <f>IFERROR(INDEX(DATA2026!B$2:B$401,MATCH(61,DATA2026!K$2:K$401,0)),"")</f>
        <v/>
      </c>
      <c r="K78" s="91" t="str">
        <f>IFERROR(INDEX(DATA2026!C$2:C$401,MATCH(61,DATA2026!K$2:K$401,0)),"")</f>
        <v/>
      </c>
      <c r="L78" s="91" t="str">
        <f>IFERROR(INDEX(DATA2026!D$2:D$401,MATCH(61,DATA2026!K$2:K$401,0)),"")</f>
        <v/>
      </c>
      <c r="N78" s="99" t="str">
        <f>IFERROR(INDEX(DATA2026!B$2:B$401,MATCH(61,DATA2026!L$2:L$401,0)),"")</f>
        <v/>
      </c>
      <c r="O78" s="91" t="str">
        <f>IFERROR(INDEX(DATA2026!C$2:C$401,MATCH(61,DATA2026!L$2:L$401,0)),"")</f>
        <v/>
      </c>
      <c r="P78" s="91" t="str">
        <f>IFERROR(INDEX(DATA2026!D$2:D$401,MATCH(61,DATA2026!L$2:L$401,0)),"")</f>
        <v/>
      </c>
    </row>
    <row r="79" spans="2:16" ht="24.75" customHeight="1">
      <c r="B79" s="92" t="str">
        <f>IFERROR(INDEX(DATA2026!B$2:B$401,MATCH(62,DATA2026!I$2:I$401,0)),"")</f>
        <v/>
      </c>
      <c r="C79" s="93" t="str">
        <f>IFERROR(INDEX(DATA2026!C$2:C$401,MATCH(62,DATA2026!I$2:I$401,0)),"")</f>
        <v/>
      </c>
      <c r="D79" s="93" t="str">
        <f>IFERROR(INDEX(DATA2026!D$2:D$401,MATCH(62,DATA2026!I$2:I$401,0)),"")</f>
        <v/>
      </c>
      <c r="F79" s="92" t="str">
        <f>IFERROR(INDEX(DATA2026!B$2:B$401,MATCH(62,DATA2026!J$2:J$401,0)),"")</f>
        <v/>
      </c>
      <c r="G79" s="93" t="str">
        <f>IFERROR(INDEX(DATA2026!C$2:C$401,MATCH(62,DATA2026!J$2:J$401,0)),"")</f>
        <v/>
      </c>
      <c r="H79" s="93" t="str">
        <f>IFERROR(INDEX(DATA2026!D$2:D$401,MATCH(62,DATA2026!J$2:J$401,0)),"")</f>
        <v/>
      </c>
      <c r="J79" s="98" t="str">
        <f>IFERROR(INDEX(DATA2026!B$2:B$401,MATCH(62,DATA2026!K$2:K$401,0)),"")</f>
        <v/>
      </c>
      <c r="K79" s="93" t="str">
        <f>IFERROR(INDEX(DATA2026!C$2:C$401,MATCH(62,DATA2026!K$2:K$401,0)),"")</f>
        <v/>
      </c>
      <c r="L79" s="93" t="str">
        <f>IFERROR(INDEX(DATA2026!D$2:D$401,MATCH(62,DATA2026!K$2:K$401,0)),"")</f>
        <v/>
      </c>
      <c r="N79" s="98" t="str">
        <f>IFERROR(INDEX(DATA2026!B$2:B$401,MATCH(62,DATA2026!L$2:L$401,0)),"")</f>
        <v/>
      </c>
      <c r="O79" s="93" t="str">
        <f>IFERROR(INDEX(DATA2026!C$2:C$401,MATCH(62,DATA2026!L$2:L$401,0)),"")</f>
        <v/>
      </c>
      <c r="P79" s="93" t="str">
        <f>IFERROR(INDEX(DATA2026!D$2:D$401,MATCH(62,DATA2026!L$2:L$401,0)),"")</f>
        <v/>
      </c>
    </row>
    <row r="80" spans="2:16" ht="24.75" customHeight="1">
      <c r="B80" s="90" t="str">
        <f>IFERROR(INDEX(DATA2026!B$2:B$401,MATCH(63,DATA2026!I$2:I$401,0)),"")</f>
        <v/>
      </c>
      <c r="C80" s="91" t="str">
        <f>IFERROR(INDEX(DATA2026!C$2:C$401,MATCH(63,DATA2026!I$2:I$401,0)),"")</f>
        <v/>
      </c>
      <c r="D80" s="91" t="str">
        <f>IFERROR(INDEX(DATA2026!D$2:D$401,MATCH(63,DATA2026!I$2:I$401,0)),"")</f>
        <v/>
      </c>
      <c r="F80" s="90" t="str">
        <f>IFERROR(INDEX(DATA2026!B$2:B$401,MATCH(63,DATA2026!J$2:J$401,0)),"")</f>
        <v/>
      </c>
      <c r="G80" s="91" t="str">
        <f>IFERROR(INDEX(DATA2026!C$2:C$401,MATCH(63,DATA2026!J$2:J$401,0)),"")</f>
        <v/>
      </c>
      <c r="H80" s="91" t="str">
        <f>IFERROR(INDEX(DATA2026!D$2:D$401,MATCH(63,DATA2026!J$2:J$401,0)),"")</f>
        <v/>
      </c>
      <c r="J80" s="99" t="str">
        <f>IFERROR(INDEX(DATA2026!B$2:B$401,MATCH(63,DATA2026!K$2:K$401,0)),"")</f>
        <v/>
      </c>
      <c r="K80" s="91" t="str">
        <f>IFERROR(INDEX(DATA2026!C$2:C$401,MATCH(63,DATA2026!K$2:K$401,0)),"")</f>
        <v/>
      </c>
      <c r="L80" s="91" t="str">
        <f>IFERROR(INDEX(DATA2026!D$2:D$401,MATCH(63,DATA2026!K$2:K$401,0)),"")</f>
        <v/>
      </c>
      <c r="N80" s="99" t="str">
        <f>IFERROR(INDEX(DATA2026!B$2:B$401,MATCH(63,DATA2026!L$2:L$401,0)),"")</f>
        <v/>
      </c>
      <c r="O80" s="91" t="str">
        <f>IFERROR(INDEX(DATA2026!C$2:C$401,MATCH(63,DATA2026!L$2:L$401,0)),"")</f>
        <v/>
      </c>
      <c r="P80" s="91" t="str">
        <f>IFERROR(INDEX(DATA2026!D$2:D$401,MATCH(63,DATA2026!L$2:L$401,0)),"")</f>
        <v/>
      </c>
    </row>
    <row r="81" spans="2:16" ht="24.75" customHeight="1">
      <c r="B81" s="92" t="str">
        <f>IFERROR(INDEX(DATA2026!B$2:B$401,MATCH(64,DATA2026!I$2:I$401,0)),"")</f>
        <v/>
      </c>
      <c r="C81" s="93" t="str">
        <f>IFERROR(INDEX(DATA2026!C$2:C$401,MATCH(64,DATA2026!I$2:I$401,0)),"")</f>
        <v/>
      </c>
      <c r="D81" s="93" t="str">
        <f>IFERROR(INDEX(DATA2026!D$2:D$401,MATCH(64,DATA2026!I$2:I$401,0)),"")</f>
        <v/>
      </c>
      <c r="F81" s="92" t="str">
        <f>IFERROR(INDEX(DATA2026!B$2:B$401,MATCH(64,DATA2026!J$2:J$401,0)),"")</f>
        <v/>
      </c>
      <c r="G81" s="93" t="str">
        <f>IFERROR(INDEX(DATA2026!C$2:C$401,MATCH(64,DATA2026!J$2:J$401,0)),"")</f>
        <v/>
      </c>
      <c r="H81" s="93" t="str">
        <f>IFERROR(INDEX(DATA2026!D$2:D$401,MATCH(64,DATA2026!J$2:J$401,0)),"")</f>
        <v/>
      </c>
      <c r="J81" s="98" t="str">
        <f>IFERROR(INDEX(DATA2026!B$2:B$401,MATCH(64,DATA2026!K$2:K$401,0)),"")</f>
        <v/>
      </c>
      <c r="K81" s="93" t="str">
        <f>IFERROR(INDEX(DATA2026!C$2:C$401,MATCH(64,DATA2026!K$2:K$401,0)),"")</f>
        <v/>
      </c>
      <c r="L81" s="93" t="str">
        <f>IFERROR(INDEX(DATA2026!D$2:D$401,MATCH(64,DATA2026!K$2:K$401,0)),"")</f>
        <v/>
      </c>
      <c r="N81" s="98" t="str">
        <f>IFERROR(INDEX(DATA2026!B$2:B$401,MATCH(64,DATA2026!L$2:L$401,0)),"")</f>
        <v/>
      </c>
      <c r="O81" s="93" t="str">
        <f>IFERROR(INDEX(DATA2026!C$2:C$401,MATCH(64,DATA2026!L$2:L$401,0)),"")</f>
        <v/>
      </c>
      <c r="P81" s="93" t="str">
        <f>IFERROR(INDEX(DATA2026!D$2:D$401,MATCH(64,DATA2026!L$2:L$401,0)),"")</f>
        <v/>
      </c>
    </row>
    <row r="82" spans="2:16" ht="24.75" customHeight="1">
      <c r="B82" s="90" t="str">
        <f>IFERROR(INDEX(DATA2026!B$2:B$401,MATCH(65,DATA2026!I$2:I$401,0)),"")</f>
        <v/>
      </c>
      <c r="C82" s="91" t="str">
        <f>IFERROR(INDEX(DATA2026!C$2:C$401,MATCH(65,DATA2026!I$2:I$401,0)),"")</f>
        <v/>
      </c>
      <c r="D82" s="91" t="str">
        <f>IFERROR(INDEX(DATA2026!D$2:D$401,MATCH(65,DATA2026!I$2:I$401,0)),"")</f>
        <v/>
      </c>
      <c r="F82" s="90" t="str">
        <f>IFERROR(INDEX(DATA2026!B$2:B$401,MATCH(65,DATA2026!J$2:J$401,0)),"")</f>
        <v/>
      </c>
      <c r="G82" s="91" t="str">
        <f>IFERROR(INDEX(DATA2026!C$2:C$401,MATCH(65,DATA2026!J$2:J$401,0)),"")</f>
        <v/>
      </c>
      <c r="H82" s="91" t="str">
        <f>IFERROR(INDEX(DATA2026!D$2:D$401,MATCH(65,DATA2026!J$2:J$401,0)),"")</f>
        <v/>
      </c>
      <c r="J82" s="99" t="str">
        <f>IFERROR(INDEX(DATA2026!B$2:B$401,MATCH(65,DATA2026!K$2:K$401,0)),"")</f>
        <v/>
      </c>
      <c r="K82" s="91" t="str">
        <f>IFERROR(INDEX(DATA2026!C$2:C$401,MATCH(65,DATA2026!K$2:K$401,0)),"")</f>
        <v/>
      </c>
      <c r="L82" s="91" t="str">
        <f>IFERROR(INDEX(DATA2026!D$2:D$401,MATCH(65,DATA2026!K$2:K$401,0)),"")</f>
        <v/>
      </c>
      <c r="N82" s="99" t="str">
        <f>IFERROR(INDEX(DATA2026!B$2:B$401,MATCH(65,DATA2026!L$2:L$401,0)),"")</f>
        <v/>
      </c>
      <c r="O82" s="91" t="str">
        <f>IFERROR(INDEX(DATA2026!C$2:C$401,MATCH(65,DATA2026!L$2:L$401,0)),"")</f>
        <v/>
      </c>
      <c r="P82" s="91" t="str">
        <f>IFERROR(INDEX(DATA2026!D$2:D$401,MATCH(65,DATA2026!L$2:L$401,0)),"")</f>
        <v/>
      </c>
    </row>
    <row r="83" spans="2:16" ht="24.75" customHeight="1">
      <c r="B83" s="92" t="str">
        <f>IFERROR(INDEX(DATA2026!B$2:B$401,MATCH(66,DATA2026!I$2:I$401,0)),"")</f>
        <v/>
      </c>
      <c r="C83" s="93" t="str">
        <f>IFERROR(INDEX(DATA2026!C$2:C$401,MATCH(66,DATA2026!I$2:I$401,0)),"")</f>
        <v/>
      </c>
      <c r="D83" s="93" t="str">
        <f>IFERROR(INDEX(DATA2026!D$2:D$401,MATCH(66,DATA2026!I$2:I$401,0)),"")</f>
        <v/>
      </c>
      <c r="F83" s="92" t="str">
        <f>IFERROR(INDEX(DATA2026!B$2:B$401,MATCH(66,DATA2026!J$2:J$401,0)),"")</f>
        <v/>
      </c>
      <c r="G83" s="93" t="str">
        <f>IFERROR(INDEX(DATA2026!C$2:C$401,MATCH(66,DATA2026!J$2:J$401,0)),"")</f>
        <v/>
      </c>
      <c r="H83" s="93" t="str">
        <f>IFERROR(INDEX(DATA2026!D$2:D$401,MATCH(66,DATA2026!J$2:J$401,0)),"")</f>
        <v/>
      </c>
      <c r="J83" s="98" t="str">
        <f>IFERROR(INDEX(DATA2026!B$2:B$401,MATCH(66,DATA2026!K$2:K$401,0)),"")</f>
        <v/>
      </c>
      <c r="K83" s="93" t="str">
        <f>IFERROR(INDEX(DATA2026!C$2:C$401,MATCH(66,DATA2026!K$2:K$401,0)),"")</f>
        <v/>
      </c>
      <c r="L83" s="93" t="str">
        <f>IFERROR(INDEX(DATA2026!D$2:D$401,MATCH(66,DATA2026!K$2:K$401,0)),"")</f>
        <v/>
      </c>
      <c r="N83" s="98" t="str">
        <f>IFERROR(INDEX(DATA2026!B$2:B$401,MATCH(66,DATA2026!L$2:L$401,0)),"")</f>
        <v/>
      </c>
      <c r="O83" s="93" t="str">
        <f>IFERROR(INDEX(DATA2026!C$2:C$401,MATCH(66,DATA2026!L$2:L$401,0)),"")</f>
        <v/>
      </c>
      <c r="P83" s="93" t="str">
        <f>IFERROR(INDEX(DATA2026!D$2:D$401,MATCH(66,DATA2026!L$2:L$401,0)),"")</f>
        <v/>
      </c>
    </row>
    <row r="84" spans="2:16" ht="24.75" customHeight="1">
      <c r="B84" s="90" t="str">
        <f>IFERROR(INDEX(DATA2026!B$2:B$401,MATCH(67,DATA2026!I$2:I$401,0)),"")</f>
        <v/>
      </c>
      <c r="C84" s="91" t="str">
        <f>IFERROR(INDEX(DATA2026!C$2:C$401,MATCH(67,DATA2026!I$2:I$401,0)),"")</f>
        <v/>
      </c>
      <c r="D84" s="91" t="str">
        <f>IFERROR(INDEX(DATA2026!D$2:D$401,MATCH(67,DATA2026!I$2:I$401,0)),"")</f>
        <v/>
      </c>
      <c r="F84" s="90" t="str">
        <f>IFERROR(INDEX(DATA2026!B$2:B$401,MATCH(67,DATA2026!J$2:J$401,0)),"")</f>
        <v/>
      </c>
      <c r="G84" s="91" t="str">
        <f>IFERROR(INDEX(DATA2026!C$2:C$401,MATCH(67,DATA2026!J$2:J$401,0)),"")</f>
        <v/>
      </c>
      <c r="H84" s="91" t="str">
        <f>IFERROR(INDEX(DATA2026!D$2:D$401,MATCH(67,DATA2026!J$2:J$401,0)),"")</f>
        <v/>
      </c>
      <c r="J84" s="99" t="str">
        <f>IFERROR(INDEX(DATA2026!B$2:B$401,MATCH(67,DATA2026!K$2:K$401,0)),"")</f>
        <v/>
      </c>
      <c r="K84" s="91" t="str">
        <f>IFERROR(INDEX(DATA2026!C$2:C$401,MATCH(67,DATA2026!K$2:K$401,0)),"")</f>
        <v/>
      </c>
      <c r="L84" s="91" t="str">
        <f>IFERROR(INDEX(DATA2026!D$2:D$401,MATCH(67,DATA2026!K$2:K$401,0)),"")</f>
        <v/>
      </c>
      <c r="N84" s="99" t="str">
        <f>IFERROR(INDEX(DATA2026!B$2:B$401,MATCH(67,DATA2026!L$2:L$401,0)),"")</f>
        <v/>
      </c>
      <c r="O84" s="91" t="str">
        <f>IFERROR(INDEX(DATA2026!C$2:C$401,MATCH(67,DATA2026!L$2:L$401,0)),"")</f>
        <v/>
      </c>
      <c r="P84" s="91" t="str">
        <f>IFERROR(INDEX(DATA2026!D$2:D$401,MATCH(67,DATA2026!L$2:L$401,0)),"")</f>
        <v/>
      </c>
    </row>
    <row r="85" spans="2:16" ht="24.75" customHeight="1">
      <c r="B85" s="92" t="str">
        <f>IFERROR(INDEX(DATA2026!B$2:B$401,MATCH(68,DATA2026!I$2:I$401,0)),"")</f>
        <v/>
      </c>
      <c r="C85" s="93" t="str">
        <f>IFERROR(INDEX(DATA2026!C$2:C$401,MATCH(68,DATA2026!I$2:I$401,0)),"")</f>
        <v/>
      </c>
      <c r="D85" s="93" t="str">
        <f>IFERROR(INDEX(DATA2026!D$2:D$401,MATCH(68,DATA2026!I$2:I$401,0)),"")</f>
        <v/>
      </c>
      <c r="F85" s="92" t="str">
        <f>IFERROR(INDEX(DATA2026!B$2:B$401,MATCH(68,DATA2026!J$2:J$401,0)),"")</f>
        <v/>
      </c>
      <c r="G85" s="93" t="str">
        <f>IFERROR(INDEX(DATA2026!C$2:C$401,MATCH(68,DATA2026!J$2:J$401,0)),"")</f>
        <v/>
      </c>
      <c r="H85" s="93" t="str">
        <f>IFERROR(INDEX(DATA2026!D$2:D$401,MATCH(68,DATA2026!J$2:J$401,0)),"")</f>
        <v/>
      </c>
      <c r="J85" s="98" t="str">
        <f>IFERROR(INDEX(DATA2026!B$2:B$401,MATCH(68,DATA2026!K$2:K$401,0)),"")</f>
        <v/>
      </c>
      <c r="K85" s="93" t="str">
        <f>IFERROR(INDEX(DATA2026!C$2:C$401,MATCH(68,DATA2026!K$2:K$401,0)),"")</f>
        <v/>
      </c>
      <c r="L85" s="93" t="str">
        <f>IFERROR(INDEX(DATA2026!D$2:D$401,MATCH(68,DATA2026!K$2:K$401,0)),"")</f>
        <v/>
      </c>
      <c r="N85" s="98" t="str">
        <f>IFERROR(INDEX(DATA2026!B$2:B$401,MATCH(68,DATA2026!L$2:L$401,0)),"")</f>
        <v/>
      </c>
      <c r="O85" s="93" t="str">
        <f>IFERROR(INDEX(DATA2026!C$2:C$401,MATCH(68,DATA2026!L$2:L$401,0)),"")</f>
        <v/>
      </c>
      <c r="P85" s="93" t="str">
        <f>IFERROR(INDEX(DATA2026!D$2:D$401,MATCH(68,DATA2026!L$2:L$401,0)),"")</f>
        <v/>
      </c>
    </row>
    <row r="86" spans="2:16" ht="24.75" customHeight="1">
      <c r="B86" s="90" t="str">
        <f>IFERROR(INDEX(DATA2026!B$2:B$401,MATCH(69,DATA2026!I$2:I$401,0)),"")</f>
        <v/>
      </c>
      <c r="C86" s="91" t="str">
        <f>IFERROR(INDEX(DATA2026!C$2:C$401,MATCH(69,DATA2026!I$2:I$401,0)),"")</f>
        <v/>
      </c>
      <c r="D86" s="91" t="str">
        <f>IFERROR(INDEX(DATA2026!D$2:D$401,MATCH(69,DATA2026!I$2:I$401,0)),"")</f>
        <v/>
      </c>
      <c r="F86" s="90" t="str">
        <f>IFERROR(INDEX(DATA2026!B$2:B$401,MATCH(69,DATA2026!J$2:J$401,0)),"")</f>
        <v/>
      </c>
      <c r="G86" s="91" t="str">
        <f>IFERROR(INDEX(DATA2026!C$2:C$401,MATCH(69,DATA2026!J$2:J$401,0)),"")</f>
        <v/>
      </c>
      <c r="H86" s="91" t="str">
        <f>IFERROR(INDEX(DATA2026!D$2:D$401,MATCH(69,DATA2026!J$2:J$401,0)),"")</f>
        <v/>
      </c>
      <c r="J86" s="99" t="str">
        <f>IFERROR(INDEX(DATA2026!B$2:B$401,MATCH(69,DATA2026!K$2:K$401,0)),"")</f>
        <v/>
      </c>
      <c r="K86" s="91" t="str">
        <f>IFERROR(INDEX(DATA2026!C$2:C$401,MATCH(69,DATA2026!K$2:K$401,0)),"")</f>
        <v/>
      </c>
      <c r="L86" s="91" t="str">
        <f>IFERROR(INDEX(DATA2026!D$2:D$401,MATCH(69,DATA2026!K$2:K$401,0)),"")</f>
        <v/>
      </c>
      <c r="N86" s="99" t="str">
        <f>IFERROR(INDEX(DATA2026!B$2:B$401,MATCH(69,DATA2026!L$2:L$401,0)),"")</f>
        <v/>
      </c>
      <c r="O86" s="91" t="str">
        <f>IFERROR(INDEX(DATA2026!C$2:C$401,MATCH(69,DATA2026!L$2:L$401,0)),"")</f>
        <v/>
      </c>
      <c r="P86" s="91" t="str">
        <f>IFERROR(INDEX(DATA2026!D$2:D$401,MATCH(69,DATA2026!L$2:L$401,0)),"")</f>
        <v/>
      </c>
    </row>
    <row r="87" spans="2:16" ht="24.75" customHeight="1">
      <c r="B87" s="92" t="str">
        <f>IFERROR(INDEX(DATA2026!B$2:B$401,MATCH(70,DATA2026!I$2:I$401,0)),"")</f>
        <v/>
      </c>
      <c r="C87" s="93" t="str">
        <f>IFERROR(INDEX(DATA2026!C$2:C$401,MATCH(70,DATA2026!I$2:I$401,0)),"")</f>
        <v/>
      </c>
      <c r="D87" s="93" t="str">
        <f>IFERROR(INDEX(DATA2026!D$2:D$401,MATCH(70,DATA2026!I$2:I$401,0)),"")</f>
        <v/>
      </c>
      <c r="F87" s="92" t="str">
        <f>IFERROR(INDEX(DATA2026!B$2:B$401,MATCH(70,DATA2026!J$2:J$401,0)),"")</f>
        <v/>
      </c>
      <c r="G87" s="93" t="str">
        <f>IFERROR(INDEX(DATA2026!C$2:C$401,MATCH(70,DATA2026!J$2:J$401,0)),"")</f>
        <v/>
      </c>
      <c r="H87" s="93" t="str">
        <f>IFERROR(INDEX(DATA2026!D$2:D$401,MATCH(70,DATA2026!J$2:J$401,0)),"")</f>
        <v/>
      </c>
      <c r="J87" s="98" t="str">
        <f>IFERROR(INDEX(DATA2026!B$2:B$401,MATCH(70,DATA2026!K$2:K$401,0)),"")</f>
        <v/>
      </c>
      <c r="K87" s="93" t="str">
        <f>IFERROR(INDEX(DATA2026!C$2:C$401,MATCH(70,DATA2026!K$2:K$401,0)),"")</f>
        <v/>
      </c>
      <c r="L87" s="93" t="str">
        <f>IFERROR(INDEX(DATA2026!D$2:D$401,MATCH(70,DATA2026!K$2:K$401,0)),"")</f>
        <v/>
      </c>
      <c r="N87" s="98" t="str">
        <f>IFERROR(INDEX(DATA2026!B$2:B$401,MATCH(70,DATA2026!L$2:L$401,0)),"")</f>
        <v/>
      </c>
      <c r="O87" s="93" t="str">
        <f>IFERROR(INDEX(DATA2026!C$2:C$401,MATCH(70,DATA2026!L$2:L$401,0)),"")</f>
        <v/>
      </c>
      <c r="P87" s="93" t="str">
        <f>IFERROR(INDEX(DATA2026!D$2:D$401,MATCH(70,DATA2026!L$2:L$401,0)),"")</f>
        <v/>
      </c>
    </row>
    <row r="88" spans="2:16" ht="24.75" customHeight="1">
      <c r="B88" s="90" t="str">
        <f>IFERROR(INDEX(DATA2026!B$2:B$401,MATCH(71,DATA2026!I$2:I$401,0)),"")</f>
        <v/>
      </c>
      <c r="C88" s="91" t="str">
        <f>IFERROR(INDEX(DATA2026!C$2:C$401,MATCH(71,DATA2026!I$2:I$401,0)),"")</f>
        <v/>
      </c>
      <c r="D88" s="91" t="str">
        <f>IFERROR(INDEX(DATA2026!D$2:D$401,MATCH(71,DATA2026!I$2:I$401,0)),"")</f>
        <v/>
      </c>
      <c r="F88" s="90" t="str">
        <f>IFERROR(INDEX(DATA2026!B$2:B$401,MATCH(71,DATA2026!J$2:J$401,0)),"")</f>
        <v/>
      </c>
      <c r="G88" s="91" t="str">
        <f>IFERROR(INDEX(DATA2026!C$2:C$401,MATCH(71,DATA2026!J$2:J$401,0)),"")</f>
        <v/>
      </c>
      <c r="H88" s="91" t="str">
        <f>IFERROR(INDEX(DATA2026!D$2:D$401,MATCH(71,DATA2026!J$2:J$401,0)),"")</f>
        <v/>
      </c>
      <c r="J88" s="99" t="str">
        <f>IFERROR(INDEX(DATA2026!B$2:B$401,MATCH(71,DATA2026!K$2:K$401,0)),"")</f>
        <v/>
      </c>
      <c r="K88" s="91" t="str">
        <f>IFERROR(INDEX(DATA2026!C$2:C$401,MATCH(71,DATA2026!K$2:K$401,0)),"")</f>
        <v/>
      </c>
      <c r="L88" s="91" t="str">
        <f>IFERROR(INDEX(DATA2026!D$2:D$401,MATCH(71,DATA2026!K$2:K$401,0)),"")</f>
        <v/>
      </c>
      <c r="N88" s="99" t="str">
        <f>IFERROR(INDEX(DATA2026!B$2:B$401,MATCH(71,DATA2026!L$2:L$401,0)),"")</f>
        <v/>
      </c>
      <c r="O88" s="91" t="str">
        <f>IFERROR(INDEX(DATA2026!C$2:C$401,MATCH(71,DATA2026!L$2:L$401,0)),"")</f>
        <v/>
      </c>
      <c r="P88" s="91" t="str">
        <f>IFERROR(INDEX(DATA2026!D$2:D$401,MATCH(71,DATA2026!L$2:L$401,0)),"")</f>
        <v/>
      </c>
    </row>
    <row r="89" spans="2:16" ht="24.75" customHeight="1">
      <c r="B89" s="92" t="str">
        <f>IFERROR(INDEX(DATA2026!B$2:B$401,MATCH(72,DATA2026!I$2:I$401,0)),"")</f>
        <v/>
      </c>
      <c r="C89" s="93" t="str">
        <f>IFERROR(INDEX(DATA2026!C$2:C$401,MATCH(72,DATA2026!I$2:I$401,0)),"")</f>
        <v/>
      </c>
      <c r="D89" s="93" t="str">
        <f>IFERROR(INDEX(DATA2026!D$2:D$401,MATCH(72,DATA2026!I$2:I$401,0)),"")</f>
        <v/>
      </c>
      <c r="F89" s="92" t="str">
        <f>IFERROR(INDEX(DATA2026!B$2:B$401,MATCH(72,DATA2026!J$2:J$401,0)),"")</f>
        <v/>
      </c>
      <c r="G89" s="93" t="str">
        <f>IFERROR(INDEX(DATA2026!C$2:C$401,MATCH(72,DATA2026!J$2:J$401,0)),"")</f>
        <v/>
      </c>
      <c r="H89" s="93" t="str">
        <f>IFERROR(INDEX(DATA2026!D$2:D$401,MATCH(72,DATA2026!J$2:J$401,0)),"")</f>
        <v/>
      </c>
      <c r="J89" s="98" t="str">
        <f>IFERROR(INDEX(DATA2026!B$2:B$401,MATCH(72,DATA2026!K$2:K$401,0)),"")</f>
        <v/>
      </c>
      <c r="K89" s="93" t="str">
        <f>IFERROR(INDEX(DATA2026!C$2:C$401,MATCH(72,DATA2026!K$2:K$401,0)),"")</f>
        <v/>
      </c>
      <c r="L89" s="93" t="str">
        <f>IFERROR(INDEX(DATA2026!D$2:D$401,MATCH(72,DATA2026!K$2:K$401,0)),"")</f>
        <v/>
      </c>
      <c r="N89" s="98" t="str">
        <f>IFERROR(INDEX(DATA2026!B$2:B$401,MATCH(72,DATA2026!L$2:L$401,0)),"")</f>
        <v/>
      </c>
      <c r="O89" s="93" t="str">
        <f>IFERROR(INDEX(DATA2026!C$2:C$401,MATCH(72,DATA2026!L$2:L$401,0)),"")</f>
        <v/>
      </c>
      <c r="P89" s="93" t="str">
        <f>IFERROR(INDEX(DATA2026!D$2:D$401,MATCH(72,DATA2026!L$2:L$401,0)),"")</f>
        <v/>
      </c>
    </row>
    <row r="90" spans="2:16" ht="24.75" customHeight="1">
      <c r="B90" s="90" t="str">
        <f>IFERROR(INDEX(DATA2026!B$2:B$401,MATCH(73,DATA2026!I$2:I$401,0)),"")</f>
        <v/>
      </c>
      <c r="C90" s="91" t="str">
        <f>IFERROR(INDEX(DATA2026!C$2:C$401,MATCH(73,DATA2026!I$2:I$401,0)),"")</f>
        <v/>
      </c>
      <c r="D90" s="91" t="str">
        <f>IFERROR(INDEX(DATA2026!D$2:D$401,MATCH(73,DATA2026!I$2:I$401,0)),"")</f>
        <v/>
      </c>
      <c r="F90" s="90" t="str">
        <f>IFERROR(INDEX(DATA2026!B$2:B$401,MATCH(73,DATA2026!J$2:J$401,0)),"")</f>
        <v/>
      </c>
      <c r="G90" s="91" t="str">
        <f>IFERROR(INDEX(DATA2026!C$2:C$401,MATCH(73,DATA2026!J$2:J$401,0)),"")</f>
        <v/>
      </c>
      <c r="H90" s="91" t="str">
        <f>IFERROR(INDEX(DATA2026!D$2:D$401,MATCH(73,DATA2026!J$2:J$401,0)),"")</f>
        <v/>
      </c>
      <c r="J90" s="99" t="str">
        <f>IFERROR(INDEX(DATA2026!B$2:B$401,MATCH(73,DATA2026!K$2:K$401,0)),"")</f>
        <v/>
      </c>
      <c r="K90" s="91" t="str">
        <f>IFERROR(INDEX(DATA2026!C$2:C$401,MATCH(73,DATA2026!K$2:K$401,0)),"")</f>
        <v/>
      </c>
      <c r="L90" s="91" t="str">
        <f>IFERROR(INDEX(DATA2026!D$2:D$401,MATCH(73,DATA2026!K$2:K$401,0)),"")</f>
        <v/>
      </c>
      <c r="N90" s="99" t="str">
        <f>IFERROR(INDEX(DATA2026!B$2:B$401,MATCH(73,DATA2026!L$2:L$401,0)),"")</f>
        <v/>
      </c>
      <c r="O90" s="91" t="str">
        <f>IFERROR(INDEX(DATA2026!C$2:C$401,MATCH(73,DATA2026!L$2:L$401,0)),"")</f>
        <v/>
      </c>
      <c r="P90" s="91" t="str">
        <f>IFERROR(INDEX(DATA2026!D$2:D$401,MATCH(73,DATA2026!L$2:L$401,0)),"")</f>
        <v/>
      </c>
    </row>
    <row r="91" spans="2:16" ht="24.75" customHeight="1">
      <c r="B91" s="92" t="str">
        <f>IFERROR(INDEX(DATA2026!B$2:B$401,MATCH(74,DATA2026!I$2:I$401,0)),"")</f>
        <v/>
      </c>
      <c r="C91" s="93" t="str">
        <f>IFERROR(INDEX(DATA2026!C$2:C$401,MATCH(74,DATA2026!I$2:I$401,0)),"")</f>
        <v/>
      </c>
      <c r="D91" s="93" t="str">
        <f>IFERROR(INDEX(DATA2026!D$2:D$401,MATCH(74,DATA2026!I$2:I$401,0)),"")</f>
        <v/>
      </c>
      <c r="F91" s="92" t="str">
        <f>IFERROR(INDEX(DATA2026!B$2:B$401,MATCH(74,DATA2026!J$2:J$401,0)),"")</f>
        <v/>
      </c>
      <c r="G91" s="93" t="str">
        <f>IFERROR(INDEX(DATA2026!C$2:C$401,MATCH(74,DATA2026!J$2:J$401,0)),"")</f>
        <v/>
      </c>
      <c r="H91" s="93" t="str">
        <f>IFERROR(INDEX(DATA2026!D$2:D$401,MATCH(74,DATA2026!J$2:J$401,0)),"")</f>
        <v/>
      </c>
      <c r="J91" s="98" t="str">
        <f>IFERROR(INDEX(DATA2026!B$2:B$401,MATCH(74,DATA2026!K$2:K$401,0)),"")</f>
        <v/>
      </c>
      <c r="K91" s="93" t="str">
        <f>IFERROR(INDEX(DATA2026!C$2:C$401,MATCH(74,DATA2026!K$2:K$401,0)),"")</f>
        <v/>
      </c>
      <c r="L91" s="93" t="str">
        <f>IFERROR(INDEX(DATA2026!D$2:D$401,MATCH(74,DATA2026!K$2:K$401,0)),"")</f>
        <v/>
      </c>
      <c r="N91" s="98" t="str">
        <f>IFERROR(INDEX(DATA2026!B$2:B$401,MATCH(74,DATA2026!L$2:L$401,0)),"")</f>
        <v/>
      </c>
      <c r="O91" s="93" t="str">
        <f>IFERROR(INDEX(DATA2026!C$2:C$401,MATCH(74,DATA2026!L$2:L$401,0)),"")</f>
        <v/>
      </c>
      <c r="P91" s="93" t="str">
        <f>IFERROR(INDEX(DATA2026!D$2:D$401,MATCH(74,DATA2026!L$2:L$401,0)),"")</f>
        <v/>
      </c>
    </row>
    <row r="92" spans="2:16" ht="24.75" customHeight="1">
      <c r="B92" s="90" t="str">
        <f>IFERROR(INDEX(DATA2026!B$2:B$401,MATCH(75,DATA2026!I$2:I$401,0)),"")</f>
        <v/>
      </c>
      <c r="C92" s="91" t="str">
        <f>IFERROR(INDEX(DATA2026!C$2:C$401,MATCH(75,DATA2026!I$2:I$401,0)),"")</f>
        <v/>
      </c>
      <c r="D92" s="91" t="str">
        <f>IFERROR(INDEX(DATA2026!D$2:D$401,MATCH(75,DATA2026!I$2:I$401,0)),"")</f>
        <v/>
      </c>
      <c r="F92" s="90" t="str">
        <f>IFERROR(INDEX(DATA2026!B$2:B$401,MATCH(75,DATA2026!J$2:J$401,0)),"")</f>
        <v/>
      </c>
      <c r="G92" s="91" t="str">
        <f>IFERROR(INDEX(DATA2026!C$2:C$401,MATCH(75,DATA2026!J$2:J$401,0)),"")</f>
        <v/>
      </c>
      <c r="H92" s="91" t="str">
        <f>IFERROR(INDEX(DATA2026!D$2:D$401,MATCH(75,DATA2026!J$2:J$401,0)),"")</f>
        <v/>
      </c>
      <c r="J92" s="99" t="str">
        <f>IFERROR(INDEX(DATA2026!B$2:B$401,MATCH(75,DATA2026!K$2:K$401,0)),"")</f>
        <v/>
      </c>
      <c r="K92" s="91" t="str">
        <f>IFERROR(INDEX(DATA2026!C$2:C$401,MATCH(75,DATA2026!K$2:K$401,0)),"")</f>
        <v/>
      </c>
      <c r="L92" s="91" t="str">
        <f>IFERROR(INDEX(DATA2026!D$2:D$401,MATCH(75,DATA2026!K$2:K$401,0)),"")</f>
        <v/>
      </c>
      <c r="N92" s="99" t="str">
        <f>IFERROR(INDEX(DATA2026!B$2:B$401,MATCH(75,DATA2026!L$2:L$401,0)),"")</f>
        <v/>
      </c>
      <c r="O92" s="91" t="str">
        <f>IFERROR(INDEX(DATA2026!C$2:C$401,MATCH(75,DATA2026!L$2:L$401,0)),"")</f>
        <v/>
      </c>
      <c r="P92" s="91" t="str">
        <f>IFERROR(INDEX(DATA2026!D$2:D$401,MATCH(75,DATA2026!L$2:L$401,0)),"")</f>
        <v/>
      </c>
    </row>
    <row r="93" spans="2:16" ht="24.75" customHeight="1">
      <c r="B93" s="92" t="str">
        <f>IFERROR(INDEX(DATA2026!B$2:B$401,MATCH(76,DATA2026!I$2:I$401,0)),"")</f>
        <v/>
      </c>
      <c r="C93" s="93" t="str">
        <f>IFERROR(INDEX(DATA2026!C$2:C$401,MATCH(76,DATA2026!I$2:I$401,0)),"")</f>
        <v/>
      </c>
      <c r="D93" s="93" t="str">
        <f>IFERROR(INDEX(DATA2026!D$2:D$401,MATCH(76,DATA2026!I$2:I$401,0)),"")</f>
        <v/>
      </c>
      <c r="F93" s="92" t="str">
        <f>IFERROR(INDEX(DATA2026!B$2:B$401,MATCH(76,DATA2026!J$2:J$401,0)),"")</f>
        <v/>
      </c>
      <c r="G93" s="93" t="str">
        <f>IFERROR(INDEX(DATA2026!C$2:C$401,MATCH(76,DATA2026!J$2:J$401,0)),"")</f>
        <v/>
      </c>
      <c r="H93" s="93" t="str">
        <f>IFERROR(INDEX(DATA2026!D$2:D$401,MATCH(76,DATA2026!J$2:J$401,0)),"")</f>
        <v/>
      </c>
      <c r="J93" s="98" t="str">
        <f>IFERROR(INDEX(DATA2026!B$2:B$401,MATCH(76,DATA2026!K$2:K$401,0)),"")</f>
        <v/>
      </c>
      <c r="K93" s="93" t="str">
        <f>IFERROR(INDEX(DATA2026!C$2:C$401,MATCH(76,DATA2026!K$2:K$401,0)),"")</f>
        <v/>
      </c>
      <c r="L93" s="93" t="str">
        <f>IFERROR(INDEX(DATA2026!D$2:D$401,MATCH(76,DATA2026!K$2:K$401,0)),"")</f>
        <v/>
      </c>
      <c r="N93" s="98" t="str">
        <f>IFERROR(INDEX(DATA2026!B$2:B$401,MATCH(76,DATA2026!L$2:L$401,0)),"")</f>
        <v/>
      </c>
      <c r="O93" s="93" t="str">
        <f>IFERROR(INDEX(DATA2026!C$2:C$401,MATCH(76,DATA2026!L$2:L$401,0)),"")</f>
        <v/>
      </c>
      <c r="P93" s="93" t="str">
        <f>IFERROR(INDEX(DATA2026!D$2:D$401,MATCH(76,DATA2026!L$2:L$401,0)),"")</f>
        <v/>
      </c>
    </row>
    <row r="94" spans="2:16" ht="24.75" customHeight="1">
      <c r="B94" s="90" t="str">
        <f>IFERROR(INDEX(DATA2026!B$2:B$401,MATCH(77,DATA2026!I$2:I$401,0)),"")</f>
        <v/>
      </c>
      <c r="C94" s="91" t="str">
        <f>IFERROR(INDEX(DATA2026!C$2:C$401,MATCH(77,DATA2026!I$2:I$401,0)),"")</f>
        <v/>
      </c>
      <c r="D94" s="91" t="str">
        <f>IFERROR(INDEX(DATA2026!D$2:D$401,MATCH(77,DATA2026!I$2:I$401,0)),"")</f>
        <v/>
      </c>
      <c r="F94" s="90" t="str">
        <f>IFERROR(INDEX(DATA2026!B$2:B$401,MATCH(77,DATA2026!J$2:J$401,0)),"")</f>
        <v/>
      </c>
      <c r="G94" s="91" t="str">
        <f>IFERROR(INDEX(DATA2026!C$2:C$401,MATCH(77,DATA2026!J$2:J$401,0)),"")</f>
        <v/>
      </c>
      <c r="H94" s="91" t="str">
        <f>IFERROR(INDEX(DATA2026!D$2:D$401,MATCH(77,DATA2026!J$2:J$401,0)),"")</f>
        <v/>
      </c>
      <c r="J94" s="99" t="str">
        <f>IFERROR(INDEX(DATA2026!B$2:B$401,MATCH(77,DATA2026!K$2:K$401,0)),"")</f>
        <v/>
      </c>
      <c r="K94" s="91" t="str">
        <f>IFERROR(INDEX(DATA2026!C$2:C$401,MATCH(77,DATA2026!K$2:K$401,0)),"")</f>
        <v/>
      </c>
      <c r="L94" s="91" t="str">
        <f>IFERROR(INDEX(DATA2026!D$2:D$401,MATCH(77,DATA2026!K$2:K$401,0)),"")</f>
        <v/>
      </c>
      <c r="N94" s="99" t="str">
        <f>IFERROR(INDEX(DATA2026!B$2:B$401,MATCH(77,DATA2026!L$2:L$401,0)),"")</f>
        <v/>
      </c>
      <c r="O94" s="91" t="str">
        <f>IFERROR(INDEX(DATA2026!C$2:C$401,MATCH(77,DATA2026!L$2:L$401,0)),"")</f>
        <v/>
      </c>
      <c r="P94" s="91" t="str">
        <f>IFERROR(INDEX(DATA2026!D$2:D$401,MATCH(77,DATA2026!L$2:L$401,0)),"")</f>
        <v/>
      </c>
    </row>
    <row r="95" spans="2:16" ht="24.75" customHeight="1">
      <c r="B95" s="92" t="str">
        <f>IFERROR(INDEX(DATA2026!B$2:B$401,MATCH(78,DATA2026!I$2:I$401,0)),"")</f>
        <v/>
      </c>
      <c r="C95" s="93" t="str">
        <f>IFERROR(INDEX(DATA2026!C$2:C$401,MATCH(78,DATA2026!I$2:I$401,0)),"")</f>
        <v/>
      </c>
      <c r="D95" s="93" t="str">
        <f>IFERROR(INDEX(DATA2026!D$2:D$401,MATCH(78,DATA2026!I$2:I$401,0)),"")</f>
        <v/>
      </c>
      <c r="F95" s="92" t="str">
        <f>IFERROR(INDEX(DATA2026!B$2:B$401,MATCH(78,DATA2026!J$2:J$401,0)),"")</f>
        <v/>
      </c>
      <c r="G95" s="93" t="str">
        <f>IFERROR(INDEX(DATA2026!C$2:C$401,MATCH(78,DATA2026!J$2:J$401,0)),"")</f>
        <v/>
      </c>
      <c r="H95" s="93" t="str">
        <f>IFERROR(INDEX(DATA2026!D$2:D$401,MATCH(78,DATA2026!J$2:J$401,0)),"")</f>
        <v/>
      </c>
      <c r="J95" s="98" t="str">
        <f>IFERROR(INDEX(DATA2026!B$2:B$401,MATCH(78,DATA2026!K$2:K$401,0)),"")</f>
        <v/>
      </c>
      <c r="K95" s="93" t="str">
        <f>IFERROR(INDEX(DATA2026!C$2:C$401,MATCH(78,DATA2026!K$2:K$401,0)),"")</f>
        <v/>
      </c>
      <c r="L95" s="93" t="str">
        <f>IFERROR(INDEX(DATA2026!D$2:D$401,MATCH(78,DATA2026!K$2:K$401,0)),"")</f>
        <v/>
      </c>
      <c r="N95" s="98" t="str">
        <f>IFERROR(INDEX(DATA2026!B$2:B$401,MATCH(78,DATA2026!L$2:L$401,0)),"")</f>
        <v/>
      </c>
      <c r="O95" s="93" t="str">
        <f>IFERROR(INDEX(DATA2026!C$2:C$401,MATCH(78,DATA2026!L$2:L$401,0)),"")</f>
        <v/>
      </c>
      <c r="P95" s="93" t="str">
        <f>IFERROR(INDEX(DATA2026!D$2:D$401,MATCH(78,DATA2026!L$2:L$401,0)),"")</f>
        <v/>
      </c>
    </row>
    <row r="96" spans="2:16" ht="24.75" customHeight="1">
      <c r="B96" s="90" t="str">
        <f>IFERROR(INDEX(DATA2026!B$2:B$401,MATCH(79,DATA2026!I$2:I$401,0)),"")</f>
        <v/>
      </c>
      <c r="C96" s="91" t="str">
        <f>IFERROR(INDEX(DATA2026!C$2:C$401,MATCH(79,DATA2026!I$2:I$401,0)),"")</f>
        <v/>
      </c>
      <c r="D96" s="91" t="str">
        <f>IFERROR(INDEX(DATA2026!D$2:D$401,MATCH(79,DATA2026!I$2:I$401,0)),"")</f>
        <v/>
      </c>
      <c r="F96" s="90" t="str">
        <f>IFERROR(INDEX(DATA2026!B$2:B$401,MATCH(79,DATA2026!J$2:J$401,0)),"")</f>
        <v/>
      </c>
      <c r="G96" s="91" t="str">
        <f>IFERROR(INDEX(DATA2026!C$2:C$401,MATCH(79,DATA2026!J$2:J$401,0)),"")</f>
        <v/>
      </c>
      <c r="H96" s="91" t="str">
        <f>IFERROR(INDEX(DATA2026!D$2:D$401,MATCH(79,DATA2026!J$2:J$401,0)),"")</f>
        <v/>
      </c>
      <c r="J96" s="99" t="str">
        <f>IFERROR(INDEX(DATA2026!B$2:B$401,MATCH(79,DATA2026!K$2:K$401,0)),"")</f>
        <v/>
      </c>
      <c r="K96" s="91" t="str">
        <f>IFERROR(INDEX(DATA2026!C$2:C$401,MATCH(79,DATA2026!K$2:K$401,0)),"")</f>
        <v/>
      </c>
      <c r="L96" s="91" t="str">
        <f>IFERROR(INDEX(DATA2026!D$2:D$401,MATCH(79,DATA2026!K$2:K$401,0)),"")</f>
        <v/>
      </c>
      <c r="N96" s="99" t="str">
        <f>IFERROR(INDEX(DATA2026!B$2:B$401,MATCH(79,DATA2026!L$2:L$401,0)),"")</f>
        <v/>
      </c>
      <c r="O96" s="91" t="str">
        <f>IFERROR(INDEX(DATA2026!C$2:C$401,MATCH(79,DATA2026!L$2:L$401,0)),"")</f>
        <v/>
      </c>
      <c r="P96" s="91" t="str">
        <f>IFERROR(INDEX(DATA2026!D$2:D$401,MATCH(79,DATA2026!L$2:L$401,0)),"")</f>
        <v/>
      </c>
    </row>
    <row r="97" spans="2:16" ht="24.75" customHeight="1">
      <c r="B97" s="92" t="str">
        <f>IFERROR(INDEX(DATA2026!B$2:B$401,MATCH(80,DATA2026!I$2:I$401,0)),"")</f>
        <v/>
      </c>
      <c r="C97" s="93" t="str">
        <f>IFERROR(INDEX(DATA2026!C$2:C$401,MATCH(80,DATA2026!I$2:I$401,0)),"")</f>
        <v/>
      </c>
      <c r="D97" s="93" t="str">
        <f>IFERROR(INDEX(DATA2026!D$2:D$401,MATCH(80,DATA2026!I$2:I$401,0)),"")</f>
        <v/>
      </c>
      <c r="F97" s="92" t="str">
        <f>IFERROR(INDEX(DATA2026!B$2:B$401,MATCH(80,DATA2026!J$2:J$401,0)),"")</f>
        <v/>
      </c>
      <c r="G97" s="93" t="str">
        <f>IFERROR(INDEX(DATA2026!C$2:C$401,MATCH(80,DATA2026!J$2:J$401,0)),"")</f>
        <v/>
      </c>
      <c r="H97" s="93" t="str">
        <f>IFERROR(INDEX(DATA2026!D$2:D$401,MATCH(80,DATA2026!J$2:J$401,0)),"")</f>
        <v/>
      </c>
      <c r="J97" s="98" t="str">
        <f>IFERROR(INDEX(DATA2026!B$2:B$401,MATCH(80,DATA2026!K$2:K$401,0)),"")</f>
        <v/>
      </c>
      <c r="K97" s="93" t="str">
        <f>IFERROR(INDEX(DATA2026!C$2:C$401,MATCH(80,DATA2026!K$2:K$401,0)),"")</f>
        <v/>
      </c>
      <c r="L97" s="93" t="str">
        <f>IFERROR(INDEX(DATA2026!D$2:D$401,MATCH(80,DATA2026!K$2:K$401,0)),"")</f>
        <v/>
      </c>
      <c r="N97" s="98" t="str">
        <f>IFERROR(INDEX(DATA2026!B$2:B$401,MATCH(80,DATA2026!L$2:L$401,0)),"")</f>
        <v/>
      </c>
      <c r="O97" s="93" t="str">
        <f>IFERROR(INDEX(DATA2026!C$2:C$401,MATCH(80,DATA2026!L$2:L$401,0)),"")</f>
        <v/>
      </c>
      <c r="P97" s="93" t="str">
        <f>IFERROR(INDEX(DATA2026!D$2:D$401,MATCH(80,DATA2026!L$2:L$401,0)),"")</f>
        <v/>
      </c>
    </row>
    <row r="98" spans="2:16" ht="24" customHeight="1">
      <c r="B98" s="121" t="s">
        <v>79</v>
      </c>
      <c r="C98" s="121"/>
      <c r="D98" s="94">
        <f>SUMIF(DATA2026!A$2:A$401,"Q12026",DATA2026!E$2:E$401)</f>
        <v>0</v>
      </c>
      <c r="F98" s="122" t="s">
        <v>80</v>
      </c>
      <c r="G98" s="122"/>
      <c r="H98" s="95">
        <f>SUMIF(DATA2026!A$2:A$401,"Q22026",DATA2026!E$2:E$401)</f>
        <v>660</v>
      </c>
      <c r="J98" s="123" t="s">
        <v>81</v>
      </c>
      <c r="K98" s="123"/>
      <c r="L98" s="96">
        <f>SUMIF(DATA2026!A$2:A$401,"Q32026",DATA2026!E$2:E$401)</f>
        <v>1269</v>
      </c>
      <c r="N98" s="124" t="s">
        <v>82</v>
      </c>
      <c r="O98" s="124"/>
      <c r="P98" s="97">
        <f>SUMIF(DATA2026!A$2:A$401,"Q42026",DATA2026!E$2:E$401)</f>
        <v>0</v>
      </c>
    </row>
    <row r="100" spans="2:16" ht="15.75" customHeight="1">
      <c r="B100" s="120" t="s">
        <v>83</v>
      </c>
      <c r="C100" s="120"/>
      <c r="D100" s="120"/>
      <c r="E100" s="120"/>
      <c r="F100" s="120"/>
      <c r="G100" s="120"/>
      <c r="H100" s="120"/>
      <c r="I100" s="120"/>
      <c r="J100" s="120"/>
      <c r="K100" s="120"/>
      <c r="L100" s="120"/>
      <c r="M100" s="120"/>
      <c r="N100" s="120"/>
      <c r="O100" s="120"/>
      <c r="P100" s="120"/>
    </row>
    <row r="101" spans="2:16" ht="15.75" customHeight="1">
      <c r="B101" s="120" t="s">
        <v>84</v>
      </c>
      <c r="C101" s="120"/>
      <c r="D101" s="120"/>
      <c r="E101" s="120"/>
      <c r="F101" s="120"/>
      <c r="G101" s="120"/>
      <c r="H101" s="120"/>
      <c r="I101" s="120"/>
      <c r="J101" s="120"/>
      <c r="K101" s="120"/>
      <c r="L101" s="120"/>
      <c r="M101" s="120"/>
      <c r="N101" s="120"/>
      <c r="O101" s="120"/>
      <c r="P101" s="120"/>
    </row>
  </sheetData>
  <mergeCells count="19">
    <mergeCell ref="B101:P101"/>
    <mergeCell ref="B98:C98"/>
    <mergeCell ref="F98:G98"/>
    <mergeCell ref="J98:K98"/>
    <mergeCell ref="N98:O98"/>
    <mergeCell ref="B100:P100"/>
    <mergeCell ref="B7:D7"/>
    <mergeCell ref="F7:H7"/>
    <mergeCell ref="J7:L7"/>
    <mergeCell ref="N7:P7"/>
    <mergeCell ref="B16:D16"/>
    <mergeCell ref="F16:H16"/>
    <mergeCell ref="J16:L16"/>
    <mergeCell ref="N16:P16"/>
    <mergeCell ref="B1:P1"/>
    <mergeCell ref="B2:D2"/>
    <mergeCell ref="F2:H2"/>
    <mergeCell ref="J2:L2"/>
    <mergeCell ref="N2:P2"/>
  </mergeCells>
  <conditionalFormatting sqref="D18:D97">
    <cfRule type="cellIs" dxfId="118" priority="2" operator="equal">
      <formula>"Strengthen"</formula>
    </cfRule>
    <cfRule type="cellIs" dxfId="117" priority="3" operator="equal">
      <formula>"Innovation"</formula>
    </cfRule>
    <cfRule type="cellIs" dxfId="116" priority="4" operator="equal">
      <formula>"Repair"</formula>
    </cfRule>
  </conditionalFormatting>
  <conditionalFormatting sqref="H18:H97">
    <cfRule type="cellIs" dxfId="115" priority="6" operator="equal">
      <formula>"Strengthen"</formula>
    </cfRule>
    <cfRule type="cellIs" dxfId="114" priority="7" operator="equal">
      <formula>"Innovation"</formula>
    </cfRule>
    <cfRule type="cellIs" dxfId="113" priority="8" operator="equal">
      <formula>"Repair"</formula>
    </cfRule>
  </conditionalFormatting>
  <conditionalFormatting sqref="L18:L97">
    <cfRule type="cellIs" dxfId="112" priority="10" operator="equal">
      <formula>"Strengthen"</formula>
    </cfRule>
    <cfRule type="cellIs" dxfId="111" priority="11" operator="equal">
      <formula>"Innovation"</formula>
    </cfRule>
    <cfRule type="cellIs" dxfId="110" priority="12" operator="equal">
      <formula>"Repair"</formula>
    </cfRule>
  </conditionalFormatting>
  <conditionalFormatting sqref="P18:P97">
    <cfRule type="cellIs" dxfId="109" priority="14" operator="equal">
      <formula>"Strengthen"</formula>
    </cfRule>
    <cfRule type="cellIs" dxfId="108" priority="15" operator="equal">
      <formula>"Innovation"</formula>
    </cfRule>
    <cfRule type="cellIs" dxfId="107" priority="16" operator="equal">
      <formula>"Repair"</formula>
    </cfRule>
  </conditionalFormatting>
  <pageMargins left="0.75" right="0.75" top="1" bottom="1" header="0.511811023622047" footer="0.511811023622047"/>
  <pageSetup paperSize="9" orientation="portrait" horizontalDpi="300" verticalDpi="300"/>
  <tableParts count="4">
    <tablePart r:id="rId1"/>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5" id="{00000000-000E-0000-0000-000005000000}">
            <xm:f>IFERROR(INDEX(DATA2026!$H$2:$H$401,MATCH(ROW()-18+1,DATA2026!$I$2:$I$401,0))="PO-Backlog",0)</xm:f>
            <x14:dxf>
              <fill>
                <patternFill>
                  <bgColor rgb="FFFFF176"/>
                </patternFill>
              </fill>
            </x14:dxf>
          </x14:cfRule>
          <xm:sqref>B18:B97</xm:sqref>
        </x14:conditionalFormatting>
        <x14:conditionalFormatting xmlns:xm="http://schemas.microsoft.com/office/excel/2006/main">
          <x14:cfRule type="expression" priority="9" id="{00000000-000E-0000-0000-000009000000}">
            <xm:f>IFERROR(INDEX(DATA2026!$H$2:$H$401,MATCH(ROW()-18+1,DATA2026!$J$2:$J$401,0))="PO-Backlog",0)</xm:f>
            <x14:dxf>
              <fill>
                <patternFill>
                  <bgColor rgb="FFFFF176"/>
                </patternFill>
              </fill>
            </x14:dxf>
          </x14:cfRule>
          <xm:sqref>F18:F97</xm:sqref>
        </x14:conditionalFormatting>
        <x14:conditionalFormatting xmlns:xm="http://schemas.microsoft.com/office/excel/2006/main">
          <x14:cfRule type="expression" priority="13" id="{00000000-000E-0000-0000-00000D000000}">
            <xm:f>IFERROR(INDEX(DATA2026!$H$2:$H$401,MATCH(ROW()-18+1,DATA2026!$K$2:$K$401,0))="PO-Backlog",0)</xm:f>
            <x14:dxf>
              <fill>
                <patternFill>
                  <bgColor rgb="FFFFF176"/>
                </patternFill>
              </fill>
            </x14:dxf>
          </x14:cfRule>
          <xm:sqref>J18:J97</xm:sqref>
        </x14:conditionalFormatting>
        <x14:conditionalFormatting xmlns:xm="http://schemas.microsoft.com/office/excel/2006/main">
          <x14:cfRule type="expression" priority="17" id="{00000000-000E-0000-0000-000011000000}">
            <xm:f>IFERROR(INDEX(DATA2026!$H$2:$H$401,MATCH(ROW()-18+1,DATA2026!$L$2:$L$401,0))="PO-Backlog",0)</xm:f>
            <x14:dxf>
              <fill>
                <patternFill>
                  <bgColor rgb="FFFFF176"/>
                </patternFill>
              </fill>
            </x14:dxf>
          </x14:cfRule>
          <xm:sqref>N18:N97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499984740745262"/>
  </sheetPr>
  <dimension ref="A1:H48"/>
  <sheetViews>
    <sheetView showGridLines="0" zoomScaleNormal="100" workbookViewId="0">
      <selection activeCell="D24" sqref="D24"/>
    </sheetView>
  </sheetViews>
  <sheetFormatPr defaultColWidth="8.7109375" defaultRowHeight="15"/>
  <cols>
    <col min="1" max="1" width="26" customWidth="1"/>
    <col min="2" max="5" width="14" customWidth="1"/>
    <col min="6" max="8" width="16" customWidth="1"/>
  </cols>
  <sheetData>
    <row r="1" spans="1:8" ht="49.5" customHeight="1">
      <c r="A1" s="126" t="s">
        <v>85</v>
      </c>
      <c r="B1" s="126"/>
      <c r="C1" s="126"/>
      <c r="D1" s="126"/>
      <c r="E1" s="126"/>
      <c r="F1" s="126"/>
      <c r="G1" s="126"/>
      <c r="H1" s="126"/>
    </row>
    <row r="3" spans="1:8" ht="21.75" customHeight="1">
      <c r="A3" s="125" t="s">
        <v>86</v>
      </c>
      <c r="B3" s="125"/>
      <c r="C3" s="125"/>
      <c r="D3" s="125"/>
      <c r="E3" s="125"/>
      <c r="F3" s="125"/>
      <c r="G3" s="125"/>
      <c r="H3" s="125"/>
    </row>
    <row r="4" spans="1:8" ht="19.5" customHeight="1">
      <c r="A4" s="24"/>
      <c r="B4" s="24" t="s">
        <v>87</v>
      </c>
      <c r="C4" s="24" t="s">
        <v>88</v>
      </c>
      <c r="D4" s="24" t="s">
        <v>89</v>
      </c>
      <c r="E4" s="24" t="s">
        <v>90</v>
      </c>
      <c r="F4" s="24" t="s">
        <v>91</v>
      </c>
    </row>
    <row r="5" spans="1:8" ht="19.5" customHeight="1">
      <c r="A5" s="25" t="s">
        <v>92</v>
      </c>
      <c r="B5" s="26">
        <f>COUNTIFS(DATA2026!A$2:A$401,"Q12026",DATA2026!D$2:D$401,"Strengthen")</f>
        <v>0</v>
      </c>
      <c r="C5" s="26">
        <f>COUNTIFS(DATA2026!A$2:A$401,"Q22026",DATA2026!D$2:D$401,"Strengthen")</f>
        <v>7</v>
      </c>
      <c r="D5" s="26">
        <f>COUNTIFS(DATA2026!A$2:A$401,"Q32026",DATA2026!D$2:D$401,"Strengthen")</f>
        <v>16</v>
      </c>
      <c r="E5" s="26">
        <f>COUNTIFS(DATA2026!A$2:A$401,"Q42026",DATA2026!D$2:D$401,"Strengthen")</f>
        <v>11</v>
      </c>
      <c r="F5" s="26">
        <f>COUNTIF(DATA2026!D$2:D$401,"Strengthen")</f>
        <v>34</v>
      </c>
    </row>
    <row r="6" spans="1:8" ht="18" customHeight="1">
      <c r="A6" s="27" t="s">
        <v>93</v>
      </c>
      <c r="B6" s="28" t="str">
        <f>IFERROR(B5/B11,"")</f>
        <v/>
      </c>
      <c r="C6" s="28">
        <f>IFERROR(C5/C11,"")</f>
        <v>0.5</v>
      </c>
      <c r="D6" s="28">
        <f>IFERROR(D5/D11,"")</f>
        <v>0.66666666666666663</v>
      </c>
      <c r="E6" s="28">
        <f>IFERROR(E5/E11,"")</f>
        <v>0.6470588235294118</v>
      </c>
      <c r="F6" s="28">
        <f>IFERROR(F5/F11,"")</f>
        <v>0.61818181818181817</v>
      </c>
    </row>
    <row r="7" spans="1:8" ht="19.5" customHeight="1">
      <c r="A7" s="29" t="s">
        <v>94</v>
      </c>
      <c r="B7" s="30">
        <f>COUNTIFS(DATA2026!A$2:A$401,"Q12026",DATA2026!D$2:D$401,"Innovation")</f>
        <v>0</v>
      </c>
      <c r="C7" s="30">
        <f>COUNTIFS(DATA2026!A$2:A$401,"Q22026",DATA2026!D$2:D$401,"Innovation")</f>
        <v>1</v>
      </c>
      <c r="D7" s="30">
        <f>COUNTIFS(DATA2026!A$2:A$401,"Q32026",DATA2026!D$2:D$401,"Innovation")</f>
        <v>5</v>
      </c>
      <c r="E7" s="30">
        <f>COUNTIFS(DATA2026!A$2:A$401,"Q42026",DATA2026!D$2:D$401,"Innovation")</f>
        <v>5</v>
      </c>
      <c r="F7" s="30">
        <f>COUNTIF(DATA2026!D$2:D$401,"Innovation")</f>
        <v>11</v>
      </c>
    </row>
    <row r="8" spans="1:8" ht="18" customHeight="1">
      <c r="A8" s="31" t="s">
        <v>95</v>
      </c>
      <c r="B8" s="32" t="str">
        <f>IFERROR(B7/B11,"")</f>
        <v/>
      </c>
      <c r="C8" s="32">
        <f>IFERROR(C7/C11,"")</f>
        <v>7.1428571428571425E-2</v>
      </c>
      <c r="D8" s="32">
        <f>IFERROR(D7/D11,"")</f>
        <v>0.20833333333333334</v>
      </c>
      <c r="E8" s="32">
        <f>IFERROR(E7/E11,"")</f>
        <v>0.29411764705882354</v>
      </c>
      <c r="F8" s="32">
        <f>IFERROR(F7/F11,"")</f>
        <v>0.2</v>
      </c>
    </row>
    <row r="9" spans="1:8" ht="19.5" customHeight="1">
      <c r="A9" s="33" t="s">
        <v>96</v>
      </c>
      <c r="B9" s="34">
        <f>COUNTIFS(DATA2026!A$2:A$401,"Q12026",DATA2026!D$2:D$401,"Repair")</f>
        <v>0</v>
      </c>
      <c r="C9" s="34">
        <f>COUNTIFS(DATA2026!A$2:A$401,"Q22026",DATA2026!D$2:D$401,"Repair")</f>
        <v>6</v>
      </c>
      <c r="D9" s="34">
        <f>COUNTIFS(DATA2026!A$2:A$401,"Q32026",DATA2026!D$2:D$401,"Repair")</f>
        <v>3</v>
      </c>
      <c r="E9" s="34">
        <f>COUNTIFS(DATA2026!A$2:A$401,"Q42026",DATA2026!D$2:D$401,"Repair")</f>
        <v>1</v>
      </c>
      <c r="F9" s="34">
        <f>COUNTIF(DATA2026!D$2:D$401,"Repair")</f>
        <v>10</v>
      </c>
    </row>
    <row r="10" spans="1:8" ht="18" customHeight="1">
      <c r="A10" s="35" t="s">
        <v>97</v>
      </c>
      <c r="B10" s="36" t="str">
        <f>IFERROR(B9/B11,"")</f>
        <v/>
      </c>
      <c r="C10" s="36">
        <f>IFERROR(C9/C11,"")</f>
        <v>0.42857142857142855</v>
      </c>
      <c r="D10" s="36">
        <f>IFERROR(D9/D11,"")</f>
        <v>0.125</v>
      </c>
      <c r="E10" s="36">
        <f>IFERROR(E9/E11,"")</f>
        <v>5.8823529411764705E-2</v>
      </c>
      <c r="F10" s="36">
        <f>IFERROR(F9/F11,"")</f>
        <v>0.18181818181818182</v>
      </c>
    </row>
    <row r="11" spans="1:8" ht="19.5" customHeight="1">
      <c r="A11" s="37" t="s">
        <v>98</v>
      </c>
      <c r="B11" s="38">
        <f>B5+B7+B9</f>
        <v>0</v>
      </c>
      <c r="C11" s="38">
        <f>C5+C7+C9</f>
        <v>14</v>
      </c>
      <c r="D11" s="38">
        <f>D5+D7+D9</f>
        <v>24</v>
      </c>
      <c r="E11" s="38">
        <f>E5+E7+E9</f>
        <v>17</v>
      </c>
      <c r="F11" s="38">
        <f>F5+F7+F9</f>
        <v>55</v>
      </c>
    </row>
    <row r="14" spans="1:8" ht="21.75" customHeight="1">
      <c r="A14" s="125" t="s">
        <v>99</v>
      </c>
      <c r="B14" s="125"/>
      <c r="C14" s="125"/>
      <c r="D14" s="125"/>
      <c r="E14" s="125"/>
      <c r="F14" s="125"/>
      <c r="G14" s="125"/>
      <c r="H14" s="125"/>
    </row>
    <row r="15" spans="1:8" ht="19.5" customHeight="1">
      <c r="A15" s="24"/>
      <c r="B15" s="24" t="s">
        <v>87</v>
      </c>
      <c r="C15" s="24" t="s">
        <v>88</v>
      </c>
      <c r="D15" s="24" t="s">
        <v>89</v>
      </c>
      <c r="E15" s="24" t="s">
        <v>90</v>
      </c>
    </row>
    <row r="16" spans="1:8" ht="19.5" customHeight="1">
      <c r="A16" s="16" t="s">
        <v>100</v>
      </c>
      <c r="B16" s="39">
        <f>Roadmap2026!C4</f>
        <v>0</v>
      </c>
      <c r="C16" s="39">
        <f>Roadmap2026!G4</f>
        <v>0</v>
      </c>
      <c r="D16" s="39">
        <f>Roadmap2026!K4</f>
        <v>1192</v>
      </c>
      <c r="E16" s="39">
        <f>Roadmap2026!O4</f>
        <v>0</v>
      </c>
    </row>
    <row r="17" spans="1:8" ht="19.5" customHeight="1">
      <c r="A17" s="18" t="s">
        <v>101</v>
      </c>
      <c r="B17" s="40">
        <f>Roadmap2026!C5</f>
        <v>0</v>
      </c>
      <c r="C17" s="40">
        <f>Roadmap2026!G5</f>
        <v>0</v>
      </c>
      <c r="D17" s="40">
        <f>Roadmap2026!K5</f>
        <v>608</v>
      </c>
      <c r="E17" s="40">
        <f>Roadmap2026!O5</f>
        <v>0</v>
      </c>
    </row>
    <row r="18" spans="1:8" ht="19.5" customHeight="1">
      <c r="A18" s="16" t="s">
        <v>102</v>
      </c>
      <c r="B18" s="39">
        <f>Roadmap2026!C6</f>
        <v>0</v>
      </c>
      <c r="C18" s="39">
        <f>Roadmap2026!G6</f>
        <v>0</v>
      </c>
      <c r="D18" s="39">
        <f>Roadmap2026!K6</f>
        <v>688</v>
      </c>
      <c r="E18" s="39">
        <f>Roadmap2026!O6</f>
        <v>0</v>
      </c>
    </row>
    <row r="19" spans="1:8" ht="19.5" customHeight="1">
      <c r="A19" s="41" t="s">
        <v>103</v>
      </c>
      <c r="B19" s="42">
        <f>SUMIF(DATA2026!A$2:A$401,"Q12026",DATA2026!E$2:E$401)</f>
        <v>0</v>
      </c>
      <c r="C19" s="42">
        <f>SUMIF(DATA2026!A$2:A$401,"Q22026",DATA2026!E$2:E$401)</f>
        <v>660</v>
      </c>
      <c r="D19" s="42">
        <f>SUMIF(DATA2026!A$2:A$401,"Q32026",DATA2026!E$2:E$401)</f>
        <v>1269</v>
      </c>
      <c r="E19" s="42">
        <f>SUMIF(DATA2026!A$2:A$401,"Q42026",DATA2026!E$2:E$401)</f>
        <v>0</v>
      </c>
    </row>
    <row r="20" spans="1:8" ht="19.5" customHeight="1">
      <c r="A20" s="41" t="s">
        <v>104</v>
      </c>
      <c r="B20" s="42">
        <f>SUMIFS(DATA2026!E$2:E$401,DATA2026!A$2:A$401,"Q12026",DATA2026!G$2:G$401,"Desktop")</f>
        <v>0</v>
      </c>
      <c r="C20" s="42">
        <f>SUMIFS(DATA2026!E$2:E$401,DATA2026!A$2:A$401,"Q22026",DATA2026!G$2:G$401,"Desktop")</f>
        <v>444</v>
      </c>
      <c r="D20" s="42">
        <f>SUMIFS(DATA2026!E$2:E$401,DATA2026!A$2:A$401,"Q32026",DATA2026!G$2:G$401,"Desktop")</f>
        <v>489</v>
      </c>
      <c r="E20" s="42">
        <f>SUMIFS(DATA2026!E$2:E$401,DATA2026!A$2:A$401,"Q42026",DATA2026!G$2:G$401,"Desktop")</f>
        <v>0</v>
      </c>
    </row>
    <row r="21" spans="1:8" ht="19.5" customHeight="1">
      <c r="A21" s="41" t="s">
        <v>105</v>
      </c>
      <c r="B21" s="42">
        <f>SUMIFS(DATA2026!E$2:E$401,DATA2026!A$2:A$401,"Q12026",DATA2026!G$2:G$401,"WEB")</f>
        <v>0</v>
      </c>
      <c r="C21" s="42">
        <f>SUMIFS(DATA2026!E$2:E$401,DATA2026!A$2:A$401,"Q22026",DATA2026!G$2:G$401,"WEB")</f>
        <v>216</v>
      </c>
      <c r="D21" s="42">
        <f>SUMIFS(DATA2026!E$2:E$401,DATA2026!A$2:A$401,"Q32026",DATA2026!G$2:G$401,"WEB")</f>
        <v>672</v>
      </c>
      <c r="E21" s="42">
        <f>SUMIFS(DATA2026!E$2:E$401,DATA2026!A$2:A$401,"Q42026",DATA2026!G$2:G$401,"WEB")</f>
        <v>0</v>
      </c>
    </row>
    <row r="22" spans="1:8" ht="19.5" customHeight="1">
      <c r="A22" s="43" t="s">
        <v>106</v>
      </c>
      <c r="B22" s="44">
        <f>SUMIFS(DATA2026!E$2:E$401,DATA2026!A$2:A$401,"Q12026",DATA2026!G$2:G$401,"W-&gt;D")*0.5</f>
        <v>0</v>
      </c>
      <c r="C22" s="44">
        <f>SUMIFS(DATA2026!E$2:E$401,DATA2026!A$2:A$401,"Q22026",DATA2026!G$2:G$401,"W-&gt;D")*0.5</f>
        <v>0</v>
      </c>
      <c r="D22" s="44">
        <f>SUMIFS(DATA2026!E$2:E$401,DATA2026!A$2:A$401,"Q32026",DATA2026!G$2:G$401,"W-&gt;D")*0.5</f>
        <v>39</v>
      </c>
      <c r="E22" s="44">
        <f>SUMIFS(DATA2026!E$2:E$401,DATA2026!A$2:A$401,"Q42026",DATA2026!G$2:G$401,"W-&gt;D")*0.5</f>
        <v>0</v>
      </c>
    </row>
    <row r="23" spans="1:8" ht="19.5" customHeight="1">
      <c r="A23" s="43" t="s">
        <v>107</v>
      </c>
      <c r="B23" s="44">
        <f>SUMIFS(DATA2026!E$2:E$401,DATA2026!A$2:A$401,"Q12026",DATA2026!G$2:G$401,"D-&gt;W")*0.5</f>
        <v>0</v>
      </c>
      <c r="C23" s="44">
        <f>SUMIFS(DATA2026!E$2:E$401,DATA2026!A$2:A$401,"Q22026",DATA2026!G$2:G$401,"D-&gt;W")*0.5</f>
        <v>0</v>
      </c>
      <c r="D23" s="44">
        <f>SUMIFS(DATA2026!E$2:E$401,DATA2026!A$2:A$401,"Q32026",DATA2026!G$2:G$401,"D-&gt;W")*0.5</f>
        <v>15</v>
      </c>
      <c r="E23" s="44">
        <f>SUMIFS(DATA2026!E$2:E$401,DATA2026!A$2:A$401,"Q42026",DATA2026!G$2:G$401,"D-&gt;W")*0.5</f>
        <v>0</v>
      </c>
    </row>
    <row r="24" spans="1:8" ht="19.5" customHeight="1">
      <c r="A24" s="45" t="s">
        <v>108</v>
      </c>
      <c r="B24" s="46">
        <f>B20+B22+B23</f>
        <v>0</v>
      </c>
      <c r="C24" s="46">
        <f>C20+C22+C23</f>
        <v>444</v>
      </c>
      <c r="D24" s="46">
        <f>D20+D22+D23</f>
        <v>543</v>
      </c>
      <c r="E24" s="46">
        <f>E20+E22+E23</f>
        <v>0</v>
      </c>
    </row>
    <row r="25" spans="1:8" ht="19.5" customHeight="1">
      <c r="A25" s="45" t="s">
        <v>109</v>
      </c>
      <c r="B25" s="46">
        <f>B21+B22+B23</f>
        <v>0</v>
      </c>
      <c r="C25" s="46">
        <f>C21+C22+C23</f>
        <v>216</v>
      </c>
      <c r="D25" s="46">
        <f>D21+D22+D23</f>
        <v>726</v>
      </c>
      <c r="E25" s="46">
        <f>E21+E22+E23</f>
        <v>0</v>
      </c>
    </row>
    <row r="26" spans="1:8" ht="19.5" customHeight="1">
      <c r="A26" s="47" t="s">
        <v>110</v>
      </c>
      <c r="B26" s="48" t="str">
        <f>IFERROR(B24/B17,"")</f>
        <v/>
      </c>
      <c r="C26" s="48" t="str">
        <f>IFERROR(C24/C17,"")</f>
        <v/>
      </c>
      <c r="D26" s="48">
        <f>IFERROR(D24/D17,"")</f>
        <v>0.89309210526315785</v>
      </c>
      <c r="E26" s="48" t="str">
        <f>IFERROR(E24/E17,"")</f>
        <v/>
      </c>
    </row>
    <row r="27" spans="1:8" ht="19.5" customHeight="1">
      <c r="A27" s="47" t="s">
        <v>111</v>
      </c>
      <c r="B27" s="48" t="str">
        <f>IFERROR(B26/B18,"")</f>
        <v/>
      </c>
      <c r="C27" s="48" t="str">
        <f>IFERROR(C26/C18,"")</f>
        <v/>
      </c>
      <c r="D27" s="48">
        <f>IFERROR(D25/D18,"")</f>
        <v>1.055232558139535</v>
      </c>
      <c r="E27" s="48" t="str">
        <f>IFERROR(E26/E18,"")</f>
        <v/>
      </c>
    </row>
    <row r="30" spans="1:8" ht="21.75" customHeight="1">
      <c r="A30" s="125" t="s">
        <v>112</v>
      </c>
      <c r="B30" s="125"/>
      <c r="C30" s="125"/>
      <c r="D30" s="125"/>
      <c r="E30" s="125"/>
      <c r="F30" s="125"/>
      <c r="G30" s="125"/>
      <c r="H30" s="125"/>
    </row>
    <row r="31" spans="1:8" ht="19.5" customHeight="1">
      <c r="A31" s="24"/>
      <c r="B31" s="24" t="s">
        <v>87</v>
      </c>
      <c r="C31" s="24" t="s">
        <v>88</v>
      </c>
      <c r="D31" s="24" t="s">
        <v>89</v>
      </c>
      <c r="E31" s="24" t="s">
        <v>90</v>
      </c>
      <c r="F31" s="24" t="s">
        <v>113</v>
      </c>
    </row>
    <row r="32" spans="1:8" ht="18.75" customHeight="1">
      <c r="A32" s="49" t="s">
        <v>20</v>
      </c>
      <c r="B32" s="50">
        <f>COUNTIFS(DATA2026!A$2:A$401,"Q12026",DATA2026!F$2:F$401,"Must")</f>
        <v>0</v>
      </c>
      <c r="C32" s="50">
        <f>COUNTIFS(DATA2026!A$2:A$401,"Q22026",DATA2026!F$2:F$401,"Must")</f>
        <v>11</v>
      </c>
      <c r="D32" s="50">
        <f>COUNTIFS(DATA2026!A$2:A$401,"Q32026",DATA2026!F$2:F$401,"Must")</f>
        <v>12</v>
      </c>
      <c r="E32" s="50">
        <f>COUNTIFS(DATA2026!A$2:A$401,"Q42026",DATA2026!F$2:F$401,"Must")</f>
        <v>1</v>
      </c>
      <c r="F32" s="50">
        <f>COUNTIF(DATA2026!F$2:F$401,"Must")</f>
        <v>24</v>
      </c>
    </row>
    <row r="33" spans="1:8" ht="18.75" customHeight="1">
      <c r="A33" s="51" t="s">
        <v>17</v>
      </c>
      <c r="B33" s="52">
        <f>COUNTIFS(DATA2026!A$2:A$401,"Q12026",DATA2026!F$2:F$401,"Should")</f>
        <v>0</v>
      </c>
      <c r="C33" s="52">
        <f>COUNTIFS(DATA2026!A$2:A$401,"Q22026",DATA2026!F$2:F$401,"Should")</f>
        <v>2</v>
      </c>
      <c r="D33" s="52">
        <f>COUNTIFS(DATA2026!A$2:A$401,"Q32026",DATA2026!F$2:F$401,"Should")</f>
        <v>10</v>
      </c>
      <c r="E33" s="52">
        <f>COUNTIFS(DATA2026!A$2:A$401,"Q42026",DATA2026!F$2:F$401,"Should")</f>
        <v>3</v>
      </c>
      <c r="F33" s="52">
        <f>COUNTIF(DATA2026!F$2:F$401,"Should")</f>
        <v>15</v>
      </c>
    </row>
    <row r="34" spans="1:8" ht="18.75" customHeight="1">
      <c r="A34" s="53" t="s">
        <v>11</v>
      </c>
      <c r="B34" s="54">
        <f>COUNTIFS(DATA2026!A$2:A$401,"Q12026",DATA2026!F$2:F$401,"Could")</f>
        <v>0</v>
      </c>
      <c r="C34" s="54">
        <f>COUNTIFS(DATA2026!A$2:A$401,"Q22026",DATA2026!F$2:F$401,"Could")</f>
        <v>1</v>
      </c>
      <c r="D34" s="54">
        <f>COUNTIFS(DATA2026!A$2:A$401,"Q32026",DATA2026!F$2:F$401,"Could")</f>
        <v>2</v>
      </c>
      <c r="E34" s="54">
        <f>COUNTIFS(DATA2026!A$2:A$401,"Q42026",DATA2026!F$2:F$401,"Could")</f>
        <v>1</v>
      </c>
      <c r="F34" s="54">
        <f>COUNTIF(DATA2026!F$2:F$401,"Could")</f>
        <v>4</v>
      </c>
    </row>
    <row r="35" spans="1:8" ht="18.75" customHeight="1">
      <c r="A35" s="55" t="s">
        <v>114</v>
      </c>
      <c r="B35" s="56">
        <f>COUNTIFS(DATA2026!A$2:A$401,"Q12026",DATA2026!F$2:F$401,"Won't")</f>
        <v>0</v>
      </c>
      <c r="C35" s="56">
        <f>COUNTIFS(DATA2026!A$2:A$401,"Q22026",DATA2026!F$2:F$401,"Won't")</f>
        <v>0</v>
      </c>
      <c r="D35" s="56">
        <f>COUNTIFS(DATA2026!A$2:A$401,"Q32026",DATA2026!F$2:F$401,"Won't")</f>
        <v>0</v>
      </c>
      <c r="E35" s="56">
        <f>COUNTIFS(DATA2026!A$2:A$401,"Q42026",DATA2026!F$2:F$401,"Won't")</f>
        <v>0</v>
      </c>
      <c r="F35" s="56">
        <f>COUNTIF(DATA2026!F$2:F$401,"Won't")</f>
        <v>0</v>
      </c>
    </row>
    <row r="37" spans="1:8" ht="21.75" customHeight="1">
      <c r="A37" s="125" t="s">
        <v>115</v>
      </c>
      <c r="B37" s="125"/>
      <c r="C37" s="125"/>
      <c r="D37" s="125"/>
      <c r="E37" s="125"/>
      <c r="F37" s="125"/>
      <c r="G37" s="125"/>
      <c r="H37" s="125"/>
    </row>
    <row r="38" spans="1:8" ht="19.5" customHeight="1">
      <c r="A38" s="24" t="s">
        <v>7</v>
      </c>
      <c r="B38" s="24" t="s">
        <v>87</v>
      </c>
      <c r="C38" s="24" t="s">
        <v>88</v>
      </c>
      <c r="D38" s="24" t="s">
        <v>89</v>
      </c>
      <c r="E38" s="24" t="s">
        <v>90</v>
      </c>
      <c r="F38" s="24" t="s">
        <v>113</v>
      </c>
    </row>
    <row r="39" spans="1:8" ht="18.75" customHeight="1">
      <c r="A39" s="57" t="s">
        <v>12</v>
      </c>
      <c r="B39" s="58">
        <f>SUMIFS(DATA2026!E$2:E$401,DATA2026!A$2:A$401,"Q12026",DATA2026!G$2:G$401,"WEB")</f>
        <v>0</v>
      </c>
      <c r="C39" s="58">
        <f>SUMIFS(DATA2026!E$2:E$401,DATA2026!A$2:A$401,"Q22026",DATA2026!G$2:G$401,"WEB")</f>
        <v>216</v>
      </c>
      <c r="D39" s="58">
        <f>SUMIFS(DATA2026!E$2:E$401,DATA2026!A$2:A$401,"Q32026",DATA2026!G$2:G$401,"WEB")</f>
        <v>672</v>
      </c>
      <c r="E39" s="58">
        <f>SUMIFS(DATA2026!E$2:E$401,DATA2026!A$2:A$401,"Q42026",DATA2026!G$2:G$401,"WEB")</f>
        <v>0</v>
      </c>
      <c r="F39" s="58">
        <f>SUMIF(DATA2026!G$2:G$401,"WEB",DATA2026!E$2:E$401)</f>
        <v>888</v>
      </c>
    </row>
    <row r="40" spans="1:8" ht="18.75" customHeight="1">
      <c r="A40" s="45" t="s">
        <v>116</v>
      </c>
      <c r="B40" s="59">
        <f>SUMIFS(DATA2026!E$2:E$401,DATA2026!A$2:A$401,"Q12026",DATA2026!G$2:G$401,"Desktop")</f>
        <v>0</v>
      </c>
      <c r="C40" s="59">
        <f>SUMIFS(DATA2026!E$2:E$401,DATA2026!A$2:A$401,"Q22026",DATA2026!G$2:G$401,"Desktop")</f>
        <v>444</v>
      </c>
      <c r="D40" s="59">
        <f>SUMIFS(DATA2026!E$2:E$401,DATA2026!A$2:A$401,"Q32026",DATA2026!G$2:G$401,"Desktop")</f>
        <v>489</v>
      </c>
      <c r="E40" s="59">
        <f>SUMIFS(DATA2026!E$2:E$401,DATA2026!A$2:A$401,"Q42026",DATA2026!G$2:G$401,"Desktop")</f>
        <v>0</v>
      </c>
      <c r="F40" s="59">
        <f>SUMIF(DATA2026!G$2:G$401,"Desktop",DATA2026!E$2:E$401)</f>
        <v>933</v>
      </c>
    </row>
    <row r="41" spans="1:8" ht="18.75" customHeight="1">
      <c r="A41" s="60" t="s">
        <v>25</v>
      </c>
      <c r="B41" s="44">
        <f>SUMIFS(DATA2026!E$2:E$401,DATA2026!A$2:A$401,"Q12026",DATA2026!G$2:G$401,"W-&gt;D")</f>
        <v>0</v>
      </c>
      <c r="C41" s="44">
        <f>SUMIFS(DATA2026!E$2:E$401,DATA2026!A$2:A$401,"Q22026",DATA2026!G$2:G$401,"W-&gt;D")</f>
        <v>0</v>
      </c>
      <c r="D41" s="44">
        <f>SUMIFS(DATA2026!E$2:E$401,DATA2026!A$2:A$401,"Q32026",DATA2026!G$2:G$401,"W-&gt;D")</f>
        <v>78</v>
      </c>
      <c r="E41" s="44">
        <f>SUMIFS(DATA2026!E$2:E$401,DATA2026!A$2:A$401,"Q42026",DATA2026!G$2:G$401,"W-&gt;D")</f>
        <v>0</v>
      </c>
      <c r="F41" s="44">
        <f>SUMIF(DATA2026!G$2:G$401,"W-&gt;D",DATA2026!E$2:E$401)</f>
        <v>78</v>
      </c>
    </row>
    <row r="42" spans="1:8" ht="18.75" customHeight="1">
      <c r="A42" s="61" t="s">
        <v>117</v>
      </c>
      <c r="B42" s="62">
        <f>SUMIFS(DATA2026!E$2:E$401,DATA2026!A$2:A$401,"Q12026",DATA2026!G$2:G$401,"D-&gt;W")</f>
        <v>0</v>
      </c>
      <c r="C42" s="62">
        <f>SUMIFS(DATA2026!E$2:E$401,DATA2026!A$2:A$401,"Q22026",DATA2026!G$2:G$401,"D-&gt;W")</f>
        <v>0</v>
      </c>
      <c r="D42" s="62">
        <f>SUMIFS(DATA2026!E$2:E$401,DATA2026!A$2:A$401,"Q32026",DATA2026!G$2:G$401,"D-&gt;W")</f>
        <v>30</v>
      </c>
      <c r="E42" s="62">
        <f>SUMIFS(DATA2026!E$2:E$401,DATA2026!A$2:A$401,"Q42026",DATA2026!G$2:G$401,"D-&gt;W")</f>
        <v>0</v>
      </c>
      <c r="F42" s="62">
        <f>SUMIF(DATA2026!G$2:G$401,"D-&gt;W",DATA2026!E$2:E$401)</f>
        <v>30</v>
      </c>
    </row>
    <row r="44" spans="1:8" ht="21.75" customHeight="1">
      <c r="A44" s="125" t="s">
        <v>118</v>
      </c>
      <c r="B44" s="125"/>
      <c r="C44" s="125"/>
      <c r="D44" s="125"/>
      <c r="E44" s="125"/>
      <c r="F44" s="125"/>
      <c r="G44" s="125"/>
      <c r="H44" s="125"/>
    </row>
    <row r="45" spans="1:8" ht="19.5" customHeight="1">
      <c r="A45" s="24"/>
      <c r="B45" s="24" t="s">
        <v>87</v>
      </c>
      <c r="C45" s="24" t="s">
        <v>88</v>
      </c>
      <c r="D45" s="24" t="s">
        <v>89</v>
      </c>
      <c r="E45" s="24" t="s">
        <v>90</v>
      </c>
      <c r="F45" s="24" t="s">
        <v>113</v>
      </c>
    </row>
    <row r="46" spans="1:8" ht="19.5" customHeight="1">
      <c r="A46" s="63" t="s">
        <v>119</v>
      </c>
      <c r="B46" s="64">
        <f>COUNTIFS(DATA2026!A$2:A$401,"Q12026",DATA2026!H$2:H$401,"PO-Backlog")</f>
        <v>0</v>
      </c>
      <c r="C46" s="64">
        <f>COUNTIFS(DATA2026!A$2:A$401,"Q22026",DATA2026!H$2:H$401,"PO-Backlog")</f>
        <v>0</v>
      </c>
      <c r="D46" s="64">
        <f>COUNTIFS(DATA2026!A$2:A$401,"Q32026",DATA2026!H$2:H$401,"PO-Backlog")</f>
        <v>2</v>
      </c>
      <c r="E46" s="64">
        <f>COUNTIFS(DATA2026!A$2:A$401,"Q42026",DATA2026!H$2:H$401,"PO-Backlog")</f>
        <v>2</v>
      </c>
      <c r="F46" s="64">
        <f>COUNTIF(DATA2026!H$2:H$401,"PO-Backlog")</f>
        <v>4</v>
      </c>
    </row>
    <row r="48" spans="1:8" ht="15.75" customHeight="1">
      <c r="A48" s="111" t="s">
        <v>120</v>
      </c>
      <c r="B48" s="111"/>
      <c r="C48" s="111"/>
      <c r="D48" s="111"/>
      <c r="E48" s="111"/>
      <c r="F48" s="111"/>
      <c r="G48" s="111"/>
      <c r="H48" s="111"/>
    </row>
  </sheetData>
  <mergeCells count="7">
    <mergeCell ref="A44:H44"/>
    <mergeCell ref="A48:H48"/>
    <mergeCell ref="A1:H1"/>
    <mergeCell ref="A3:H3"/>
    <mergeCell ref="A14:H14"/>
    <mergeCell ref="A30:H30"/>
    <mergeCell ref="A37:H37"/>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P87"/>
  <sheetViews>
    <sheetView showGridLines="0" zoomScaleNormal="100" workbookViewId="0">
      <pane xSplit="1" ySplit="2" topLeftCell="B3" activePane="bottomRight" state="frozen"/>
      <selection pane="bottomRight" sqref="A1:I1"/>
      <selection pane="bottomLeft" activeCell="A3" sqref="A3"/>
      <selection pane="topRight" activeCell="B1" sqref="B1"/>
    </sheetView>
  </sheetViews>
  <sheetFormatPr defaultColWidth="8.7109375" defaultRowHeight="15"/>
  <cols>
    <col min="1" max="1" width="5" customWidth="1"/>
    <col min="2" max="2" width="42.85546875" customWidth="1"/>
    <col min="3" max="3" width="16" customWidth="1"/>
    <col min="4" max="4" width="14" customWidth="1"/>
    <col min="5" max="5" width="16" customWidth="1"/>
    <col min="6" max="7" width="12" customWidth="1"/>
    <col min="8" max="8" width="11" customWidth="1"/>
    <col min="9" max="9" width="30" customWidth="1"/>
    <col min="10" max="16" width="0.140625" hidden="1" customWidth="1"/>
  </cols>
  <sheetData>
    <row r="1" spans="1:14" ht="43.5" customHeight="1">
      <c r="A1" s="112" t="s">
        <v>61</v>
      </c>
      <c r="B1" s="112"/>
      <c r="C1" s="112"/>
      <c r="D1" s="112"/>
      <c r="E1" s="112"/>
      <c r="F1" s="112"/>
      <c r="G1" s="112"/>
      <c r="H1" s="112"/>
      <c r="I1" s="112"/>
    </row>
    <row r="2" spans="1:14" ht="24" customHeight="1">
      <c r="A2" s="24" t="s">
        <v>1</v>
      </c>
      <c r="B2" s="24" t="s">
        <v>2</v>
      </c>
      <c r="C2" s="24" t="s">
        <v>3</v>
      </c>
      <c r="D2" s="24" t="s">
        <v>4</v>
      </c>
      <c r="E2" s="24" t="s">
        <v>5</v>
      </c>
      <c r="F2" s="24" t="s">
        <v>6</v>
      </c>
      <c r="G2" s="24" t="s">
        <v>7</v>
      </c>
      <c r="H2" s="24" t="s">
        <v>8</v>
      </c>
      <c r="I2" s="24" t="s">
        <v>9</v>
      </c>
    </row>
    <row r="3" spans="1:14" ht="19.5" customHeight="1">
      <c r="A3" s="65">
        <v>1</v>
      </c>
      <c r="B3" s="16"/>
      <c r="C3" s="17"/>
      <c r="D3" s="17"/>
      <c r="E3" s="17"/>
      <c r="F3" s="17"/>
      <c r="G3" s="17"/>
      <c r="H3" s="66" t="str">
        <f>IF(C3="XXL (&gt;160h)",168,IF(C3="XL (&gt;40h)",48,IF(C3="L (20-40h)",30,IF(C3="M (10-20h)",15,IF(C3="S (&lt;10h)",5,"")))))</f>
        <v/>
      </c>
      <c r="I3" s="16"/>
      <c r="J3" s="67" t="str">
        <f>IF($E3="Q12026",COUNTIF($E$3:$E3,"Q12026"),"")</f>
        <v/>
      </c>
      <c r="K3" s="67" t="str">
        <f>IF($E3="Q22026",COUNTIF($E$3:$E3,"Q22026"),"")</f>
        <v/>
      </c>
      <c r="L3" s="67" t="str">
        <f>IF($E3="Q32026",COUNTIF($E$3:$E3,"Q32026"),"")</f>
        <v/>
      </c>
      <c r="M3" s="67" t="str">
        <f>IF($E3="Q42026",COUNTIF($E$3:$E3,"Q42026"),"")</f>
        <v/>
      </c>
      <c r="N3" s="67" t="str">
        <f>IF($E3="Backlog",COUNTIF($E$3:$E3,"Backlog"),"")</f>
        <v/>
      </c>
    </row>
    <row r="4" spans="1:14" ht="19.5" customHeight="1">
      <c r="A4" s="68">
        <v>2</v>
      </c>
      <c r="B4" s="18"/>
      <c r="C4" s="19"/>
      <c r="D4" s="19"/>
      <c r="E4" s="19"/>
      <c r="F4" s="19"/>
      <c r="G4" s="19"/>
      <c r="H4" s="69" t="str">
        <f>IF(C4="XXL (&gt;160h)",168,IF(C4="XL (&gt;40h)",48,IF(C4="L (20-40h)",30,IF(C4="M (10-20h)",15,IF(C4="S (&lt;10h)",5,"")))))</f>
        <v/>
      </c>
      <c r="I4" s="18"/>
      <c r="J4" s="67" t="str">
        <f>IF($E4="Q12026",COUNTIF($E$3:$E4,"Q12026"),"")</f>
        <v/>
      </c>
      <c r="K4" s="67" t="str">
        <f>IF($E4="Q22026",COUNTIF($E$3:$E4,"Q22026"),"")</f>
        <v/>
      </c>
      <c r="L4" s="67" t="str">
        <f>IF($E4="Q32026",COUNTIF($E$3:$E4,"Q32026"),"")</f>
        <v/>
      </c>
      <c r="M4" s="67" t="str">
        <f>IF($E4="Q42026",COUNTIF($E$3:$E4,"Q42026"),"")</f>
        <v/>
      </c>
      <c r="N4" s="67" t="str">
        <f>IF($E4="Backlog",COUNTIF($E$3:$E4,"Backlog"),"")</f>
        <v/>
      </c>
    </row>
    <row r="5" spans="1:14" ht="19.5" customHeight="1">
      <c r="A5" s="65">
        <v>3</v>
      </c>
      <c r="B5" s="16"/>
      <c r="C5" s="17"/>
      <c r="D5" s="17"/>
      <c r="E5" s="17"/>
      <c r="F5" s="17"/>
      <c r="G5" s="17"/>
      <c r="H5" s="66" t="str">
        <f>IF(C5="XXL (&gt;160h)",168,IF(C5="XL (&gt;40h)",48,IF(C5="L (20-40h)",30,IF(C5="M (10-20h)",15,IF(C5="S (&lt;10h)",5,"")))))</f>
        <v/>
      </c>
      <c r="I5" s="16"/>
      <c r="J5" s="67" t="str">
        <f>IF($E5="Q12026",COUNTIF($E$3:$E5,"Q12026"),"")</f>
        <v/>
      </c>
      <c r="K5" s="67" t="str">
        <f>IF($E5="Q22026",COUNTIF($E$3:$E5,"Q22026"),"")</f>
        <v/>
      </c>
      <c r="L5" s="67" t="str">
        <f>IF($E5="Q32026",COUNTIF($E$3:$E5,"Q32026"),"")</f>
        <v/>
      </c>
      <c r="M5" s="67" t="str">
        <f>IF($E5="Q42026",COUNTIF($E$3:$E5,"Q42026"),"")</f>
        <v/>
      </c>
      <c r="N5" s="67" t="str">
        <f>IF($E5="Backlog",COUNTIF($E$3:$E5,"Backlog"),"")</f>
        <v/>
      </c>
    </row>
    <row r="6" spans="1:14" ht="19.5" customHeight="1">
      <c r="A6" s="68">
        <v>4</v>
      </c>
      <c r="B6" s="18"/>
      <c r="C6" s="19"/>
      <c r="D6" s="19"/>
      <c r="E6" s="19"/>
      <c r="F6" s="19"/>
      <c r="G6" s="19"/>
      <c r="H6" s="69" t="str">
        <f>IF(C6="XXL (&gt;160h)",168,IF(C6="XL (&gt;40h)",48,IF(C6="L (20-40h)",30,IF(C6="M (10-20h)",15,IF(C6="S (&lt;10h)",5,"")))))</f>
        <v/>
      </c>
      <c r="I6" s="18"/>
      <c r="J6" s="67" t="str">
        <f>IF($E6="Q12026",COUNTIF($E$3:$E6,"Q12026"),"")</f>
        <v/>
      </c>
      <c r="K6" s="67" t="str">
        <f>IF($E6="Q22026",COUNTIF($E$3:$E6,"Q22026"),"")</f>
        <v/>
      </c>
      <c r="L6" s="67" t="str">
        <f>IF($E6="Q32026",COUNTIF($E$3:$E6,"Q32026"),"")</f>
        <v/>
      </c>
      <c r="M6" s="67" t="str">
        <f>IF($E6="Q42026",COUNTIF($E$3:$E6,"Q42026"),"")</f>
        <v/>
      </c>
      <c r="N6" s="67" t="str">
        <f>IF($E6="Backlog",COUNTIF($E$3:$E6,"Backlog"),"")</f>
        <v/>
      </c>
    </row>
    <row r="7" spans="1:14" ht="19.5" customHeight="1">
      <c r="A7" s="65">
        <v>5</v>
      </c>
      <c r="B7" s="16"/>
      <c r="C7" s="17"/>
      <c r="D7" s="17"/>
      <c r="E7" s="17"/>
      <c r="F7" s="17"/>
      <c r="G7" s="17"/>
      <c r="H7" s="66" t="str">
        <f>IF(C7="XXL (&gt;160h)",168,IF(C7="XL (&gt;40h)",48,IF(C7="L (20-40h)",30,IF(C7="M (10-20h)",15,IF(C7="S (&lt;10h)",5,"")))))</f>
        <v/>
      </c>
      <c r="I7" s="16"/>
      <c r="J7" s="67" t="str">
        <f>IF($E7="Q12026",COUNTIF($E$3:$E7,"Q12026"),"")</f>
        <v/>
      </c>
      <c r="K7" s="67" t="str">
        <f>IF($E7="Q22026",COUNTIF($E$3:$E7,"Q22026"),"")</f>
        <v/>
      </c>
      <c r="L7" s="67" t="str">
        <f>IF($E7="Q32026",COUNTIF($E$3:$E7,"Q32026"),"")</f>
        <v/>
      </c>
      <c r="M7" s="67" t="str">
        <f>IF($E7="Q42026",COUNTIF($E$3:$E7,"Q42026"),"")</f>
        <v/>
      </c>
      <c r="N7" s="67" t="str">
        <f>IF($E7="Backlog",COUNTIF($E$3:$E7,"Backlog"),"")</f>
        <v/>
      </c>
    </row>
    <row r="8" spans="1:14" ht="19.5" customHeight="1">
      <c r="A8" s="68">
        <v>6</v>
      </c>
      <c r="B8" s="18"/>
      <c r="C8" s="19"/>
      <c r="D8" s="19"/>
      <c r="E8" s="19"/>
      <c r="F8" s="19"/>
      <c r="G8" s="19"/>
      <c r="H8" s="69" t="str">
        <f>IF(C8="XXL (&gt;160h)",168,IF(C8="XL (&gt;40h)",48,IF(C8="L (20-40h)",30,IF(C8="M (10-20h)",15,IF(C8="S (&lt;10h)",5,"")))))</f>
        <v/>
      </c>
      <c r="I8" s="18"/>
      <c r="J8" s="67" t="str">
        <f>IF($E8="Q12026",COUNTIF($E$3:$E8,"Q12026"),"")</f>
        <v/>
      </c>
      <c r="K8" s="67" t="str">
        <f>IF($E8="Q22026",COUNTIF($E$3:$E8,"Q22026"),"")</f>
        <v/>
      </c>
      <c r="L8" s="67" t="str">
        <f>IF($E8="Q32026",COUNTIF($E$3:$E8,"Q32026"),"")</f>
        <v/>
      </c>
      <c r="M8" s="67" t="str">
        <f>IF($E8="Q42026",COUNTIF($E$3:$E8,"Q42026"),"")</f>
        <v/>
      </c>
      <c r="N8" s="67" t="str">
        <f>IF($E8="Backlog",COUNTIF($E$3:$E8,"Backlog"),"")</f>
        <v/>
      </c>
    </row>
    <row r="9" spans="1:14" ht="19.5" customHeight="1">
      <c r="A9" s="65">
        <v>7</v>
      </c>
      <c r="B9" s="16"/>
      <c r="C9" s="17"/>
      <c r="D9" s="17"/>
      <c r="E9" s="17"/>
      <c r="F9" s="17"/>
      <c r="G9" s="17"/>
      <c r="H9" s="66" t="str">
        <f>IF(C9="XXL (&gt;160h)",168,IF(C9="XL (&gt;40h)",48,IF(C9="L (20-40h)",30,IF(C9="M (10-20h)",15,IF(C9="S (&lt;10h)",5,"")))))</f>
        <v/>
      </c>
      <c r="I9" s="16"/>
      <c r="J9" s="67" t="str">
        <f>IF($E9="Q12026",COUNTIF($E$3:$E9,"Q12026"),"")</f>
        <v/>
      </c>
      <c r="K9" s="67" t="str">
        <f>IF($E9="Q22026",COUNTIF($E$3:$E9,"Q22026"),"")</f>
        <v/>
      </c>
      <c r="L9" s="67" t="str">
        <f>IF($E9="Q32026",COUNTIF($E$3:$E9,"Q32026"),"")</f>
        <v/>
      </c>
      <c r="M9" s="67" t="str">
        <f>IF($E9="Q42026",COUNTIF($E$3:$E9,"Q42026"),"")</f>
        <v/>
      </c>
      <c r="N9" s="67" t="str">
        <f>IF($E9="Backlog",COUNTIF($E$3:$E9,"Backlog"),"")</f>
        <v/>
      </c>
    </row>
    <row r="10" spans="1:14" ht="19.5" customHeight="1">
      <c r="A10" s="68">
        <v>8</v>
      </c>
      <c r="B10" s="18"/>
      <c r="C10" s="19"/>
      <c r="D10" s="19"/>
      <c r="E10" s="19"/>
      <c r="F10" s="19"/>
      <c r="G10" s="19"/>
      <c r="H10" s="69" t="str">
        <f>IF(C10="XXL (&gt;160h)",168,IF(C10="XL (&gt;40h)",48,IF(C10="L (20-40h)",30,IF(C10="M (10-20h)",15,IF(C10="S (&lt;10h)",5,"")))))</f>
        <v/>
      </c>
      <c r="I10" s="18"/>
      <c r="J10" s="67" t="str">
        <f>IF($E10="Q12026",COUNTIF($E$3:$E10,"Q12026"),"")</f>
        <v/>
      </c>
      <c r="K10" s="67" t="str">
        <f>IF($E10="Q22026",COUNTIF($E$3:$E10,"Q22026"),"")</f>
        <v/>
      </c>
      <c r="L10" s="67" t="str">
        <f>IF($E10="Q32026",COUNTIF($E$3:$E10,"Q32026"),"")</f>
        <v/>
      </c>
      <c r="M10" s="67" t="str">
        <f>IF($E10="Q42026",COUNTIF($E$3:$E10,"Q42026"),"")</f>
        <v/>
      </c>
      <c r="N10" s="67" t="str">
        <f>IF($E10="Backlog",COUNTIF($E$3:$E10,"Backlog"),"")</f>
        <v/>
      </c>
    </row>
    <row r="11" spans="1:14" ht="19.5" customHeight="1">
      <c r="A11" s="65">
        <v>9</v>
      </c>
      <c r="B11" s="16"/>
      <c r="C11" s="17"/>
      <c r="D11" s="17"/>
      <c r="E11" s="17"/>
      <c r="F11" s="17"/>
      <c r="G11" s="17"/>
      <c r="H11" s="66" t="str">
        <f>IF(C11="XXL (&gt;160h)",168,IF(C11="XL (&gt;40h)",48,IF(C11="L (20-40h)",30,IF(C11="M (10-20h)",15,IF(C11="S (&lt;10h)",5,"")))))</f>
        <v/>
      </c>
      <c r="I11" s="16"/>
      <c r="J11" s="67" t="str">
        <f>IF($E11="Q12026",COUNTIF($E$3:$E11,"Q12026"),"")</f>
        <v/>
      </c>
      <c r="K11" s="67" t="str">
        <f>IF($E11="Q22026",COUNTIF($E$3:$E11,"Q22026"),"")</f>
        <v/>
      </c>
      <c r="L11" s="67" t="str">
        <f>IF($E11="Q32026",COUNTIF($E$3:$E11,"Q32026"),"")</f>
        <v/>
      </c>
      <c r="M11" s="67" t="str">
        <f>IF($E11="Q42026",COUNTIF($E$3:$E11,"Q42026"),"")</f>
        <v/>
      </c>
      <c r="N11" s="67" t="str">
        <f>IF($E11="Backlog",COUNTIF($E$3:$E11,"Backlog"),"")</f>
        <v/>
      </c>
    </row>
    <row r="12" spans="1:14" ht="19.5" customHeight="1">
      <c r="A12" s="68">
        <v>10</v>
      </c>
      <c r="B12" s="18"/>
      <c r="C12" s="19"/>
      <c r="D12" s="19"/>
      <c r="E12" s="19"/>
      <c r="F12" s="19"/>
      <c r="G12" s="19"/>
      <c r="H12" s="69" t="str">
        <f>IF(C12="XXL (&gt;160h)",168,IF(C12="XL (&gt;40h)",48,IF(C12="L (20-40h)",30,IF(C12="M (10-20h)",15,IF(C12="S (&lt;10h)",5,"")))))</f>
        <v/>
      </c>
      <c r="I12" s="18"/>
      <c r="J12" s="67" t="str">
        <f>IF($E12="Q12026",COUNTIF($E$3:$E12,"Q12026"),"")</f>
        <v/>
      </c>
      <c r="K12" s="67" t="str">
        <f>IF($E12="Q22026",COUNTIF($E$3:$E12,"Q22026"),"")</f>
        <v/>
      </c>
      <c r="L12" s="67" t="str">
        <f>IF($E12="Q32026",COUNTIF($E$3:$E12,"Q32026"),"")</f>
        <v/>
      </c>
      <c r="M12" s="67" t="str">
        <f>IF($E12="Q42026",COUNTIF($E$3:$E12,"Q42026"),"")</f>
        <v/>
      </c>
      <c r="N12" s="67" t="str">
        <f>IF($E12="Backlog",COUNTIF($E$3:$E12,"Backlog"),"")</f>
        <v/>
      </c>
    </row>
    <row r="13" spans="1:14" ht="19.5" customHeight="1">
      <c r="A13" s="65">
        <v>11</v>
      </c>
      <c r="B13" s="16"/>
      <c r="C13" s="17"/>
      <c r="D13" s="17"/>
      <c r="E13" s="17"/>
      <c r="F13" s="17"/>
      <c r="G13" s="17"/>
      <c r="H13" s="66" t="str">
        <f>IF(C13="XXL (&gt;160h)",168,IF(C13="XL (&gt;40h)",48,IF(C13="L (20-40h)",30,IF(C13="M (10-20h)",15,IF(C13="S (&lt;10h)",5,"")))))</f>
        <v/>
      </c>
      <c r="I13" s="16"/>
      <c r="J13" s="67" t="str">
        <f>IF($E13="Q12026",COUNTIF($E$3:$E13,"Q12026"),"")</f>
        <v/>
      </c>
      <c r="K13" s="67" t="str">
        <f>IF($E13="Q22026",COUNTIF($E$3:$E13,"Q22026"),"")</f>
        <v/>
      </c>
      <c r="L13" s="67" t="str">
        <f>IF($E13="Q32026",COUNTIF($E$3:$E13,"Q32026"),"")</f>
        <v/>
      </c>
      <c r="M13" s="67" t="str">
        <f>IF($E13="Q42026",COUNTIF($E$3:$E13,"Q42026"),"")</f>
        <v/>
      </c>
      <c r="N13" s="67" t="str">
        <f>IF($E13="Backlog",COUNTIF($E$3:$E13,"Backlog"),"")</f>
        <v/>
      </c>
    </row>
    <row r="14" spans="1:14" ht="19.5" customHeight="1">
      <c r="A14" s="68">
        <v>12</v>
      </c>
      <c r="B14" s="18"/>
      <c r="C14" s="19"/>
      <c r="D14" s="19"/>
      <c r="E14" s="19"/>
      <c r="F14" s="19"/>
      <c r="G14" s="19"/>
      <c r="H14" s="69" t="str">
        <f>IF(C14="XXL (&gt;160h)",168,IF(C14="XL (&gt;40h)",48,IF(C14="L (20-40h)",30,IF(C14="M (10-20h)",15,IF(C14="S (&lt;10h)",5,"")))))</f>
        <v/>
      </c>
      <c r="I14" s="18"/>
      <c r="J14" s="67" t="str">
        <f>IF($E14="Q12026",COUNTIF($E$3:$E14,"Q12026"),"")</f>
        <v/>
      </c>
      <c r="K14" s="67" t="str">
        <f>IF($E14="Q22026",COUNTIF($E$3:$E14,"Q22026"),"")</f>
        <v/>
      </c>
      <c r="L14" s="67" t="str">
        <f>IF($E14="Q32026",COUNTIF($E$3:$E14,"Q32026"),"")</f>
        <v/>
      </c>
      <c r="M14" s="67" t="str">
        <f>IF($E14="Q42026",COUNTIF($E$3:$E14,"Q42026"),"")</f>
        <v/>
      </c>
      <c r="N14" s="67" t="str">
        <f>IF($E14="Backlog",COUNTIF($E$3:$E14,"Backlog"),"")</f>
        <v/>
      </c>
    </row>
    <row r="15" spans="1:14" ht="19.5" customHeight="1">
      <c r="A15" s="65">
        <v>13</v>
      </c>
      <c r="B15" s="16"/>
      <c r="C15" s="17"/>
      <c r="D15" s="17"/>
      <c r="E15" s="17"/>
      <c r="F15" s="17"/>
      <c r="G15" s="17"/>
      <c r="H15" s="66" t="str">
        <f>IF(C15="XXL (&gt;160h)",168,IF(C15="XL (&gt;40h)",48,IF(C15="L (20-40h)",30,IF(C15="M (10-20h)",15,IF(C15="S (&lt;10h)",5,"")))))</f>
        <v/>
      </c>
      <c r="I15" s="16"/>
      <c r="J15" s="67" t="str">
        <f>IF($E15="Q12026",COUNTIF($E$3:$E15,"Q12026"),"")</f>
        <v/>
      </c>
      <c r="K15" s="67" t="str">
        <f>IF($E15="Q22026",COUNTIF($E$3:$E15,"Q22026"),"")</f>
        <v/>
      </c>
      <c r="L15" s="67" t="str">
        <f>IF($E15="Q32026",COUNTIF($E$3:$E15,"Q32026"),"")</f>
        <v/>
      </c>
      <c r="M15" s="67" t="str">
        <f>IF($E15="Q42026",COUNTIF($E$3:$E15,"Q42026"),"")</f>
        <v/>
      </c>
      <c r="N15" s="67" t="str">
        <f>IF($E15="Backlog",COUNTIF($E$3:$E15,"Backlog"),"")</f>
        <v/>
      </c>
    </row>
    <row r="16" spans="1:14" ht="19.5" customHeight="1">
      <c r="A16" s="68">
        <v>14</v>
      </c>
      <c r="B16" s="18"/>
      <c r="C16" s="19"/>
      <c r="D16" s="19"/>
      <c r="E16" s="19"/>
      <c r="F16" s="19"/>
      <c r="G16" s="19"/>
      <c r="H16" s="69" t="str">
        <f>IF(C16="XXL (&gt;160h)",168,IF(C16="XL (&gt;40h)",48,IF(C16="L (20-40h)",30,IF(C16="M (10-20h)",15,IF(C16="S (&lt;10h)",5,"")))))</f>
        <v/>
      </c>
      <c r="I16" s="18"/>
      <c r="J16" s="67" t="str">
        <f>IF($E16="Q12026",COUNTIF($E$3:$E16,"Q12026"),"")</f>
        <v/>
      </c>
      <c r="K16" s="67" t="str">
        <f>IF($E16="Q22026",COUNTIF($E$3:$E16,"Q22026"),"")</f>
        <v/>
      </c>
      <c r="L16" s="67" t="str">
        <f>IF($E16="Q32026",COUNTIF($E$3:$E16,"Q32026"),"")</f>
        <v/>
      </c>
      <c r="M16" s="67" t="str">
        <f>IF($E16="Q42026",COUNTIF($E$3:$E16,"Q42026"),"")</f>
        <v/>
      </c>
      <c r="N16" s="67" t="str">
        <f>IF($E16="Backlog",COUNTIF($E$3:$E16,"Backlog"),"")</f>
        <v/>
      </c>
    </row>
    <row r="17" spans="1:14" ht="19.5" customHeight="1">
      <c r="A17" s="65">
        <v>15</v>
      </c>
      <c r="B17" s="16"/>
      <c r="C17" s="17"/>
      <c r="D17" s="17"/>
      <c r="E17" s="17"/>
      <c r="F17" s="17"/>
      <c r="G17" s="17"/>
      <c r="H17" s="66" t="str">
        <f>IF(C17="XXL (&gt;160h)",168,IF(C17="XL (&gt;40h)",48,IF(C17="L (20-40h)",30,IF(C17="M (10-20h)",15,IF(C17="S (&lt;10h)",5,"")))))</f>
        <v/>
      </c>
      <c r="I17" s="16"/>
      <c r="J17" s="67" t="str">
        <f>IF($E17="Q12026",COUNTIF($E$3:$E17,"Q12026"),"")</f>
        <v/>
      </c>
      <c r="K17" s="67" t="str">
        <f>IF($E17="Q22026",COUNTIF($E$3:$E17,"Q22026"),"")</f>
        <v/>
      </c>
      <c r="L17" s="67" t="str">
        <f>IF($E17="Q32026",COUNTIF($E$3:$E17,"Q32026"),"")</f>
        <v/>
      </c>
      <c r="M17" s="67" t="str">
        <f>IF($E17="Q42026",COUNTIF($E$3:$E17,"Q42026"),"")</f>
        <v/>
      </c>
      <c r="N17" s="67" t="str">
        <f>IF($E17="Backlog",COUNTIF($E$3:$E17,"Backlog"),"")</f>
        <v/>
      </c>
    </row>
    <row r="18" spans="1:14" ht="19.5" customHeight="1">
      <c r="A18" s="68">
        <v>16</v>
      </c>
      <c r="B18" s="18"/>
      <c r="C18" s="19"/>
      <c r="D18" s="19"/>
      <c r="E18" s="19"/>
      <c r="F18" s="19"/>
      <c r="G18" s="19"/>
      <c r="H18" s="69" t="str">
        <f>IF(C18="XXL (&gt;160h)",168,IF(C18="XL (&gt;40h)",48,IF(C18="L (20-40h)",30,IF(C18="M (10-20h)",15,IF(C18="S (&lt;10h)",5,"")))))</f>
        <v/>
      </c>
      <c r="I18" s="18"/>
      <c r="J18" s="67" t="str">
        <f>IF($E18="Q12026",COUNTIF($E$3:$E18,"Q12026"),"")</f>
        <v/>
      </c>
      <c r="K18" s="67" t="str">
        <f>IF($E18="Q22026",COUNTIF($E$3:$E18,"Q22026"),"")</f>
        <v/>
      </c>
      <c r="L18" s="67" t="str">
        <f>IF($E18="Q32026",COUNTIF($E$3:$E18,"Q32026"),"")</f>
        <v/>
      </c>
      <c r="M18" s="67" t="str">
        <f>IF($E18="Q42026",COUNTIF($E$3:$E18,"Q42026"),"")</f>
        <v/>
      </c>
      <c r="N18" s="67" t="str">
        <f>IF($E18="Backlog",COUNTIF($E$3:$E18,"Backlog"),"")</f>
        <v/>
      </c>
    </row>
    <row r="19" spans="1:14" ht="19.5" customHeight="1">
      <c r="A19" s="65">
        <v>17</v>
      </c>
      <c r="B19" s="16"/>
      <c r="C19" s="17"/>
      <c r="D19" s="17"/>
      <c r="E19" s="17"/>
      <c r="F19" s="17"/>
      <c r="G19" s="17"/>
      <c r="H19" s="66" t="str">
        <f>IF(C19="XXL (&gt;160h)",168,IF(C19="XL (&gt;40h)",48,IF(C19="L (20-40h)",30,IF(C19="M (10-20h)",15,IF(C19="S (&lt;10h)",5,"")))))</f>
        <v/>
      </c>
      <c r="I19" s="16"/>
      <c r="J19" s="67" t="str">
        <f>IF($E19="Q12026",COUNTIF($E$3:$E19,"Q12026"),"")</f>
        <v/>
      </c>
      <c r="K19" s="67" t="str">
        <f>IF($E19="Q22026",COUNTIF($E$3:$E19,"Q22026"),"")</f>
        <v/>
      </c>
      <c r="L19" s="67" t="str">
        <f>IF($E19="Q32026",COUNTIF($E$3:$E19,"Q32026"),"")</f>
        <v/>
      </c>
      <c r="M19" s="67" t="str">
        <f>IF($E19="Q42026",COUNTIF($E$3:$E19,"Q42026"),"")</f>
        <v/>
      </c>
      <c r="N19" s="67" t="str">
        <f>IF($E19="Backlog",COUNTIF($E$3:$E19,"Backlog"),"")</f>
        <v/>
      </c>
    </row>
    <row r="20" spans="1:14" ht="19.5" customHeight="1">
      <c r="A20" s="68">
        <v>18</v>
      </c>
      <c r="B20" s="18"/>
      <c r="C20" s="19"/>
      <c r="D20" s="19"/>
      <c r="E20" s="19"/>
      <c r="F20" s="19"/>
      <c r="G20" s="19"/>
      <c r="H20" s="69" t="str">
        <f>IF(C20="XXL (&gt;160h)",168,IF(C20="XL (&gt;40h)",48,IF(C20="L (20-40h)",30,IF(C20="M (10-20h)",15,IF(C20="S (&lt;10h)",5,"")))))</f>
        <v/>
      </c>
      <c r="I20" s="18"/>
      <c r="J20" s="67" t="str">
        <f>IF($E20="Q12026",COUNTIF($E$3:$E20,"Q12026"),"")</f>
        <v/>
      </c>
      <c r="K20" s="67" t="str">
        <f>IF($E20="Q22026",COUNTIF($E$3:$E20,"Q22026"),"")</f>
        <v/>
      </c>
      <c r="L20" s="67" t="str">
        <f>IF($E20="Q32026",COUNTIF($E$3:$E20,"Q32026"),"")</f>
        <v/>
      </c>
      <c r="M20" s="67" t="str">
        <f>IF($E20="Q42026",COUNTIF($E$3:$E20,"Q42026"),"")</f>
        <v/>
      </c>
      <c r="N20" s="67" t="str">
        <f>IF($E20="Backlog",COUNTIF($E$3:$E20,"Backlog"),"")</f>
        <v/>
      </c>
    </row>
    <row r="21" spans="1:14" ht="19.5" customHeight="1">
      <c r="A21" s="65">
        <v>19</v>
      </c>
      <c r="B21" s="16"/>
      <c r="C21" s="17"/>
      <c r="D21" s="17"/>
      <c r="E21" s="17"/>
      <c r="F21" s="17"/>
      <c r="G21" s="17"/>
      <c r="H21" s="66" t="str">
        <f>IF(C21="XXL (&gt;160h)",168,IF(C21="XL (&gt;40h)",48,IF(C21="L (20-40h)",30,IF(C21="M (10-20h)",15,IF(C21="S (&lt;10h)",5,"")))))</f>
        <v/>
      </c>
      <c r="I21" s="16"/>
      <c r="J21" s="67" t="str">
        <f>IF($E21="Q12026",COUNTIF($E$3:$E21,"Q12026"),"")</f>
        <v/>
      </c>
      <c r="K21" s="67" t="str">
        <f>IF($E21="Q22026",COUNTIF($E$3:$E21,"Q22026"),"")</f>
        <v/>
      </c>
      <c r="L21" s="67" t="str">
        <f>IF($E21="Q32026",COUNTIF($E$3:$E21,"Q32026"),"")</f>
        <v/>
      </c>
      <c r="M21" s="67" t="str">
        <f>IF($E21="Q42026",COUNTIF($E$3:$E21,"Q42026"),"")</f>
        <v/>
      </c>
      <c r="N21" s="67" t="str">
        <f>IF($E21="Backlog",COUNTIF($E$3:$E21,"Backlog"),"")</f>
        <v/>
      </c>
    </row>
    <row r="22" spans="1:14" ht="19.5" customHeight="1">
      <c r="A22" s="68">
        <v>20</v>
      </c>
      <c r="B22" s="18"/>
      <c r="C22" s="19"/>
      <c r="D22" s="19"/>
      <c r="E22" s="19"/>
      <c r="F22" s="19"/>
      <c r="G22" s="19"/>
      <c r="H22" s="69" t="str">
        <f>IF(C22="XXL (&gt;160h)",168,IF(C22="XL (&gt;40h)",48,IF(C22="L (20-40h)",30,IF(C22="M (10-20h)",15,IF(C22="S (&lt;10h)",5,"")))))</f>
        <v/>
      </c>
      <c r="I22" s="18"/>
      <c r="J22" s="67" t="str">
        <f>IF($E22="Q12026",COUNTIF($E$3:$E22,"Q12026"),"")</f>
        <v/>
      </c>
      <c r="K22" s="67" t="str">
        <f>IF($E22="Q22026",COUNTIF($E$3:$E22,"Q22026"),"")</f>
        <v/>
      </c>
      <c r="L22" s="67" t="str">
        <f>IF($E22="Q32026",COUNTIF($E$3:$E22,"Q32026"),"")</f>
        <v/>
      </c>
      <c r="M22" s="67" t="str">
        <f>IF($E22="Q42026",COUNTIF($E$3:$E22,"Q42026"),"")</f>
        <v/>
      </c>
      <c r="N22" s="67" t="str">
        <f>IF($E22="Backlog",COUNTIF($E$3:$E22,"Backlog"),"")</f>
        <v/>
      </c>
    </row>
    <row r="23" spans="1:14" ht="19.5" customHeight="1">
      <c r="A23" s="65">
        <v>21</v>
      </c>
      <c r="B23" s="16"/>
      <c r="C23" s="17"/>
      <c r="D23" s="17"/>
      <c r="E23" s="17"/>
      <c r="F23" s="17"/>
      <c r="G23" s="17"/>
      <c r="H23" s="66" t="str">
        <f>IF(C23="XXL (&gt;160h)",168,IF(C23="XL (&gt;40h)",48,IF(C23="L (20-40h)",30,IF(C23="M (10-20h)",15,IF(C23="S (&lt;10h)",5,"")))))</f>
        <v/>
      </c>
      <c r="I23" s="16"/>
      <c r="J23" s="67" t="str">
        <f>IF($E23="Q12026",COUNTIF($E$3:$E23,"Q12026"),"")</f>
        <v/>
      </c>
      <c r="K23" s="67" t="str">
        <f>IF($E23="Q22026",COUNTIF($E$3:$E23,"Q22026"),"")</f>
        <v/>
      </c>
      <c r="L23" s="67" t="str">
        <f>IF($E23="Q32026",COUNTIF($E$3:$E23,"Q32026"),"")</f>
        <v/>
      </c>
      <c r="M23" s="67" t="str">
        <f>IF($E23="Q42026",COUNTIF($E$3:$E23,"Q42026"),"")</f>
        <v/>
      </c>
      <c r="N23" s="67" t="str">
        <f>IF($E23="Backlog",COUNTIF($E$3:$E23,"Backlog"),"")</f>
        <v/>
      </c>
    </row>
    <row r="24" spans="1:14" ht="19.5" customHeight="1">
      <c r="A24" s="68">
        <v>22</v>
      </c>
      <c r="B24" s="18"/>
      <c r="C24" s="19"/>
      <c r="D24" s="19"/>
      <c r="E24" s="19"/>
      <c r="F24" s="19"/>
      <c r="G24" s="19"/>
      <c r="H24" s="69" t="str">
        <f>IF(C24="XXL (&gt;160h)",168,IF(C24="XL (&gt;40h)",48,IF(C24="L (20-40h)",30,IF(C24="M (10-20h)",15,IF(C24="S (&lt;10h)",5,"")))))</f>
        <v/>
      </c>
      <c r="I24" s="18"/>
      <c r="J24" s="67" t="str">
        <f>IF($E24="Q12026",COUNTIF($E$3:$E24,"Q12026"),"")</f>
        <v/>
      </c>
      <c r="K24" s="67" t="str">
        <f>IF($E24="Q22026",COUNTIF($E$3:$E24,"Q22026"),"")</f>
        <v/>
      </c>
      <c r="L24" s="67" t="str">
        <f>IF($E24="Q32026",COUNTIF($E$3:$E24,"Q32026"),"")</f>
        <v/>
      </c>
      <c r="M24" s="67" t="str">
        <f>IF($E24="Q42026",COUNTIF($E$3:$E24,"Q42026"),"")</f>
        <v/>
      </c>
      <c r="N24" s="67" t="str">
        <f>IF($E24="Backlog",COUNTIF($E$3:$E24,"Backlog"),"")</f>
        <v/>
      </c>
    </row>
    <row r="25" spans="1:14" ht="19.5" customHeight="1">
      <c r="A25" s="65">
        <v>23</v>
      </c>
      <c r="B25" s="16"/>
      <c r="C25" s="17"/>
      <c r="D25" s="17"/>
      <c r="E25" s="17"/>
      <c r="F25" s="17"/>
      <c r="G25" s="17"/>
      <c r="H25" s="66" t="str">
        <f>IF(C25="XXL (&gt;160h)",168,IF(C25="XL (&gt;40h)",48,IF(C25="L (20-40h)",30,IF(C25="M (10-20h)",15,IF(C25="S (&lt;10h)",5,"")))))</f>
        <v/>
      </c>
      <c r="I25" s="16"/>
      <c r="J25" s="67" t="str">
        <f>IF($E25="Q12026",COUNTIF($E$3:$E25,"Q12026"),"")</f>
        <v/>
      </c>
      <c r="K25" s="67" t="str">
        <f>IF($E25="Q22026",COUNTIF($E$3:$E25,"Q22026"),"")</f>
        <v/>
      </c>
      <c r="L25" s="67" t="str">
        <f>IF($E25="Q32026",COUNTIF($E$3:$E25,"Q32026"),"")</f>
        <v/>
      </c>
      <c r="M25" s="67" t="str">
        <f>IF($E25="Q42026",COUNTIF($E$3:$E25,"Q42026"),"")</f>
        <v/>
      </c>
      <c r="N25" s="67" t="str">
        <f>IF($E25="Backlog",COUNTIF($E$3:$E25,"Backlog"),"")</f>
        <v/>
      </c>
    </row>
    <row r="26" spans="1:14" ht="19.5" customHeight="1">
      <c r="A26" s="68">
        <v>24</v>
      </c>
      <c r="B26" s="18"/>
      <c r="C26" s="19"/>
      <c r="D26" s="19"/>
      <c r="E26" s="19"/>
      <c r="F26" s="19"/>
      <c r="G26" s="19"/>
      <c r="H26" s="69" t="str">
        <f>IF(C26="XXL (&gt;160h)",168,IF(C26="XL (&gt;40h)",48,IF(C26="L (20-40h)",30,IF(C26="M (10-20h)",15,IF(C26="S (&lt;10h)",5,"")))))</f>
        <v/>
      </c>
      <c r="I26" s="18"/>
      <c r="J26" s="67" t="str">
        <f>IF($E26="Q12026",COUNTIF($E$3:$E26,"Q12026"),"")</f>
        <v/>
      </c>
      <c r="K26" s="67" t="str">
        <f>IF($E26="Q22026",COUNTIF($E$3:$E26,"Q22026"),"")</f>
        <v/>
      </c>
      <c r="L26" s="67" t="str">
        <f>IF($E26="Q32026",COUNTIF($E$3:$E26,"Q32026"),"")</f>
        <v/>
      </c>
      <c r="M26" s="67" t="str">
        <f>IF($E26="Q42026",COUNTIF($E$3:$E26,"Q42026"),"")</f>
        <v/>
      </c>
      <c r="N26" s="67" t="str">
        <f>IF($E26="Backlog",COUNTIF($E$3:$E26,"Backlog"),"")</f>
        <v/>
      </c>
    </row>
    <row r="27" spans="1:14" ht="19.5" customHeight="1">
      <c r="A27" s="65">
        <v>25</v>
      </c>
      <c r="B27" s="16"/>
      <c r="C27" s="17"/>
      <c r="D27" s="17"/>
      <c r="E27" s="17"/>
      <c r="F27" s="17"/>
      <c r="G27" s="17"/>
      <c r="H27" s="66" t="str">
        <f>IF(C27="XXL (&gt;160h)",168,IF(C27="XL (&gt;40h)",48,IF(C27="L (20-40h)",30,IF(C27="M (10-20h)",15,IF(C27="S (&lt;10h)",5,"")))))</f>
        <v/>
      </c>
      <c r="I27" s="16"/>
      <c r="J27" s="67" t="str">
        <f>IF($E27="Q12026",COUNTIF($E$3:$E27,"Q12026"),"")</f>
        <v/>
      </c>
      <c r="K27" s="67" t="str">
        <f>IF($E27="Q22026",COUNTIF($E$3:$E27,"Q22026"),"")</f>
        <v/>
      </c>
      <c r="L27" s="67" t="str">
        <f>IF($E27="Q32026",COUNTIF($E$3:$E27,"Q32026"),"")</f>
        <v/>
      </c>
      <c r="M27" s="67" t="str">
        <f>IF($E27="Q42026",COUNTIF($E$3:$E27,"Q42026"),"")</f>
        <v/>
      </c>
      <c r="N27" s="67" t="str">
        <f>IF($E27="Backlog",COUNTIF($E$3:$E27,"Backlog"),"")</f>
        <v/>
      </c>
    </row>
    <row r="28" spans="1:14" ht="19.5" customHeight="1">
      <c r="A28" s="68">
        <v>26</v>
      </c>
      <c r="B28" s="18"/>
      <c r="C28" s="19"/>
      <c r="D28" s="19"/>
      <c r="E28" s="19"/>
      <c r="F28" s="19"/>
      <c r="G28" s="19"/>
      <c r="H28" s="69" t="str">
        <f>IF(C28="XXL (&gt;160h)",168,IF(C28="XL (&gt;40h)",48,IF(C28="L (20-40h)",30,IF(C28="M (10-20h)",15,IF(C28="S (&lt;10h)",5,"")))))</f>
        <v/>
      </c>
      <c r="I28" s="18"/>
      <c r="J28" s="67" t="str">
        <f>IF($E28="Q12026",COUNTIF($E$3:$E28,"Q12026"),"")</f>
        <v/>
      </c>
      <c r="K28" s="67" t="str">
        <f>IF($E28="Q22026",COUNTIF($E$3:$E28,"Q22026"),"")</f>
        <v/>
      </c>
      <c r="L28" s="67" t="str">
        <f>IF($E28="Q32026",COUNTIF($E$3:$E28,"Q32026"),"")</f>
        <v/>
      </c>
      <c r="M28" s="67" t="str">
        <f>IF($E28="Q42026",COUNTIF($E$3:$E28,"Q42026"),"")</f>
        <v/>
      </c>
      <c r="N28" s="67" t="str">
        <f>IF($E28="Backlog",COUNTIF($E$3:$E28,"Backlog"),"")</f>
        <v/>
      </c>
    </row>
    <row r="29" spans="1:14" ht="19.5" customHeight="1">
      <c r="A29" s="65">
        <v>27</v>
      </c>
      <c r="B29" s="16"/>
      <c r="C29" s="17"/>
      <c r="D29" s="17"/>
      <c r="E29" s="17"/>
      <c r="F29" s="17"/>
      <c r="G29" s="17"/>
      <c r="H29" s="66" t="str">
        <f>IF(C29="XXL (&gt;160h)",168,IF(C29="XL (&gt;40h)",48,IF(C29="L (20-40h)",30,IF(C29="M (10-20h)",15,IF(C29="S (&lt;10h)",5,"")))))</f>
        <v/>
      </c>
      <c r="I29" s="16"/>
      <c r="J29" s="67" t="str">
        <f>IF($E29="Q12026",COUNTIF($E$3:$E29,"Q12026"),"")</f>
        <v/>
      </c>
      <c r="K29" s="67" t="str">
        <f>IF($E29="Q22026",COUNTIF($E$3:$E29,"Q22026"),"")</f>
        <v/>
      </c>
      <c r="L29" s="67" t="str">
        <f>IF($E29="Q32026",COUNTIF($E$3:$E29,"Q32026"),"")</f>
        <v/>
      </c>
      <c r="M29" s="67" t="str">
        <f>IF($E29="Q42026",COUNTIF($E$3:$E29,"Q42026"),"")</f>
        <v/>
      </c>
      <c r="N29" s="67" t="str">
        <f>IF($E29="Backlog",COUNTIF($E$3:$E29,"Backlog"),"")</f>
        <v/>
      </c>
    </row>
    <row r="30" spans="1:14" ht="19.5" customHeight="1">
      <c r="A30" s="68">
        <v>28</v>
      </c>
      <c r="B30" s="18"/>
      <c r="C30" s="19"/>
      <c r="D30" s="19"/>
      <c r="E30" s="19"/>
      <c r="F30" s="19"/>
      <c r="G30" s="19"/>
      <c r="H30" s="69" t="str">
        <f>IF(C30="XXL (&gt;160h)",168,IF(C30="XL (&gt;40h)",48,IF(C30="L (20-40h)",30,IF(C30="M (10-20h)",15,IF(C30="S (&lt;10h)",5,"")))))</f>
        <v/>
      </c>
      <c r="I30" s="18"/>
      <c r="J30" s="67" t="str">
        <f>IF($E30="Q12026",COUNTIF($E$3:$E30,"Q12026"),"")</f>
        <v/>
      </c>
      <c r="K30" s="67" t="str">
        <f>IF($E30="Q22026",COUNTIF($E$3:$E30,"Q22026"),"")</f>
        <v/>
      </c>
      <c r="L30" s="67" t="str">
        <f>IF($E30="Q32026",COUNTIF($E$3:$E30,"Q32026"),"")</f>
        <v/>
      </c>
      <c r="M30" s="67" t="str">
        <f>IF($E30="Q42026",COUNTIF($E$3:$E30,"Q42026"),"")</f>
        <v/>
      </c>
      <c r="N30" s="67" t="str">
        <f>IF($E30="Backlog",COUNTIF($E$3:$E30,"Backlog"),"")</f>
        <v/>
      </c>
    </row>
    <row r="31" spans="1:14" ht="19.5" customHeight="1">
      <c r="A31" s="65">
        <v>29</v>
      </c>
      <c r="B31" s="16"/>
      <c r="C31" s="17"/>
      <c r="D31" s="17"/>
      <c r="E31" s="17"/>
      <c r="F31" s="17"/>
      <c r="G31" s="17"/>
      <c r="H31" s="66" t="str">
        <f>IF(C31="XXL (&gt;160h)",168,IF(C31="XL (&gt;40h)",48,IF(C31="L (20-40h)",30,IF(C31="M (10-20h)",15,IF(C31="S (&lt;10h)",5,"")))))</f>
        <v/>
      </c>
      <c r="I31" s="16"/>
      <c r="J31" s="67" t="str">
        <f>IF($E31="Q12026",COUNTIF($E$3:$E31,"Q12026"),"")</f>
        <v/>
      </c>
      <c r="K31" s="67" t="str">
        <f>IF($E31="Q22026",COUNTIF($E$3:$E31,"Q22026"),"")</f>
        <v/>
      </c>
      <c r="L31" s="67" t="str">
        <f>IF($E31="Q32026",COUNTIF($E$3:$E31,"Q32026"),"")</f>
        <v/>
      </c>
      <c r="M31" s="67" t="str">
        <f>IF($E31="Q42026",COUNTIF($E$3:$E31,"Q42026"),"")</f>
        <v/>
      </c>
      <c r="N31" s="67" t="str">
        <f>IF($E31="Backlog",COUNTIF($E$3:$E31,"Backlog"),"")</f>
        <v/>
      </c>
    </row>
    <row r="32" spans="1:14" ht="19.5" customHeight="1">
      <c r="A32" s="68">
        <v>30</v>
      </c>
      <c r="B32" s="18"/>
      <c r="C32" s="19"/>
      <c r="D32" s="19"/>
      <c r="E32" s="19"/>
      <c r="F32" s="19"/>
      <c r="G32" s="19"/>
      <c r="H32" s="69" t="str">
        <f>IF(C32="XXL (&gt;160h)",168,IF(C32="XL (&gt;40h)",48,IF(C32="L (20-40h)",30,IF(C32="M (10-20h)",15,IF(C32="S (&lt;10h)",5,"")))))</f>
        <v/>
      </c>
      <c r="I32" s="18"/>
      <c r="J32" s="67" t="str">
        <f>IF($E32="Q12026",COUNTIF($E$3:$E32,"Q12026"),"")</f>
        <v/>
      </c>
      <c r="K32" s="67" t="str">
        <f>IF($E32="Q22026",COUNTIF($E$3:$E32,"Q22026"),"")</f>
        <v/>
      </c>
      <c r="L32" s="67" t="str">
        <f>IF($E32="Q32026",COUNTIF($E$3:$E32,"Q32026"),"")</f>
        <v/>
      </c>
      <c r="M32" s="67" t="str">
        <f>IF($E32="Q42026",COUNTIF($E$3:$E32,"Q42026"),"")</f>
        <v/>
      </c>
      <c r="N32" s="67" t="str">
        <f>IF($E32="Backlog",COUNTIF($E$3:$E32,"Backlog"),"")</f>
        <v/>
      </c>
    </row>
    <row r="33" spans="1:14" ht="19.5" customHeight="1">
      <c r="A33" s="65">
        <v>31</v>
      </c>
      <c r="B33" s="16"/>
      <c r="C33" s="17"/>
      <c r="D33" s="17"/>
      <c r="E33" s="17"/>
      <c r="F33" s="17"/>
      <c r="G33" s="17"/>
      <c r="H33" s="66" t="str">
        <f>IF(C33="XXL (&gt;160h)",168,IF(C33="XL (&gt;40h)",48,IF(C33="L (20-40h)",30,IF(C33="M (10-20h)",15,IF(C33="S (&lt;10h)",5,"")))))</f>
        <v/>
      </c>
      <c r="I33" s="16"/>
      <c r="J33" s="67" t="str">
        <f>IF($E33="Q12026",COUNTIF($E$3:$E33,"Q12026"),"")</f>
        <v/>
      </c>
      <c r="K33" s="67" t="str">
        <f>IF($E33="Q22026",COUNTIF($E$3:$E33,"Q22026"),"")</f>
        <v/>
      </c>
      <c r="L33" s="67" t="str">
        <f>IF($E33="Q32026",COUNTIF($E$3:$E33,"Q32026"),"")</f>
        <v/>
      </c>
      <c r="M33" s="67" t="str">
        <f>IF($E33="Q42026",COUNTIF($E$3:$E33,"Q42026"),"")</f>
        <v/>
      </c>
      <c r="N33" s="67" t="str">
        <f>IF($E33="Backlog",COUNTIF($E$3:$E33,"Backlog"),"")</f>
        <v/>
      </c>
    </row>
    <row r="34" spans="1:14" ht="19.5" customHeight="1">
      <c r="A34" s="68">
        <v>32</v>
      </c>
      <c r="B34" s="18"/>
      <c r="C34" s="19"/>
      <c r="D34" s="19"/>
      <c r="E34" s="19"/>
      <c r="F34" s="19"/>
      <c r="G34" s="19"/>
      <c r="H34" s="69" t="str">
        <f>IF(C34="XXL (&gt;160h)",168,IF(C34="XL (&gt;40h)",48,IF(C34="L (20-40h)",30,IF(C34="M (10-20h)",15,IF(C34="S (&lt;10h)",5,"")))))</f>
        <v/>
      </c>
      <c r="I34" s="18"/>
      <c r="J34" s="67" t="str">
        <f>IF($E34="Q12026",COUNTIF($E$3:$E34,"Q12026"),"")</f>
        <v/>
      </c>
      <c r="K34" s="67" t="str">
        <f>IF($E34="Q22026",COUNTIF($E$3:$E34,"Q22026"),"")</f>
        <v/>
      </c>
      <c r="L34" s="67" t="str">
        <f>IF($E34="Q32026",COUNTIF($E$3:$E34,"Q32026"),"")</f>
        <v/>
      </c>
      <c r="M34" s="67" t="str">
        <f>IF($E34="Q42026",COUNTIF($E$3:$E34,"Q42026"),"")</f>
        <v/>
      </c>
      <c r="N34" s="67" t="str">
        <f>IF($E34="Backlog",COUNTIF($E$3:$E34,"Backlog"),"")</f>
        <v/>
      </c>
    </row>
    <row r="35" spans="1:14" ht="19.5" customHeight="1">
      <c r="A35" s="65">
        <v>33</v>
      </c>
      <c r="B35" s="16"/>
      <c r="C35" s="17"/>
      <c r="D35" s="17"/>
      <c r="E35" s="17"/>
      <c r="F35" s="17"/>
      <c r="G35" s="17"/>
      <c r="H35" s="66" t="str">
        <f>IF(C35="XXL (&gt;160h)",168,IF(C35="XL (&gt;40h)",48,IF(C35="L (20-40h)",30,IF(C35="M (10-20h)",15,IF(C35="S (&lt;10h)",5,"")))))</f>
        <v/>
      </c>
      <c r="I35" s="16"/>
      <c r="J35" s="67" t="str">
        <f>IF($E35="Q12026",COUNTIF($E$3:$E35,"Q12026"),"")</f>
        <v/>
      </c>
      <c r="K35" s="67" t="str">
        <f>IF($E35="Q22026",COUNTIF($E$3:$E35,"Q22026"),"")</f>
        <v/>
      </c>
      <c r="L35" s="67" t="str">
        <f>IF($E35="Q32026",COUNTIF($E$3:$E35,"Q32026"),"")</f>
        <v/>
      </c>
      <c r="M35" s="67" t="str">
        <f>IF($E35="Q42026",COUNTIF($E$3:$E35,"Q42026"),"")</f>
        <v/>
      </c>
      <c r="N35" s="67" t="str">
        <f>IF($E35="Backlog",COUNTIF($E$3:$E35,"Backlog"),"")</f>
        <v/>
      </c>
    </row>
    <row r="36" spans="1:14" ht="19.5" customHeight="1">
      <c r="A36" s="68">
        <v>34</v>
      </c>
      <c r="B36" s="18"/>
      <c r="C36" s="19"/>
      <c r="D36" s="19"/>
      <c r="E36" s="19"/>
      <c r="F36" s="19"/>
      <c r="G36" s="19"/>
      <c r="H36" s="69" t="str">
        <f>IF(C36="XXL (&gt;160h)",168,IF(C36="XL (&gt;40h)",48,IF(C36="L (20-40h)",30,IF(C36="M (10-20h)",15,IF(C36="S (&lt;10h)",5,"")))))</f>
        <v/>
      </c>
      <c r="I36" s="18"/>
      <c r="J36" s="67" t="str">
        <f>IF($E36="Q12026",COUNTIF($E$3:$E36,"Q12026"),"")</f>
        <v/>
      </c>
      <c r="K36" s="67" t="str">
        <f>IF($E36="Q22026",COUNTIF($E$3:$E36,"Q22026"),"")</f>
        <v/>
      </c>
      <c r="L36" s="67" t="str">
        <f>IF($E36="Q32026",COUNTIF($E$3:$E36,"Q32026"),"")</f>
        <v/>
      </c>
      <c r="M36" s="67" t="str">
        <f>IF($E36="Q42026",COUNTIF($E$3:$E36,"Q42026"),"")</f>
        <v/>
      </c>
      <c r="N36" s="67" t="str">
        <f>IF($E36="Backlog",COUNTIF($E$3:$E36,"Backlog"),"")</f>
        <v/>
      </c>
    </row>
    <row r="37" spans="1:14" ht="19.5" customHeight="1">
      <c r="A37" s="65">
        <v>35</v>
      </c>
      <c r="B37" s="16"/>
      <c r="C37" s="17"/>
      <c r="D37" s="17"/>
      <c r="E37" s="17"/>
      <c r="F37" s="17"/>
      <c r="G37" s="17"/>
      <c r="H37" s="66" t="str">
        <f>IF(C37="XXL (&gt;160h)",168,IF(C37="XL (&gt;40h)",48,IF(C37="L (20-40h)",30,IF(C37="M (10-20h)",15,IF(C37="S (&lt;10h)",5,"")))))</f>
        <v/>
      </c>
      <c r="I37" s="16"/>
      <c r="J37" s="67" t="str">
        <f>IF($E37="Q12026",COUNTIF($E$3:$E37,"Q12026"),"")</f>
        <v/>
      </c>
      <c r="K37" s="67" t="str">
        <f>IF($E37="Q22026",COUNTIF($E$3:$E37,"Q22026"),"")</f>
        <v/>
      </c>
      <c r="L37" s="67" t="str">
        <f>IF($E37="Q32026",COUNTIF($E$3:$E37,"Q32026"),"")</f>
        <v/>
      </c>
      <c r="M37" s="67" t="str">
        <f>IF($E37="Q42026",COUNTIF($E$3:$E37,"Q42026"),"")</f>
        <v/>
      </c>
      <c r="N37" s="67" t="str">
        <f>IF($E37="Backlog",COUNTIF($E$3:$E37,"Backlog"),"")</f>
        <v/>
      </c>
    </row>
    <row r="38" spans="1:14" ht="19.5" customHeight="1">
      <c r="A38" s="68">
        <v>36</v>
      </c>
      <c r="B38" s="18"/>
      <c r="C38" s="19"/>
      <c r="D38" s="19"/>
      <c r="E38" s="19"/>
      <c r="F38" s="19"/>
      <c r="G38" s="19"/>
      <c r="H38" s="69" t="str">
        <f>IF(C38="XXL (&gt;160h)",168,IF(C38="XL (&gt;40h)",48,IF(C38="L (20-40h)",30,IF(C38="M (10-20h)",15,IF(C38="S (&lt;10h)",5,"")))))</f>
        <v/>
      </c>
      <c r="I38" s="18"/>
      <c r="J38" s="67" t="str">
        <f>IF($E38="Q12026",COUNTIF($E$3:$E38,"Q12026"),"")</f>
        <v/>
      </c>
      <c r="K38" s="67" t="str">
        <f>IF($E38="Q22026",COUNTIF($E$3:$E38,"Q22026"),"")</f>
        <v/>
      </c>
      <c r="L38" s="67" t="str">
        <f>IF($E38="Q32026",COUNTIF($E$3:$E38,"Q32026"),"")</f>
        <v/>
      </c>
      <c r="M38" s="67" t="str">
        <f>IF($E38="Q42026",COUNTIF($E$3:$E38,"Q42026"),"")</f>
        <v/>
      </c>
      <c r="N38" s="67" t="str">
        <f>IF($E38="Backlog",COUNTIF($E$3:$E38,"Backlog"),"")</f>
        <v/>
      </c>
    </row>
    <row r="39" spans="1:14" ht="19.5" customHeight="1">
      <c r="A39" s="65">
        <v>37</v>
      </c>
      <c r="B39" s="16"/>
      <c r="C39" s="17"/>
      <c r="D39" s="17"/>
      <c r="E39" s="17"/>
      <c r="F39" s="17"/>
      <c r="G39" s="17"/>
      <c r="H39" s="66" t="str">
        <f>IF(C39="XXL (&gt;160h)",168,IF(C39="XL (&gt;40h)",48,IF(C39="L (20-40h)",30,IF(C39="M (10-20h)",15,IF(C39="S (&lt;10h)",5,"")))))</f>
        <v/>
      </c>
      <c r="I39" s="16"/>
      <c r="J39" s="67" t="str">
        <f>IF($E39="Q12026",COUNTIF($E$3:$E39,"Q12026"),"")</f>
        <v/>
      </c>
      <c r="K39" s="67" t="str">
        <f>IF($E39="Q22026",COUNTIF($E$3:$E39,"Q22026"),"")</f>
        <v/>
      </c>
      <c r="L39" s="67" t="str">
        <f>IF($E39="Q32026",COUNTIF($E$3:$E39,"Q32026"),"")</f>
        <v/>
      </c>
      <c r="M39" s="67" t="str">
        <f>IF($E39="Q42026",COUNTIF($E$3:$E39,"Q42026"),"")</f>
        <v/>
      </c>
      <c r="N39" s="67" t="str">
        <f>IF($E39="Backlog",COUNTIF($E$3:$E39,"Backlog"),"")</f>
        <v/>
      </c>
    </row>
    <row r="40" spans="1:14" ht="19.5" customHeight="1">
      <c r="A40" s="68">
        <v>38</v>
      </c>
      <c r="B40" s="18"/>
      <c r="C40" s="19"/>
      <c r="D40" s="19"/>
      <c r="E40" s="19"/>
      <c r="F40" s="19"/>
      <c r="G40" s="19"/>
      <c r="H40" s="69" t="str">
        <f>IF(C40="XXL (&gt;160h)",168,IF(C40="XL (&gt;40h)",48,IF(C40="L (20-40h)",30,IF(C40="M (10-20h)",15,IF(C40="S (&lt;10h)",5,"")))))</f>
        <v/>
      </c>
      <c r="I40" s="18"/>
      <c r="J40" s="67" t="str">
        <f>IF($E40="Q12026",COUNTIF($E$3:$E40,"Q12026"),"")</f>
        <v/>
      </c>
      <c r="K40" s="67" t="str">
        <f>IF($E40="Q22026",COUNTIF($E$3:$E40,"Q22026"),"")</f>
        <v/>
      </c>
      <c r="L40" s="67" t="str">
        <f>IF($E40="Q32026",COUNTIF($E$3:$E40,"Q32026"),"")</f>
        <v/>
      </c>
      <c r="M40" s="67" t="str">
        <f>IF($E40="Q42026",COUNTIF($E$3:$E40,"Q42026"),"")</f>
        <v/>
      </c>
      <c r="N40" s="67" t="str">
        <f>IF($E40="Backlog",COUNTIF($E$3:$E40,"Backlog"),"")</f>
        <v/>
      </c>
    </row>
    <row r="41" spans="1:14" ht="19.5" customHeight="1">
      <c r="A41" s="65">
        <v>39</v>
      </c>
      <c r="B41" s="16"/>
      <c r="C41" s="17"/>
      <c r="D41" s="17"/>
      <c r="E41" s="17"/>
      <c r="F41" s="17"/>
      <c r="G41" s="17"/>
      <c r="H41" s="66" t="str">
        <f>IF(C41="XXL (&gt;160h)",168,IF(C41="XL (&gt;40h)",48,IF(C41="L (20-40h)",30,IF(C41="M (10-20h)",15,IF(C41="S (&lt;10h)",5,"")))))</f>
        <v/>
      </c>
      <c r="I41" s="16"/>
      <c r="J41" s="67" t="str">
        <f>IF($E41="Q12026",COUNTIF($E$3:$E41,"Q12026"),"")</f>
        <v/>
      </c>
      <c r="K41" s="67" t="str">
        <f>IF($E41="Q22026",COUNTIF($E$3:$E41,"Q22026"),"")</f>
        <v/>
      </c>
      <c r="L41" s="67" t="str">
        <f>IF($E41="Q32026",COUNTIF($E$3:$E41,"Q32026"),"")</f>
        <v/>
      </c>
      <c r="M41" s="67" t="str">
        <f>IF($E41="Q42026",COUNTIF($E$3:$E41,"Q42026"),"")</f>
        <v/>
      </c>
      <c r="N41" s="67" t="str">
        <f>IF($E41="Backlog",COUNTIF($E$3:$E41,"Backlog"),"")</f>
        <v/>
      </c>
    </row>
    <row r="42" spans="1:14" ht="19.5" customHeight="1">
      <c r="A42" s="68">
        <v>40</v>
      </c>
      <c r="B42" s="18"/>
      <c r="C42" s="19"/>
      <c r="D42" s="19"/>
      <c r="E42" s="19"/>
      <c r="F42" s="19"/>
      <c r="G42" s="19"/>
      <c r="H42" s="69" t="str">
        <f>IF(C42="XXL (&gt;160h)",168,IF(C42="XL (&gt;40h)",48,IF(C42="L (20-40h)",30,IF(C42="M (10-20h)",15,IF(C42="S (&lt;10h)",5,"")))))</f>
        <v/>
      </c>
      <c r="I42" s="18"/>
      <c r="J42" s="67" t="str">
        <f>IF($E42="Q12026",COUNTIF($E$3:$E42,"Q12026"),"")</f>
        <v/>
      </c>
      <c r="K42" s="67" t="str">
        <f>IF($E42="Q22026",COUNTIF($E$3:$E42,"Q22026"),"")</f>
        <v/>
      </c>
      <c r="L42" s="67" t="str">
        <f>IF($E42="Q32026",COUNTIF($E$3:$E42,"Q32026"),"")</f>
        <v/>
      </c>
      <c r="M42" s="67" t="str">
        <f>IF($E42="Q42026",COUNTIF($E$3:$E42,"Q42026"),"")</f>
        <v/>
      </c>
      <c r="N42" s="67" t="str">
        <f>IF($E42="Backlog",COUNTIF($E$3:$E42,"Backlog"),"")</f>
        <v/>
      </c>
    </row>
    <row r="43" spans="1:14" ht="19.5" customHeight="1">
      <c r="A43" s="65">
        <v>41</v>
      </c>
      <c r="B43" s="16"/>
      <c r="C43" s="17"/>
      <c r="D43" s="17"/>
      <c r="E43" s="17"/>
      <c r="F43" s="17"/>
      <c r="G43" s="17"/>
      <c r="H43" s="66" t="str">
        <f>IF(C43="XXL (&gt;160h)",168,IF(C43="XL (&gt;40h)",48,IF(C43="L (20-40h)",30,IF(C43="M (10-20h)",15,IF(C43="S (&lt;10h)",5,"")))))</f>
        <v/>
      </c>
      <c r="I43" s="16"/>
      <c r="J43" s="67" t="str">
        <f>IF($E43="Q12026",COUNTIF($E$3:$E43,"Q12026"),"")</f>
        <v/>
      </c>
      <c r="K43" s="67" t="str">
        <f>IF($E43="Q22026",COUNTIF($E$3:$E43,"Q22026"),"")</f>
        <v/>
      </c>
      <c r="L43" s="67" t="str">
        <f>IF($E43="Q32026",COUNTIF($E$3:$E43,"Q32026"),"")</f>
        <v/>
      </c>
      <c r="M43" s="67" t="str">
        <f>IF($E43="Q42026",COUNTIF($E$3:$E43,"Q42026"),"")</f>
        <v/>
      </c>
      <c r="N43" s="67" t="str">
        <f>IF($E43="Backlog",COUNTIF($E$3:$E43,"Backlog"),"")</f>
        <v/>
      </c>
    </row>
    <row r="44" spans="1:14" ht="19.5" customHeight="1">
      <c r="A44" s="68">
        <v>42</v>
      </c>
      <c r="B44" s="18"/>
      <c r="C44" s="19"/>
      <c r="D44" s="19"/>
      <c r="E44" s="19"/>
      <c r="F44" s="19"/>
      <c r="G44" s="19"/>
      <c r="H44" s="69" t="str">
        <f>IF(C44="XXL (&gt;160h)",168,IF(C44="XL (&gt;40h)",48,IF(C44="L (20-40h)",30,IF(C44="M (10-20h)",15,IF(C44="S (&lt;10h)",5,"")))))</f>
        <v/>
      </c>
      <c r="I44" s="18"/>
      <c r="J44" s="67" t="str">
        <f>IF($E44="Q12026",COUNTIF($E$3:$E44,"Q12026"),"")</f>
        <v/>
      </c>
      <c r="K44" s="67" t="str">
        <f>IF($E44="Q22026",COUNTIF($E$3:$E44,"Q22026"),"")</f>
        <v/>
      </c>
      <c r="L44" s="67" t="str">
        <f>IF($E44="Q32026",COUNTIF($E$3:$E44,"Q32026"),"")</f>
        <v/>
      </c>
      <c r="M44" s="67" t="str">
        <f>IF($E44="Q42026",COUNTIF($E$3:$E44,"Q42026"),"")</f>
        <v/>
      </c>
      <c r="N44" s="67" t="str">
        <f>IF($E44="Backlog",COUNTIF($E$3:$E44,"Backlog"),"")</f>
        <v/>
      </c>
    </row>
    <row r="45" spans="1:14" ht="19.5" customHeight="1">
      <c r="A45" s="65">
        <v>43</v>
      </c>
      <c r="B45" s="16"/>
      <c r="C45" s="17"/>
      <c r="D45" s="17"/>
      <c r="E45" s="17"/>
      <c r="F45" s="17"/>
      <c r="G45" s="17"/>
      <c r="H45" s="66" t="str">
        <f>IF(C45="XXL (&gt;160h)",168,IF(C45="XL (&gt;40h)",48,IF(C45="L (20-40h)",30,IF(C45="M (10-20h)",15,IF(C45="S (&lt;10h)",5,"")))))</f>
        <v/>
      </c>
      <c r="I45" s="16"/>
      <c r="J45" s="67" t="str">
        <f>IF($E45="Q12026",COUNTIF($E$3:$E45,"Q12026"),"")</f>
        <v/>
      </c>
      <c r="K45" s="67" t="str">
        <f>IF($E45="Q22026",COUNTIF($E$3:$E45,"Q22026"),"")</f>
        <v/>
      </c>
      <c r="L45" s="67" t="str">
        <f>IF($E45="Q32026",COUNTIF($E$3:$E45,"Q32026"),"")</f>
        <v/>
      </c>
      <c r="M45" s="67" t="str">
        <f>IF($E45="Q42026",COUNTIF($E$3:$E45,"Q42026"),"")</f>
        <v/>
      </c>
      <c r="N45" s="67" t="str">
        <f>IF($E45="Backlog",COUNTIF($E$3:$E45,"Backlog"),"")</f>
        <v/>
      </c>
    </row>
    <row r="46" spans="1:14" ht="19.5" customHeight="1">
      <c r="A46" s="68">
        <v>44</v>
      </c>
      <c r="B46" s="18"/>
      <c r="C46" s="19"/>
      <c r="D46" s="19"/>
      <c r="E46" s="19"/>
      <c r="F46" s="19"/>
      <c r="G46" s="19"/>
      <c r="H46" s="69" t="str">
        <f>IF(C46="XXL (&gt;160h)",168,IF(C46="XL (&gt;40h)",48,IF(C46="L (20-40h)",30,IF(C46="M (10-20h)",15,IF(C46="S (&lt;10h)",5,"")))))</f>
        <v/>
      </c>
      <c r="I46" s="18"/>
      <c r="J46" s="67" t="str">
        <f>IF($E46="Q12026",COUNTIF($E$3:$E46,"Q12026"),"")</f>
        <v/>
      </c>
      <c r="K46" s="67" t="str">
        <f>IF($E46="Q22026",COUNTIF($E$3:$E46,"Q22026"),"")</f>
        <v/>
      </c>
      <c r="L46" s="67" t="str">
        <f>IF($E46="Q32026",COUNTIF($E$3:$E46,"Q32026"),"")</f>
        <v/>
      </c>
      <c r="M46" s="67" t="str">
        <f>IF($E46="Q42026",COUNTIF($E$3:$E46,"Q42026"),"")</f>
        <v/>
      </c>
      <c r="N46" s="67" t="str">
        <f>IF($E46="Backlog",COUNTIF($E$3:$E46,"Backlog"),"")</f>
        <v/>
      </c>
    </row>
    <row r="47" spans="1:14" ht="19.5" customHeight="1">
      <c r="A47" s="65">
        <v>45</v>
      </c>
      <c r="B47" s="16"/>
      <c r="C47" s="17"/>
      <c r="D47" s="17"/>
      <c r="E47" s="17"/>
      <c r="F47" s="17"/>
      <c r="G47" s="17"/>
      <c r="H47" s="66" t="str">
        <f>IF(C47="XXL (&gt;160h)",168,IF(C47="XL (&gt;40h)",48,IF(C47="L (20-40h)",30,IF(C47="M (10-20h)",15,IF(C47="S (&lt;10h)",5,"")))))</f>
        <v/>
      </c>
      <c r="I47" s="16"/>
      <c r="J47" s="67" t="str">
        <f>IF($E47="Q12026",COUNTIF($E$3:$E47,"Q12026"),"")</f>
        <v/>
      </c>
      <c r="K47" s="67" t="str">
        <f>IF($E47="Q22026",COUNTIF($E$3:$E47,"Q22026"),"")</f>
        <v/>
      </c>
      <c r="L47" s="67" t="str">
        <f>IF($E47="Q32026",COUNTIF($E$3:$E47,"Q32026"),"")</f>
        <v/>
      </c>
      <c r="M47" s="67" t="str">
        <f>IF($E47="Q42026",COUNTIF($E$3:$E47,"Q42026"),"")</f>
        <v/>
      </c>
      <c r="N47" s="67" t="str">
        <f>IF($E47="Backlog",COUNTIF($E$3:$E47,"Backlog"),"")</f>
        <v/>
      </c>
    </row>
    <row r="48" spans="1:14" ht="19.5" customHeight="1">
      <c r="A48" s="68">
        <v>46</v>
      </c>
      <c r="B48" s="18"/>
      <c r="C48" s="19"/>
      <c r="D48" s="19"/>
      <c r="E48" s="19"/>
      <c r="F48" s="19"/>
      <c r="G48" s="19"/>
      <c r="H48" s="69" t="str">
        <f>IF(C48="XXL (&gt;160h)",168,IF(C48="XL (&gt;40h)",48,IF(C48="L (20-40h)",30,IF(C48="M (10-20h)",15,IF(C48="S (&lt;10h)",5,"")))))</f>
        <v/>
      </c>
      <c r="I48" s="18"/>
      <c r="J48" s="67" t="str">
        <f>IF($E48="Q12026",COUNTIF($E$3:$E48,"Q12026"),"")</f>
        <v/>
      </c>
      <c r="K48" s="67" t="str">
        <f>IF($E48="Q22026",COUNTIF($E$3:$E48,"Q22026"),"")</f>
        <v/>
      </c>
      <c r="L48" s="67" t="str">
        <f>IF($E48="Q32026",COUNTIF($E$3:$E48,"Q32026"),"")</f>
        <v/>
      </c>
      <c r="M48" s="67" t="str">
        <f>IF($E48="Q42026",COUNTIF($E$3:$E48,"Q42026"),"")</f>
        <v/>
      </c>
      <c r="N48" s="67" t="str">
        <f>IF($E48="Backlog",COUNTIF($E$3:$E48,"Backlog"),"")</f>
        <v/>
      </c>
    </row>
    <row r="49" spans="1:14" ht="19.5" customHeight="1">
      <c r="A49" s="65">
        <v>47</v>
      </c>
      <c r="B49" s="16"/>
      <c r="C49" s="17"/>
      <c r="D49" s="17"/>
      <c r="E49" s="17"/>
      <c r="F49" s="17"/>
      <c r="G49" s="17"/>
      <c r="H49" s="66" t="str">
        <f>IF(C49="XXL (&gt;160h)",168,IF(C49="XL (&gt;40h)",48,IF(C49="L (20-40h)",30,IF(C49="M (10-20h)",15,IF(C49="S (&lt;10h)",5,"")))))</f>
        <v/>
      </c>
      <c r="I49" s="16"/>
      <c r="J49" s="67" t="str">
        <f>IF($E49="Q12026",COUNTIF($E$3:$E49,"Q12026"),"")</f>
        <v/>
      </c>
      <c r="K49" s="67" t="str">
        <f>IF($E49="Q22026",COUNTIF($E$3:$E49,"Q22026"),"")</f>
        <v/>
      </c>
      <c r="L49" s="67" t="str">
        <f>IF($E49="Q32026",COUNTIF($E$3:$E49,"Q32026"),"")</f>
        <v/>
      </c>
      <c r="M49" s="67" t="str">
        <f>IF($E49="Q42026",COUNTIF($E$3:$E49,"Q42026"),"")</f>
        <v/>
      </c>
      <c r="N49" s="67" t="str">
        <f>IF($E49="Backlog",COUNTIF($E$3:$E49,"Backlog"),"")</f>
        <v/>
      </c>
    </row>
    <row r="50" spans="1:14" ht="19.5" customHeight="1">
      <c r="A50" s="68">
        <v>48</v>
      </c>
      <c r="B50" s="18"/>
      <c r="C50" s="19"/>
      <c r="D50" s="19"/>
      <c r="E50" s="19"/>
      <c r="F50" s="19"/>
      <c r="G50" s="19"/>
      <c r="H50" s="69" t="str">
        <f>IF(C50="XXL (&gt;160h)",168,IF(C50="XL (&gt;40h)",48,IF(C50="L (20-40h)",30,IF(C50="M (10-20h)",15,IF(C50="S (&lt;10h)",5,"")))))</f>
        <v/>
      </c>
      <c r="I50" s="18"/>
      <c r="J50" s="67" t="str">
        <f>IF($E50="Q12026",COUNTIF($E$3:$E50,"Q12026"),"")</f>
        <v/>
      </c>
      <c r="K50" s="67" t="str">
        <f>IF($E50="Q22026",COUNTIF($E$3:$E50,"Q22026"),"")</f>
        <v/>
      </c>
      <c r="L50" s="67" t="str">
        <f>IF($E50="Q32026",COUNTIF($E$3:$E50,"Q32026"),"")</f>
        <v/>
      </c>
      <c r="M50" s="67" t="str">
        <f>IF($E50="Q42026",COUNTIF($E$3:$E50,"Q42026"),"")</f>
        <v/>
      </c>
      <c r="N50" s="67" t="str">
        <f>IF($E50="Backlog",COUNTIF($E$3:$E50,"Backlog"),"")</f>
        <v/>
      </c>
    </row>
    <row r="51" spans="1:14" ht="19.5" customHeight="1">
      <c r="A51" s="65">
        <v>49</v>
      </c>
      <c r="B51" s="16"/>
      <c r="C51" s="17"/>
      <c r="D51" s="17"/>
      <c r="E51" s="17"/>
      <c r="F51" s="17"/>
      <c r="G51" s="17"/>
      <c r="H51" s="66" t="str">
        <f>IF(C51="XXL (&gt;160h)",168,IF(C51="XL (&gt;40h)",48,IF(C51="L (20-40h)",30,IF(C51="M (10-20h)",15,IF(C51="S (&lt;10h)",5,"")))))</f>
        <v/>
      </c>
      <c r="I51" s="16"/>
      <c r="J51" s="67" t="str">
        <f>IF($E51="Q12026",COUNTIF($E$3:$E51,"Q12026"),"")</f>
        <v/>
      </c>
      <c r="K51" s="67" t="str">
        <f>IF($E51="Q22026",COUNTIF($E$3:$E51,"Q22026"),"")</f>
        <v/>
      </c>
      <c r="L51" s="67" t="str">
        <f>IF($E51="Q32026",COUNTIF($E$3:$E51,"Q32026"),"")</f>
        <v/>
      </c>
      <c r="M51" s="67" t="str">
        <f>IF($E51="Q42026",COUNTIF($E$3:$E51,"Q42026"),"")</f>
        <v/>
      </c>
      <c r="N51" s="67" t="str">
        <f>IF($E51="Backlog",COUNTIF($E$3:$E51,"Backlog"),"")</f>
        <v/>
      </c>
    </row>
    <row r="52" spans="1:14" ht="19.5" customHeight="1">
      <c r="A52" s="68">
        <v>50</v>
      </c>
      <c r="B52" s="18"/>
      <c r="C52" s="19"/>
      <c r="D52" s="19"/>
      <c r="E52" s="19"/>
      <c r="F52" s="19"/>
      <c r="G52" s="19"/>
      <c r="H52" s="69" t="str">
        <f>IF(C52="XXL (&gt;160h)",168,IF(C52="XL (&gt;40h)",48,IF(C52="L (20-40h)",30,IF(C52="M (10-20h)",15,IF(C52="S (&lt;10h)",5,"")))))</f>
        <v/>
      </c>
      <c r="I52" s="18"/>
      <c r="J52" s="67" t="str">
        <f>IF($E52="Q12026",COUNTIF($E$3:$E52,"Q12026"),"")</f>
        <v/>
      </c>
      <c r="K52" s="67" t="str">
        <f>IF($E52="Q22026",COUNTIF($E$3:$E52,"Q22026"),"")</f>
        <v/>
      </c>
      <c r="L52" s="67" t="str">
        <f>IF($E52="Q32026",COUNTIF($E$3:$E52,"Q32026"),"")</f>
        <v/>
      </c>
      <c r="M52" s="67" t="str">
        <f>IF($E52="Q42026",COUNTIF($E$3:$E52,"Q42026"),"")</f>
        <v/>
      </c>
      <c r="N52" s="67" t="str">
        <f>IF($E52="Backlog",COUNTIF($E$3:$E52,"Backlog"),"")</f>
        <v/>
      </c>
    </row>
    <row r="53" spans="1:14" ht="19.5" customHeight="1">
      <c r="A53" s="65">
        <v>51</v>
      </c>
      <c r="B53" s="16"/>
      <c r="C53" s="17"/>
      <c r="D53" s="17"/>
      <c r="E53" s="17"/>
      <c r="F53" s="17"/>
      <c r="G53" s="17"/>
      <c r="H53" s="66" t="str">
        <f>IF(C53="XXL (&gt;160h)",168,IF(C53="XL (&gt;40h)",48,IF(C53="L (20-40h)",30,IF(C53="M (10-20h)",15,IF(C53="S (&lt;10h)",5,"")))))</f>
        <v/>
      </c>
      <c r="I53" s="16"/>
      <c r="J53" s="67" t="str">
        <f>IF($E53="Q12026",COUNTIF($E$3:$E53,"Q12026"),"")</f>
        <v/>
      </c>
      <c r="K53" s="67" t="str">
        <f>IF($E53="Q22026",COUNTIF($E$3:$E53,"Q22026"),"")</f>
        <v/>
      </c>
      <c r="L53" s="67" t="str">
        <f>IF($E53="Q32026",COUNTIF($E$3:$E53,"Q32026"),"")</f>
        <v/>
      </c>
      <c r="M53" s="67" t="str">
        <f>IF($E53="Q42026",COUNTIF($E$3:$E53,"Q42026"),"")</f>
        <v/>
      </c>
      <c r="N53" s="67" t="str">
        <f>IF($E53="Backlog",COUNTIF($E$3:$E53,"Backlog"),"")</f>
        <v/>
      </c>
    </row>
    <row r="54" spans="1:14" ht="19.5" customHeight="1">
      <c r="A54" s="68">
        <v>52</v>
      </c>
      <c r="B54" s="18"/>
      <c r="C54" s="19"/>
      <c r="D54" s="19"/>
      <c r="E54" s="19"/>
      <c r="F54" s="19"/>
      <c r="G54" s="19"/>
      <c r="H54" s="69" t="str">
        <f>IF(C54="XXL (&gt;160h)",168,IF(C54="XL (&gt;40h)",48,IF(C54="L (20-40h)",30,IF(C54="M (10-20h)",15,IF(C54="S (&lt;10h)",5,"")))))</f>
        <v/>
      </c>
      <c r="I54" s="18"/>
      <c r="J54" s="67" t="str">
        <f>IF($E54="Q12026",COUNTIF($E$3:$E54,"Q12026"),"")</f>
        <v/>
      </c>
      <c r="K54" s="67" t="str">
        <f>IF($E54="Q22026",COUNTIF($E$3:$E54,"Q22026"),"")</f>
        <v/>
      </c>
      <c r="L54" s="67" t="str">
        <f>IF($E54="Q32026",COUNTIF($E$3:$E54,"Q32026"),"")</f>
        <v/>
      </c>
      <c r="M54" s="67" t="str">
        <f>IF($E54="Q42026",COUNTIF($E$3:$E54,"Q42026"),"")</f>
        <v/>
      </c>
      <c r="N54" s="67" t="str">
        <f>IF($E54="Backlog",COUNTIF($E$3:$E54,"Backlog"),"")</f>
        <v/>
      </c>
    </row>
    <row r="55" spans="1:14" ht="19.5" customHeight="1">
      <c r="A55" s="65">
        <v>53</v>
      </c>
      <c r="B55" s="16"/>
      <c r="C55" s="17"/>
      <c r="D55" s="17"/>
      <c r="E55" s="17"/>
      <c r="F55" s="17"/>
      <c r="G55" s="17"/>
      <c r="H55" s="66" t="str">
        <f>IF(C55="XXL (&gt;160h)",168,IF(C55="XL (&gt;40h)",48,IF(C55="L (20-40h)",30,IF(C55="M (10-20h)",15,IF(C55="S (&lt;10h)",5,"")))))</f>
        <v/>
      </c>
      <c r="I55" s="16"/>
      <c r="J55" s="67" t="str">
        <f>IF($E55="Q12026",COUNTIF($E$3:$E55,"Q12026"),"")</f>
        <v/>
      </c>
      <c r="K55" s="67" t="str">
        <f>IF($E55="Q22026",COUNTIF($E$3:$E55,"Q22026"),"")</f>
        <v/>
      </c>
      <c r="L55" s="67" t="str">
        <f>IF($E55="Q32026",COUNTIF($E$3:$E55,"Q32026"),"")</f>
        <v/>
      </c>
      <c r="M55" s="67" t="str">
        <f>IF($E55="Q42026",COUNTIF($E$3:$E55,"Q42026"),"")</f>
        <v/>
      </c>
      <c r="N55" s="67" t="str">
        <f>IF($E55="Backlog",COUNTIF($E$3:$E55,"Backlog"),"")</f>
        <v/>
      </c>
    </row>
    <row r="56" spans="1:14" ht="19.5" customHeight="1">
      <c r="A56" s="68">
        <v>54</v>
      </c>
      <c r="B56" s="18"/>
      <c r="C56" s="19"/>
      <c r="D56" s="19"/>
      <c r="E56" s="19"/>
      <c r="F56" s="19"/>
      <c r="G56" s="19"/>
      <c r="H56" s="69" t="str">
        <f>IF(C56="XXL (&gt;160h)",168,IF(C56="XL (&gt;40h)",48,IF(C56="L (20-40h)",30,IF(C56="M (10-20h)",15,IF(C56="S (&lt;10h)",5,"")))))</f>
        <v/>
      </c>
      <c r="I56" s="18"/>
      <c r="J56" s="67" t="str">
        <f>IF($E56="Q12026",COUNTIF($E$3:$E56,"Q12026"),"")</f>
        <v/>
      </c>
      <c r="K56" s="67" t="str">
        <f>IF($E56="Q22026",COUNTIF($E$3:$E56,"Q22026"),"")</f>
        <v/>
      </c>
      <c r="L56" s="67" t="str">
        <f>IF($E56="Q32026",COUNTIF($E$3:$E56,"Q32026"),"")</f>
        <v/>
      </c>
      <c r="M56" s="67" t="str">
        <f>IF($E56="Q42026",COUNTIF($E$3:$E56,"Q42026"),"")</f>
        <v/>
      </c>
      <c r="N56" s="67" t="str">
        <f>IF($E56="Backlog",COUNTIF($E$3:$E56,"Backlog"),"")</f>
        <v/>
      </c>
    </row>
    <row r="57" spans="1:14" ht="19.5" customHeight="1">
      <c r="A57" s="65">
        <v>55</v>
      </c>
      <c r="B57" s="16"/>
      <c r="C57" s="17"/>
      <c r="D57" s="17"/>
      <c r="E57" s="17"/>
      <c r="F57" s="17"/>
      <c r="G57" s="17"/>
      <c r="H57" s="66" t="str">
        <f>IF(C57="XXL (&gt;160h)",168,IF(C57="XL (&gt;40h)",48,IF(C57="L (20-40h)",30,IF(C57="M (10-20h)",15,IF(C57="S (&lt;10h)",5,"")))))</f>
        <v/>
      </c>
      <c r="I57" s="16"/>
      <c r="J57" s="67" t="str">
        <f>IF($E57="Q12026",COUNTIF($E$3:$E57,"Q12026"),"")</f>
        <v/>
      </c>
      <c r="K57" s="67" t="str">
        <f>IF($E57="Q22026",COUNTIF($E$3:$E57,"Q22026"),"")</f>
        <v/>
      </c>
      <c r="L57" s="67" t="str">
        <f>IF($E57="Q32026",COUNTIF($E$3:$E57,"Q32026"),"")</f>
        <v/>
      </c>
      <c r="M57" s="67" t="str">
        <f>IF($E57="Q42026",COUNTIF($E$3:$E57,"Q42026"),"")</f>
        <v/>
      </c>
      <c r="N57" s="67" t="str">
        <f>IF($E57="Backlog",COUNTIF($E$3:$E57,"Backlog"),"")</f>
        <v/>
      </c>
    </row>
    <row r="58" spans="1:14" ht="19.5" customHeight="1">
      <c r="A58" s="68">
        <v>56</v>
      </c>
      <c r="B58" s="18"/>
      <c r="C58" s="19"/>
      <c r="D58" s="19"/>
      <c r="E58" s="19"/>
      <c r="F58" s="19"/>
      <c r="G58" s="19"/>
      <c r="H58" s="69" t="str">
        <f>IF(C58="XXL (&gt;160h)",168,IF(C58="XL (&gt;40h)",48,IF(C58="L (20-40h)",30,IF(C58="M (10-20h)",15,IF(C58="S (&lt;10h)",5,"")))))</f>
        <v/>
      </c>
      <c r="I58" s="18"/>
      <c r="J58" s="67" t="str">
        <f>IF($E58="Q12026",COUNTIF($E$3:$E58,"Q12026"),"")</f>
        <v/>
      </c>
      <c r="K58" s="67" t="str">
        <f>IF($E58="Q22026",COUNTIF($E$3:$E58,"Q22026"),"")</f>
        <v/>
      </c>
      <c r="L58" s="67" t="str">
        <f>IF($E58="Q32026",COUNTIF($E$3:$E58,"Q32026"),"")</f>
        <v/>
      </c>
      <c r="M58" s="67" t="str">
        <f>IF($E58="Q42026",COUNTIF($E$3:$E58,"Q42026"),"")</f>
        <v/>
      </c>
      <c r="N58" s="67" t="str">
        <f>IF($E58="Backlog",COUNTIF($E$3:$E58,"Backlog"),"")</f>
        <v/>
      </c>
    </row>
    <row r="59" spans="1:14" ht="19.5" customHeight="1">
      <c r="A59" s="65">
        <v>57</v>
      </c>
      <c r="B59" s="16"/>
      <c r="C59" s="17"/>
      <c r="D59" s="17"/>
      <c r="E59" s="17"/>
      <c r="F59" s="17"/>
      <c r="G59" s="17"/>
      <c r="H59" s="66" t="str">
        <f>IF(C59="XXL (&gt;160h)",168,IF(C59="XL (&gt;40h)",48,IF(C59="L (20-40h)",30,IF(C59="M (10-20h)",15,IF(C59="S (&lt;10h)",5,"")))))</f>
        <v/>
      </c>
      <c r="I59" s="16"/>
      <c r="J59" s="67" t="str">
        <f>IF($E59="Q12026",COUNTIF($E$3:$E59,"Q12026"),"")</f>
        <v/>
      </c>
      <c r="K59" s="67" t="str">
        <f>IF($E59="Q22026",COUNTIF($E$3:$E59,"Q22026"),"")</f>
        <v/>
      </c>
      <c r="L59" s="67" t="str">
        <f>IF($E59="Q32026",COUNTIF($E$3:$E59,"Q32026"),"")</f>
        <v/>
      </c>
      <c r="M59" s="67" t="str">
        <f>IF($E59="Q42026",COUNTIF($E$3:$E59,"Q42026"),"")</f>
        <v/>
      </c>
      <c r="N59" s="67" t="str">
        <f>IF($E59="Backlog",COUNTIF($E$3:$E59,"Backlog"),"")</f>
        <v/>
      </c>
    </row>
    <row r="60" spans="1:14" ht="19.5" customHeight="1">
      <c r="A60" s="68">
        <v>58</v>
      </c>
      <c r="B60" s="18"/>
      <c r="C60" s="19"/>
      <c r="D60" s="19"/>
      <c r="E60" s="19"/>
      <c r="F60" s="19"/>
      <c r="G60" s="19"/>
      <c r="H60" s="69" t="str">
        <f>IF(C60="XXL (&gt;160h)",168,IF(C60="XL (&gt;40h)",48,IF(C60="L (20-40h)",30,IF(C60="M (10-20h)",15,IF(C60="S (&lt;10h)",5,"")))))</f>
        <v/>
      </c>
      <c r="I60" s="18"/>
      <c r="J60" s="67" t="str">
        <f>IF($E60="Q12026",COUNTIF($E$3:$E60,"Q12026"),"")</f>
        <v/>
      </c>
      <c r="K60" s="67" t="str">
        <f>IF($E60="Q22026",COUNTIF($E$3:$E60,"Q22026"),"")</f>
        <v/>
      </c>
      <c r="L60" s="67" t="str">
        <f>IF($E60="Q32026",COUNTIF($E$3:$E60,"Q32026"),"")</f>
        <v/>
      </c>
      <c r="M60" s="67" t="str">
        <f>IF($E60="Q42026",COUNTIF($E$3:$E60,"Q42026"),"")</f>
        <v/>
      </c>
      <c r="N60" s="67" t="str">
        <f>IF($E60="Backlog",COUNTIF($E$3:$E60,"Backlog"),"")</f>
        <v/>
      </c>
    </row>
    <row r="61" spans="1:14" ht="19.5" customHeight="1">
      <c r="A61" s="65">
        <v>59</v>
      </c>
      <c r="B61" s="16"/>
      <c r="C61" s="17"/>
      <c r="D61" s="17"/>
      <c r="E61" s="17"/>
      <c r="F61" s="17"/>
      <c r="G61" s="17"/>
      <c r="H61" s="66" t="str">
        <f>IF(C61="XXL (&gt;160h)",168,IF(C61="XL (&gt;40h)",48,IF(C61="L (20-40h)",30,IF(C61="M (10-20h)",15,IF(C61="S (&lt;10h)",5,"")))))</f>
        <v/>
      </c>
      <c r="I61" s="16"/>
      <c r="J61" s="67" t="str">
        <f>IF($E61="Q12026",COUNTIF($E$3:$E61,"Q12026"),"")</f>
        <v/>
      </c>
      <c r="K61" s="67" t="str">
        <f>IF($E61="Q22026",COUNTIF($E$3:$E61,"Q22026"),"")</f>
        <v/>
      </c>
      <c r="L61" s="67" t="str">
        <f>IF($E61="Q32026",COUNTIF($E$3:$E61,"Q32026"),"")</f>
        <v/>
      </c>
      <c r="M61" s="67" t="str">
        <f>IF($E61="Q42026",COUNTIF($E$3:$E61,"Q42026"),"")</f>
        <v/>
      </c>
      <c r="N61" s="67" t="str">
        <f>IF($E61="Backlog",COUNTIF($E$3:$E61,"Backlog"),"")</f>
        <v/>
      </c>
    </row>
    <row r="62" spans="1:14" ht="19.5" customHeight="1">
      <c r="A62" s="68">
        <v>60</v>
      </c>
      <c r="B62" s="18"/>
      <c r="C62" s="19"/>
      <c r="D62" s="19"/>
      <c r="E62" s="19"/>
      <c r="F62" s="19"/>
      <c r="G62" s="19"/>
      <c r="H62" s="69" t="str">
        <f>IF(C62="XXL (&gt;160h)",168,IF(C62="XL (&gt;40h)",48,IF(C62="L (20-40h)",30,IF(C62="M (10-20h)",15,IF(C62="S (&lt;10h)",5,"")))))</f>
        <v/>
      </c>
      <c r="I62" s="18"/>
      <c r="J62" s="67" t="str">
        <f>IF($E62="Q12026",COUNTIF($E$3:$E62,"Q12026"),"")</f>
        <v/>
      </c>
      <c r="K62" s="67" t="str">
        <f>IF($E62="Q22026",COUNTIF($E$3:$E62,"Q22026"),"")</f>
        <v/>
      </c>
      <c r="L62" s="67" t="str">
        <f>IF($E62="Q32026",COUNTIF($E$3:$E62,"Q32026"),"")</f>
        <v/>
      </c>
      <c r="M62" s="67" t="str">
        <f>IF($E62="Q42026",COUNTIF($E$3:$E62,"Q42026"),"")</f>
        <v/>
      </c>
      <c r="N62" s="67" t="str">
        <f>IF($E62="Backlog",COUNTIF($E$3:$E62,"Backlog"),"")</f>
        <v/>
      </c>
    </row>
    <row r="63" spans="1:14" ht="19.5" customHeight="1">
      <c r="A63" s="65">
        <v>61</v>
      </c>
      <c r="B63" s="16"/>
      <c r="C63" s="17"/>
      <c r="D63" s="17"/>
      <c r="E63" s="17"/>
      <c r="F63" s="17"/>
      <c r="G63" s="17"/>
      <c r="H63" s="66" t="str">
        <f>IF(C63="XXL (&gt;160h)",168,IF(C63="XL (&gt;40h)",48,IF(C63="L (20-40h)",30,IF(C63="M (10-20h)",15,IF(C63="S (&lt;10h)",5,"")))))</f>
        <v/>
      </c>
      <c r="I63" s="16"/>
      <c r="J63" s="67" t="str">
        <f>IF($E63="Q12026",COUNTIF($E$3:$E63,"Q12026"),"")</f>
        <v/>
      </c>
      <c r="K63" s="67" t="str">
        <f>IF($E63="Q22026",COUNTIF($E$3:$E63,"Q22026"),"")</f>
        <v/>
      </c>
      <c r="L63" s="67" t="str">
        <f>IF($E63="Q32026",COUNTIF($E$3:$E63,"Q32026"),"")</f>
        <v/>
      </c>
      <c r="M63" s="67" t="str">
        <f>IF($E63="Q42026",COUNTIF($E$3:$E63,"Q42026"),"")</f>
        <v/>
      </c>
      <c r="N63" s="67" t="str">
        <f>IF($E63="Backlog",COUNTIF($E$3:$E63,"Backlog"),"")</f>
        <v/>
      </c>
    </row>
    <row r="64" spans="1:14" ht="19.5" customHeight="1">
      <c r="A64" s="68">
        <v>62</v>
      </c>
      <c r="B64" s="18"/>
      <c r="C64" s="19"/>
      <c r="D64" s="19"/>
      <c r="E64" s="19"/>
      <c r="F64" s="19"/>
      <c r="G64" s="19"/>
      <c r="H64" s="69" t="str">
        <f>IF(C64="XXL (&gt;160h)",168,IF(C64="XL (&gt;40h)",48,IF(C64="L (20-40h)",30,IF(C64="M (10-20h)",15,IF(C64="S (&lt;10h)",5,"")))))</f>
        <v/>
      </c>
      <c r="I64" s="18"/>
      <c r="J64" s="67" t="str">
        <f>IF($E64="Q12026",COUNTIF($E$3:$E64,"Q12026"),"")</f>
        <v/>
      </c>
      <c r="K64" s="67" t="str">
        <f>IF($E64="Q22026",COUNTIF($E$3:$E64,"Q22026"),"")</f>
        <v/>
      </c>
      <c r="L64" s="67" t="str">
        <f>IF($E64="Q32026",COUNTIF($E$3:$E64,"Q32026"),"")</f>
        <v/>
      </c>
      <c r="M64" s="67" t="str">
        <f>IF($E64="Q42026",COUNTIF($E$3:$E64,"Q42026"),"")</f>
        <v/>
      </c>
      <c r="N64" s="67" t="str">
        <f>IF($E64="Backlog",COUNTIF($E$3:$E64,"Backlog"),"")</f>
        <v/>
      </c>
    </row>
    <row r="65" spans="1:14" ht="19.5" customHeight="1">
      <c r="A65" s="65">
        <v>63</v>
      </c>
      <c r="B65" s="16"/>
      <c r="C65" s="17"/>
      <c r="D65" s="17"/>
      <c r="E65" s="17"/>
      <c r="F65" s="17"/>
      <c r="G65" s="17"/>
      <c r="H65" s="66" t="str">
        <f>IF(C65="XXL (&gt;160h)",168,IF(C65="XL (&gt;40h)",48,IF(C65="L (20-40h)",30,IF(C65="M (10-20h)",15,IF(C65="S (&lt;10h)",5,"")))))</f>
        <v/>
      </c>
      <c r="I65" s="16"/>
      <c r="J65" s="67" t="str">
        <f>IF($E65="Q12026",COUNTIF($E$3:$E65,"Q12026"),"")</f>
        <v/>
      </c>
      <c r="K65" s="67" t="str">
        <f>IF($E65="Q22026",COUNTIF($E$3:$E65,"Q22026"),"")</f>
        <v/>
      </c>
      <c r="L65" s="67" t="str">
        <f>IF($E65="Q32026",COUNTIF($E$3:$E65,"Q32026"),"")</f>
        <v/>
      </c>
      <c r="M65" s="67" t="str">
        <f>IF($E65="Q42026",COUNTIF($E$3:$E65,"Q42026"),"")</f>
        <v/>
      </c>
      <c r="N65" s="67" t="str">
        <f>IF($E65="Backlog",COUNTIF($E$3:$E65,"Backlog"),"")</f>
        <v/>
      </c>
    </row>
    <row r="66" spans="1:14" ht="19.5" customHeight="1">
      <c r="A66" s="68">
        <v>64</v>
      </c>
      <c r="B66" s="18"/>
      <c r="C66" s="19"/>
      <c r="D66" s="19"/>
      <c r="E66" s="19"/>
      <c r="F66" s="19"/>
      <c r="G66" s="19"/>
      <c r="H66" s="69" t="str">
        <f>IF(C66="XXL (&gt;160h)",168,IF(C66="XL (&gt;40h)",48,IF(C66="L (20-40h)",30,IF(C66="M (10-20h)",15,IF(C66="S (&lt;10h)",5,"")))))</f>
        <v/>
      </c>
      <c r="I66" s="18"/>
      <c r="J66" s="67" t="str">
        <f>IF($E66="Q12026",COUNTIF($E$3:$E66,"Q12026"),"")</f>
        <v/>
      </c>
      <c r="K66" s="67" t="str">
        <f>IF($E66="Q22026",COUNTIF($E$3:$E66,"Q22026"),"")</f>
        <v/>
      </c>
      <c r="L66" s="67" t="str">
        <f>IF($E66="Q32026",COUNTIF($E$3:$E66,"Q32026"),"")</f>
        <v/>
      </c>
      <c r="M66" s="67" t="str">
        <f>IF($E66="Q42026",COUNTIF($E$3:$E66,"Q42026"),"")</f>
        <v/>
      </c>
      <c r="N66" s="67" t="str">
        <f>IF($E66="Backlog",COUNTIF($E$3:$E66,"Backlog"),"")</f>
        <v/>
      </c>
    </row>
    <row r="67" spans="1:14" ht="19.5" customHeight="1">
      <c r="A67" s="65">
        <v>65</v>
      </c>
      <c r="B67" s="16"/>
      <c r="C67" s="17"/>
      <c r="D67" s="17"/>
      <c r="E67" s="17"/>
      <c r="F67" s="17"/>
      <c r="G67" s="17"/>
      <c r="H67" s="66" t="str">
        <f>IF(C67="XXL (&gt;160h)",168,IF(C67="XL (&gt;40h)",48,IF(C67="L (20-40h)",30,IF(C67="M (10-20h)",15,IF(C67="S (&lt;10h)",5,"")))))</f>
        <v/>
      </c>
      <c r="I67" s="16"/>
      <c r="J67" s="67" t="str">
        <f>IF($E67="Q12026",COUNTIF($E$3:$E67,"Q12026"),"")</f>
        <v/>
      </c>
      <c r="K67" s="67" t="str">
        <f>IF($E67="Q22026",COUNTIF($E$3:$E67,"Q22026"),"")</f>
        <v/>
      </c>
      <c r="L67" s="67" t="str">
        <f>IF($E67="Q32026",COUNTIF($E$3:$E67,"Q32026"),"")</f>
        <v/>
      </c>
      <c r="M67" s="67" t="str">
        <f>IF($E67="Q42026",COUNTIF($E$3:$E67,"Q42026"),"")</f>
        <v/>
      </c>
      <c r="N67" s="67" t="str">
        <f>IF($E67="Backlog",COUNTIF($E$3:$E67,"Backlog"),"")</f>
        <v/>
      </c>
    </row>
    <row r="68" spans="1:14" ht="19.5" customHeight="1">
      <c r="A68" s="68">
        <v>66</v>
      </c>
      <c r="B68" s="18"/>
      <c r="C68" s="19"/>
      <c r="D68" s="19"/>
      <c r="E68" s="19"/>
      <c r="F68" s="19"/>
      <c r="G68" s="19"/>
      <c r="H68" s="69" t="str">
        <f>IF(C68="XXL (&gt;160h)",168,IF(C68="XL (&gt;40h)",48,IF(C68="L (20-40h)",30,IF(C68="M (10-20h)",15,IF(C68="S (&lt;10h)",5,"")))))</f>
        <v/>
      </c>
      <c r="I68" s="18"/>
      <c r="J68" s="67" t="str">
        <f>IF($E68="Q12026",COUNTIF($E$3:$E68,"Q12026"),"")</f>
        <v/>
      </c>
      <c r="K68" s="67" t="str">
        <f>IF($E68="Q22026",COUNTIF($E$3:$E68,"Q22026"),"")</f>
        <v/>
      </c>
      <c r="L68" s="67" t="str">
        <f>IF($E68="Q32026",COUNTIF($E$3:$E68,"Q32026"),"")</f>
        <v/>
      </c>
      <c r="M68" s="67" t="str">
        <f>IF($E68="Q42026",COUNTIF($E$3:$E68,"Q42026"),"")</f>
        <v/>
      </c>
      <c r="N68" s="67" t="str">
        <f>IF($E68="Backlog",COUNTIF($E$3:$E68,"Backlog"),"")</f>
        <v/>
      </c>
    </row>
    <row r="69" spans="1:14" ht="19.5" customHeight="1">
      <c r="A69" s="65">
        <v>67</v>
      </c>
      <c r="B69" s="16"/>
      <c r="C69" s="17"/>
      <c r="D69" s="17"/>
      <c r="E69" s="17"/>
      <c r="F69" s="17"/>
      <c r="G69" s="17"/>
      <c r="H69" s="66" t="str">
        <f>IF(C69="XXL (&gt;160h)",168,IF(C69="XL (&gt;40h)",48,IF(C69="L (20-40h)",30,IF(C69="M (10-20h)",15,IF(C69="S (&lt;10h)",5,"")))))</f>
        <v/>
      </c>
      <c r="I69" s="16"/>
      <c r="J69" s="67" t="str">
        <f>IF($E69="Q12026",COUNTIF($E$3:$E69,"Q12026"),"")</f>
        <v/>
      </c>
      <c r="K69" s="67" t="str">
        <f>IF($E69="Q22026",COUNTIF($E$3:$E69,"Q22026"),"")</f>
        <v/>
      </c>
      <c r="L69" s="67" t="str">
        <f>IF($E69="Q32026",COUNTIF($E$3:$E69,"Q32026"),"")</f>
        <v/>
      </c>
      <c r="M69" s="67" t="str">
        <f>IF($E69="Q42026",COUNTIF($E$3:$E69,"Q42026"),"")</f>
        <v/>
      </c>
      <c r="N69" s="67" t="str">
        <f>IF($E69="Backlog",COUNTIF($E$3:$E69,"Backlog"),"")</f>
        <v/>
      </c>
    </row>
    <row r="70" spans="1:14" ht="19.5" customHeight="1">
      <c r="A70" s="68">
        <v>68</v>
      </c>
      <c r="B70" s="18"/>
      <c r="C70" s="19"/>
      <c r="D70" s="19"/>
      <c r="E70" s="19"/>
      <c r="F70" s="19"/>
      <c r="G70" s="19"/>
      <c r="H70" s="69" t="str">
        <f>IF(C70="XXL (&gt;160h)",168,IF(C70="XL (&gt;40h)",48,IF(C70="L (20-40h)",30,IF(C70="M (10-20h)",15,IF(C70="S (&lt;10h)",5,"")))))</f>
        <v/>
      </c>
      <c r="I70" s="18"/>
      <c r="J70" s="67" t="str">
        <f>IF($E70="Q12026",COUNTIF($E$3:$E70,"Q12026"),"")</f>
        <v/>
      </c>
      <c r="K70" s="67" t="str">
        <f>IF($E70="Q22026",COUNTIF($E$3:$E70,"Q22026"),"")</f>
        <v/>
      </c>
      <c r="L70" s="67" t="str">
        <f>IF($E70="Q32026",COUNTIF($E$3:$E70,"Q32026"),"")</f>
        <v/>
      </c>
      <c r="M70" s="67" t="str">
        <f>IF($E70="Q42026",COUNTIF($E$3:$E70,"Q42026"),"")</f>
        <v/>
      </c>
      <c r="N70" s="67" t="str">
        <f>IF($E70="Backlog",COUNTIF($E$3:$E70,"Backlog"),"")</f>
        <v/>
      </c>
    </row>
    <row r="71" spans="1:14" ht="19.5" customHeight="1">
      <c r="A71" s="65">
        <v>69</v>
      </c>
      <c r="B71" s="16"/>
      <c r="C71" s="17"/>
      <c r="D71" s="17"/>
      <c r="E71" s="17"/>
      <c r="F71" s="17"/>
      <c r="G71" s="17"/>
      <c r="H71" s="66" t="str">
        <f>IF(C71="XXL (&gt;160h)",168,IF(C71="XL (&gt;40h)",48,IF(C71="L (20-40h)",30,IF(C71="M (10-20h)",15,IF(C71="S (&lt;10h)",5,"")))))</f>
        <v/>
      </c>
      <c r="I71" s="16"/>
      <c r="J71" s="67" t="str">
        <f>IF($E71="Q12026",COUNTIF($E$3:$E71,"Q12026"),"")</f>
        <v/>
      </c>
      <c r="K71" s="67" t="str">
        <f>IF($E71="Q22026",COUNTIF($E$3:$E71,"Q22026"),"")</f>
        <v/>
      </c>
      <c r="L71" s="67" t="str">
        <f>IF($E71="Q32026",COUNTIF($E$3:$E71,"Q32026"),"")</f>
        <v/>
      </c>
      <c r="M71" s="67" t="str">
        <f>IF($E71="Q42026",COUNTIF($E$3:$E71,"Q42026"),"")</f>
        <v/>
      </c>
      <c r="N71" s="67" t="str">
        <f>IF($E71="Backlog",COUNTIF($E$3:$E71,"Backlog"),"")</f>
        <v/>
      </c>
    </row>
    <row r="72" spans="1:14" ht="19.5" customHeight="1">
      <c r="A72" s="68">
        <v>70</v>
      </c>
      <c r="B72" s="18"/>
      <c r="C72" s="19"/>
      <c r="D72" s="19"/>
      <c r="E72" s="19"/>
      <c r="F72" s="19"/>
      <c r="G72" s="19"/>
      <c r="H72" s="69" t="str">
        <f>IF(C72="XXL (&gt;160h)",168,IF(C72="XL (&gt;40h)",48,IF(C72="L (20-40h)",30,IF(C72="M (10-20h)",15,IF(C72="S (&lt;10h)",5,"")))))</f>
        <v/>
      </c>
      <c r="I72" s="18"/>
      <c r="J72" s="67" t="str">
        <f>IF($E72="Q12026",COUNTIF($E$3:$E72,"Q12026"),"")</f>
        <v/>
      </c>
      <c r="K72" s="67" t="str">
        <f>IF($E72="Q22026",COUNTIF($E$3:$E72,"Q22026"),"")</f>
        <v/>
      </c>
      <c r="L72" s="67" t="str">
        <f>IF($E72="Q32026",COUNTIF($E$3:$E72,"Q32026"),"")</f>
        <v/>
      </c>
      <c r="M72" s="67" t="str">
        <f>IF($E72="Q42026",COUNTIF($E$3:$E72,"Q42026"),"")</f>
        <v/>
      </c>
      <c r="N72" s="67" t="str">
        <f>IF($E72="Backlog",COUNTIF($E$3:$E72,"Backlog"),"")</f>
        <v/>
      </c>
    </row>
    <row r="73" spans="1:14" ht="19.5" customHeight="1">
      <c r="A73" s="65">
        <v>71</v>
      </c>
      <c r="B73" s="16"/>
      <c r="C73" s="17"/>
      <c r="D73" s="17"/>
      <c r="E73" s="17"/>
      <c r="F73" s="17"/>
      <c r="G73" s="17"/>
      <c r="H73" s="66" t="str">
        <f>IF(C73="XXL (&gt;160h)",168,IF(C73="XL (&gt;40h)",48,IF(C73="L (20-40h)",30,IF(C73="M (10-20h)",15,IF(C73="S (&lt;10h)",5,"")))))</f>
        <v/>
      </c>
      <c r="I73" s="16"/>
      <c r="J73" s="67" t="str">
        <f>IF($E73="Q12026",COUNTIF($E$3:$E73,"Q12026"),"")</f>
        <v/>
      </c>
      <c r="K73" s="67" t="str">
        <f>IF($E73="Q22026",COUNTIF($E$3:$E73,"Q22026"),"")</f>
        <v/>
      </c>
      <c r="L73" s="67" t="str">
        <f>IF($E73="Q32026",COUNTIF($E$3:$E73,"Q32026"),"")</f>
        <v/>
      </c>
      <c r="M73" s="67" t="str">
        <f>IF($E73="Q42026",COUNTIF($E$3:$E73,"Q42026"),"")</f>
        <v/>
      </c>
      <c r="N73" s="67" t="str">
        <f>IF($E73="Backlog",COUNTIF($E$3:$E73,"Backlog"),"")</f>
        <v/>
      </c>
    </row>
    <row r="74" spans="1:14" ht="19.5" customHeight="1">
      <c r="A74" s="68">
        <v>72</v>
      </c>
      <c r="B74" s="18"/>
      <c r="C74" s="19"/>
      <c r="D74" s="19"/>
      <c r="E74" s="19"/>
      <c r="F74" s="19"/>
      <c r="G74" s="19"/>
      <c r="H74" s="69" t="str">
        <f>IF(C74="XXL (&gt;160h)",168,IF(C74="XL (&gt;40h)",48,IF(C74="L (20-40h)",30,IF(C74="M (10-20h)",15,IF(C74="S (&lt;10h)",5,"")))))</f>
        <v/>
      </c>
      <c r="I74" s="18"/>
      <c r="J74" s="67" t="str">
        <f>IF($E74="Q12026",COUNTIF($E$3:$E74,"Q12026"),"")</f>
        <v/>
      </c>
      <c r="K74" s="67" t="str">
        <f>IF($E74="Q22026",COUNTIF($E$3:$E74,"Q22026"),"")</f>
        <v/>
      </c>
      <c r="L74" s="67" t="str">
        <f>IF($E74="Q32026",COUNTIF($E$3:$E74,"Q32026"),"")</f>
        <v/>
      </c>
      <c r="M74" s="67" t="str">
        <f>IF($E74="Q42026",COUNTIF($E$3:$E74,"Q42026"),"")</f>
        <v/>
      </c>
      <c r="N74" s="67" t="str">
        <f>IF($E74="Backlog",COUNTIF($E$3:$E74,"Backlog"),"")</f>
        <v/>
      </c>
    </row>
    <row r="75" spans="1:14" ht="19.5" customHeight="1">
      <c r="A75" s="65">
        <v>73</v>
      </c>
      <c r="B75" s="16"/>
      <c r="C75" s="17"/>
      <c r="D75" s="17"/>
      <c r="E75" s="17"/>
      <c r="F75" s="17"/>
      <c r="G75" s="17"/>
      <c r="H75" s="66" t="str">
        <f>IF(C75="XXL (&gt;160h)",168,IF(C75="XL (&gt;40h)",48,IF(C75="L (20-40h)",30,IF(C75="M (10-20h)",15,IF(C75="S (&lt;10h)",5,"")))))</f>
        <v/>
      </c>
      <c r="I75" s="16"/>
      <c r="J75" s="67" t="str">
        <f>IF($E75="Q12026",COUNTIF($E$3:$E75,"Q12026"),"")</f>
        <v/>
      </c>
      <c r="K75" s="67" t="str">
        <f>IF($E75="Q22026",COUNTIF($E$3:$E75,"Q22026"),"")</f>
        <v/>
      </c>
      <c r="L75" s="67" t="str">
        <f>IF($E75="Q32026",COUNTIF($E$3:$E75,"Q32026"),"")</f>
        <v/>
      </c>
      <c r="M75" s="67" t="str">
        <f>IF($E75="Q42026",COUNTIF($E$3:$E75,"Q42026"),"")</f>
        <v/>
      </c>
      <c r="N75" s="67" t="str">
        <f>IF($E75="Backlog",COUNTIF($E$3:$E75,"Backlog"),"")</f>
        <v/>
      </c>
    </row>
    <row r="76" spans="1:14" ht="19.5" customHeight="1">
      <c r="A76" s="68">
        <v>74</v>
      </c>
      <c r="B76" s="18"/>
      <c r="C76" s="19"/>
      <c r="D76" s="19"/>
      <c r="E76" s="19"/>
      <c r="F76" s="19"/>
      <c r="G76" s="19"/>
      <c r="H76" s="69" t="str">
        <f>IF(C76="XXL (&gt;160h)",168,IF(C76="XL (&gt;40h)",48,IF(C76="L (20-40h)",30,IF(C76="M (10-20h)",15,IF(C76="S (&lt;10h)",5,"")))))</f>
        <v/>
      </c>
      <c r="I76" s="18"/>
      <c r="J76" s="67" t="str">
        <f>IF($E76="Q12026",COUNTIF($E$3:$E76,"Q12026"),"")</f>
        <v/>
      </c>
      <c r="K76" s="67" t="str">
        <f>IF($E76="Q22026",COUNTIF($E$3:$E76,"Q22026"),"")</f>
        <v/>
      </c>
      <c r="L76" s="67" t="str">
        <f>IF($E76="Q32026",COUNTIF($E$3:$E76,"Q32026"),"")</f>
        <v/>
      </c>
      <c r="M76" s="67" t="str">
        <f>IF($E76="Q42026",COUNTIF($E$3:$E76,"Q42026"),"")</f>
        <v/>
      </c>
      <c r="N76" s="67" t="str">
        <f>IF($E76="Backlog",COUNTIF($E$3:$E76,"Backlog"),"")</f>
        <v/>
      </c>
    </row>
    <row r="77" spans="1:14" ht="19.5" customHeight="1">
      <c r="A77" s="65">
        <v>75</v>
      </c>
      <c r="B77" s="16"/>
      <c r="C77" s="17"/>
      <c r="D77" s="17"/>
      <c r="E77" s="17"/>
      <c r="F77" s="17"/>
      <c r="G77" s="17"/>
      <c r="H77" s="66" t="str">
        <f>IF(C77="XXL (&gt;160h)",168,IF(C77="XL (&gt;40h)",48,IF(C77="L (20-40h)",30,IF(C77="M (10-20h)",15,IF(C77="S (&lt;10h)",5,"")))))</f>
        <v/>
      </c>
      <c r="I77" s="16"/>
      <c r="J77" s="67" t="str">
        <f>IF($E77="Q12026",COUNTIF($E$3:$E77,"Q12026"),"")</f>
        <v/>
      </c>
      <c r="K77" s="67" t="str">
        <f>IF($E77="Q22026",COUNTIF($E$3:$E77,"Q22026"),"")</f>
        <v/>
      </c>
      <c r="L77" s="67" t="str">
        <f>IF($E77="Q32026",COUNTIF($E$3:$E77,"Q32026"),"")</f>
        <v/>
      </c>
      <c r="M77" s="67" t="str">
        <f>IF($E77="Q42026",COUNTIF($E$3:$E77,"Q42026"),"")</f>
        <v/>
      </c>
      <c r="N77" s="67" t="str">
        <f>IF($E77="Backlog",COUNTIF($E$3:$E77,"Backlog"),"")</f>
        <v/>
      </c>
    </row>
    <row r="78" spans="1:14" ht="19.5" customHeight="1">
      <c r="A78" s="68">
        <v>76</v>
      </c>
      <c r="B78" s="18"/>
      <c r="C78" s="19"/>
      <c r="D78" s="19"/>
      <c r="E78" s="19"/>
      <c r="F78" s="19"/>
      <c r="G78" s="19"/>
      <c r="H78" s="69" t="str">
        <f>IF(C78="XXL (&gt;160h)",168,IF(C78="XL (&gt;40h)",48,IF(C78="L (20-40h)",30,IF(C78="M (10-20h)",15,IF(C78="S (&lt;10h)",5,"")))))</f>
        <v/>
      </c>
      <c r="I78" s="18"/>
      <c r="J78" s="67" t="str">
        <f>IF($E78="Q12026",COUNTIF($E$3:$E78,"Q12026"),"")</f>
        <v/>
      </c>
      <c r="K78" s="67" t="str">
        <f>IF($E78="Q22026",COUNTIF($E$3:$E78,"Q22026"),"")</f>
        <v/>
      </c>
      <c r="L78" s="67" t="str">
        <f>IF($E78="Q32026",COUNTIF($E$3:$E78,"Q32026"),"")</f>
        <v/>
      </c>
      <c r="M78" s="67" t="str">
        <f>IF($E78="Q42026",COUNTIF($E$3:$E78,"Q42026"),"")</f>
        <v/>
      </c>
      <c r="N78" s="67" t="str">
        <f>IF($E78="Backlog",COUNTIF($E$3:$E78,"Backlog"),"")</f>
        <v/>
      </c>
    </row>
    <row r="79" spans="1:14" ht="19.5" customHeight="1">
      <c r="A79" s="65">
        <v>77</v>
      </c>
      <c r="B79" s="16"/>
      <c r="C79" s="17"/>
      <c r="D79" s="17"/>
      <c r="E79" s="17"/>
      <c r="F79" s="17"/>
      <c r="G79" s="17"/>
      <c r="H79" s="66" t="str">
        <f>IF(C79="XXL (&gt;160h)",168,IF(C79="XL (&gt;40h)",48,IF(C79="L (20-40h)",30,IF(C79="M (10-20h)",15,IF(C79="S (&lt;10h)",5,"")))))</f>
        <v/>
      </c>
      <c r="I79" s="16"/>
      <c r="J79" s="67" t="str">
        <f>IF($E79="Q12026",COUNTIF($E$3:$E79,"Q12026"),"")</f>
        <v/>
      </c>
      <c r="K79" s="67" t="str">
        <f>IF($E79="Q22026",COUNTIF($E$3:$E79,"Q22026"),"")</f>
        <v/>
      </c>
      <c r="L79" s="67" t="str">
        <f>IF($E79="Q32026",COUNTIF($E$3:$E79,"Q32026"),"")</f>
        <v/>
      </c>
      <c r="M79" s="67" t="str">
        <f>IF($E79="Q42026",COUNTIF($E$3:$E79,"Q42026"),"")</f>
        <v/>
      </c>
      <c r="N79" s="67" t="str">
        <f>IF($E79="Backlog",COUNTIF($E$3:$E79,"Backlog"),"")</f>
        <v/>
      </c>
    </row>
    <row r="80" spans="1:14" ht="19.5" customHeight="1">
      <c r="A80" s="68">
        <v>78</v>
      </c>
      <c r="B80" s="18"/>
      <c r="C80" s="19"/>
      <c r="D80" s="19"/>
      <c r="E80" s="19"/>
      <c r="F80" s="19"/>
      <c r="G80" s="19"/>
      <c r="H80" s="69" t="str">
        <f>IF(C80="XXL (&gt;160h)",168,IF(C80="XL (&gt;40h)",48,IF(C80="L (20-40h)",30,IF(C80="M (10-20h)",15,IF(C80="S (&lt;10h)",5,"")))))</f>
        <v/>
      </c>
      <c r="I80" s="18"/>
      <c r="J80" s="67" t="str">
        <f>IF($E80="Q12026",COUNTIF($E$3:$E80,"Q12026"),"")</f>
        <v/>
      </c>
      <c r="K80" s="67" t="str">
        <f>IF($E80="Q22026",COUNTIF($E$3:$E80,"Q22026"),"")</f>
        <v/>
      </c>
      <c r="L80" s="67" t="str">
        <f>IF($E80="Q32026",COUNTIF($E$3:$E80,"Q32026"),"")</f>
        <v/>
      </c>
      <c r="M80" s="67" t="str">
        <f>IF($E80="Q42026",COUNTIF($E$3:$E80,"Q42026"),"")</f>
        <v/>
      </c>
      <c r="N80" s="67" t="str">
        <f>IF($E80="Backlog",COUNTIF($E$3:$E80,"Backlog"),"")</f>
        <v/>
      </c>
    </row>
    <row r="81" spans="1:14" ht="19.5" customHeight="1">
      <c r="A81" s="65">
        <v>79</v>
      </c>
      <c r="B81" s="16"/>
      <c r="C81" s="17"/>
      <c r="D81" s="17"/>
      <c r="E81" s="17"/>
      <c r="F81" s="17"/>
      <c r="G81" s="17"/>
      <c r="H81" s="66" t="str">
        <f>IF(C81="XXL (&gt;160h)",168,IF(C81="XL (&gt;40h)",48,IF(C81="L (20-40h)",30,IF(C81="M (10-20h)",15,IF(C81="S (&lt;10h)",5,"")))))</f>
        <v/>
      </c>
      <c r="I81" s="16"/>
      <c r="J81" s="67" t="str">
        <f>IF($E81="Q12026",COUNTIF($E$3:$E81,"Q12026"),"")</f>
        <v/>
      </c>
      <c r="K81" s="67" t="str">
        <f>IF($E81="Q22026",COUNTIF($E$3:$E81,"Q22026"),"")</f>
        <v/>
      </c>
      <c r="L81" s="67" t="str">
        <f>IF($E81="Q32026",COUNTIF($E$3:$E81,"Q32026"),"")</f>
        <v/>
      </c>
      <c r="M81" s="67" t="str">
        <f>IF($E81="Q42026",COUNTIF($E$3:$E81,"Q42026"),"")</f>
        <v/>
      </c>
      <c r="N81" s="67" t="str">
        <f>IF($E81="Backlog",COUNTIF($E$3:$E81,"Backlog"),"")</f>
        <v/>
      </c>
    </row>
    <row r="82" spans="1:14" ht="19.5" customHeight="1">
      <c r="A82" s="68">
        <v>80</v>
      </c>
      <c r="B82" s="18"/>
      <c r="C82" s="19"/>
      <c r="D82" s="19"/>
      <c r="E82" s="19"/>
      <c r="F82" s="19"/>
      <c r="G82" s="19"/>
      <c r="H82" s="69" t="str">
        <f>IF(C82="XXL (&gt;160h)",168,IF(C82="XL (&gt;40h)",48,IF(C82="L (20-40h)",30,IF(C82="M (10-20h)",15,IF(C82="S (&lt;10h)",5,"")))))</f>
        <v/>
      </c>
      <c r="I82" s="18"/>
      <c r="J82" s="67" t="str">
        <f>IF($E82="Q12026",COUNTIF($E$3:$E82,"Q12026"),"")</f>
        <v/>
      </c>
      <c r="K82" s="67" t="str">
        <f>IF($E82="Q22026",COUNTIF($E$3:$E82,"Q22026"),"")</f>
        <v/>
      </c>
      <c r="L82" s="67" t="str">
        <f>IF($E82="Q32026",COUNTIF($E$3:$E82,"Q32026"),"")</f>
        <v/>
      </c>
      <c r="M82" s="67" t="str">
        <f>IF($E82="Q42026",COUNTIF($E$3:$E82,"Q42026"),"")</f>
        <v/>
      </c>
      <c r="N82" s="67" t="str">
        <f>IF($E82="Backlog",COUNTIF($E$3:$E82,"Backlog"),"")</f>
        <v/>
      </c>
    </row>
    <row r="83" spans="1:14" ht="21.75" customHeight="1">
      <c r="A83" s="113" t="s">
        <v>56</v>
      </c>
      <c r="B83" s="113"/>
      <c r="C83" s="113"/>
      <c r="D83" s="113"/>
      <c r="E83" s="113"/>
      <c r="F83" s="113"/>
      <c r="G83" s="113"/>
      <c r="H83" s="20">
        <f>SUM(H3:H82)</f>
        <v>0</v>
      </c>
      <c r="I83" s="70"/>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82" priority="2" operator="equal">
      <formula>"Strengthen"</formula>
    </cfRule>
    <cfRule type="cellIs" dxfId="81" priority="3" operator="equal">
      <formula>"Innovation"</formula>
    </cfRule>
    <cfRule type="cellIs" dxfId="80" priority="4" operator="equal">
      <formula>"Repair"</formula>
    </cfRule>
  </conditionalFormatting>
  <dataValidations count="5">
    <dataValidation type="list" allowBlank="1" sqref="D3:D82" xr:uid="{00000000-0002-0000-0200-000000000000}">
      <formula1>"Strengthen,Innovation,Repair"</formula1>
      <formula2>0</formula2>
    </dataValidation>
    <dataValidation type="list" allowBlank="1" sqref="C3:C82" xr:uid="{00000000-0002-0000-0200-000001000000}">
      <formula1>"XXL (&gt;160h),XL (&gt;40h),L (20-40h),M (10-20h),S (&lt;10h)"</formula1>
      <formula2>0</formula2>
    </dataValidation>
    <dataValidation type="list" allowBlank="1" sqref="E3:E82" xr:uid="{00000000-0002-0000-0200-000002000000}">
      <formula1>"Q12026,Q22026,Q32026,Q42026,Backlog"</formula1>
      <formula2>0</formula2>
    </dataValidation>
    <dataValidation type="list" allowBlank="1" sqref="F3:F82" xr:uid="{00000000-0002-0000-0200-000003000000}">
      <formula1>"Must,Should,Could,Won't"</formula1>
      <formula2>0</formula2>
    </dataValidation>
    <dataValidation type="list" allowBlank="1" sqref="G3:G82" xr:uid="{00000000-0002-0000-02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P87"/>
  <sheetViews>
    <sheetView showGridLines="0" zoomScaleNormal="100" workbookViewId="0">
      <pane xSplit="1" ySplit="2" topLeftCell="B3" activePane="bottomRight" state="frozen"/>
      <selection pane="bottomRight" activeCell="A14" sqref="A14"/>
      <selection pane="bottomLeft" activeCell="A3" sqref="A3"/>
      <selection pane="topRight" activeCell="B1" sqref="B1"/>
    </sheetView>
  </sheetViews>
  <sheetFormatPr defaultColWidth="8.7109375" defaultRowHeight="15"/>
  <cols>
    <col min="1" max="1" width="5" customWidth="1"/>
    <col min="2" max="2" width="64.28515625" customWidth="1"/>
    <col min="3" max="3" width="16" customWidth="1"/>
    <col min="4" max="4" width="14" customWidth="1"/>
    <col min="5" max="5" width="16" customWidth="1"/>
    <col min="6" max="7" width="12" customWidth="1"/>
    <col min="8" max="8" width="11" customWidth="1"/>
    <col min="9" max="9" width="50" customWidth="1"/>
    <col min="10" max="16" width="0.140625" hidden="1" customWidth="1"/>
  </cols>
  <sheetData>
    <row r="1" spans="1:14" ht="43.5" customHeight="1">
      <c r="A1" s="127" t="s">
        <v>62</v>
      </c>
      <c r="B1" s="127"/>
      <c r="C1" s="127"/>
      <c r="D1" s="127"/>
      <c r="E1" s="127"/>
      <c r="F1" s="127"/>
      <c r="G1" s="127"/>
      <c r="H1" s="127"/>
      <c r="I1" s="127"/>
    </row>
    <row r="2" spans="1:14" ht="24" customHeight="1">
      <c r="A2" s="24" t="s">
        <v>1</v>
      </c>
      <c r="B2" s="24" t="s">
        <v>2</v>
      </c>
      <c r="C2" s="24" t="s">
        <v>3</v>
      </c>
      <c r="D2" s="24" t="s">
        <v>4</v>
      </c>
      <c r="E2" s="24" t="s">
        <v>5</v>
      </c>
      <c r="F2" s="24" t="s">
        <v>6</v>
      </c>
      <c r="G2" s="24" t="s">
        <v>7</v>
      </c>
      <c r="H2" s="24" t="s">
        <v>8</v>
      </c>
      <c r="I2" s="24" t="s">
        <v>9</v>
      </c>
    </row>
    <row r="3" spans="1:14" ht="24.75" customHeight="1">
      <c r="A3" s="65">
        <v>1</v>
      </c>
      <c r="B3" s="16" t="s">
        <v>121</v>
      </c>
      <c r="C3" s="17" t="s">
        <v>122</v>
      </c>
      <c r="D3" s="17" t="s">
        <v>123</v>
      </c>
      <c r="E3" s="17" t="s">
        <v>62</v>
      </c>
      <c r="F3" s="17" t="s">
        <v>20</v>
      </c>
      <c r="G3" s="17" t="s">
        <v>12</v>
      </c>
      <c r="H3" s="66">
        <f>IF(C3="XXL (&gt;160h)",168,IF(C3="XL (&gt;40h)",48,IF(C3="L (20-40h)",30,IF(C3="M (10-20h)",15,IF(C3="S (&lt;10h)",5,"")))))</f>
        <v>48</v>
      </c>
      <c r="I3" s="16"/>
      <c r="J3" s="67" t="str">
        <f>IF($E3="Q12026",COUNTIF($E$3:$E3,"Q12026"),"")</f>
        <v/>
      </c>
      <c r="K3" s="67">
        <f>IF($E3="Q22026",COUNTIF($E$3:$E3,"Q22026"),"")</f>
        <v>1</v>
      </c>
      <c r="L3" s="67" t="str">
        <f>IF($E3="Q32026",COUNTIF($E$3:$E3,"Q32026"),"")</f>
        <v/>
      </c>
      <c r="M3" s="67" t="str">
        <f>IF($E3="Q42026",COUNTIF($E$3:$E3,"Q42026"),"")</f>
        <v/>
      </c>
      <c r="N3" s="67" t="str">
        <f>IF($E3="Backlog",COUNTIF($E$3:$E3,"Backlog"),"")</f>
        <v/>
      </c>
    </row>
    <row r="4" spans="1:14" ht="24.75" customHeight="1">
      <c r="A4" s="68">
        <v>2</v>
      </c>
      <c r="B4" s="18" t="s">
        <v>124</v>
      </c>
      <c r="C4" s="19" t="s">
        <v>122</v>
      </c>
      <c r="D4" s="19" t="s">
        <v>123</v>
      </c>
      <c r="E4" s="19" t="s">
        <v>62</v>
      </c>
      <c r="F4" s="19" t="s">
        <v>20</v>
      </c>
      <c r="G4" s="19" t="s">
        <v>12</v>
      </c>
      <c r="H4" s="69">
        <f>IF(C4="XXL (&gt;160h)",168,IF(C4="XL (&gt;40h)",48,IF(C4="L (20-40h)",30,IF(C4="M (10-20h)",15,IF(C4="S (&lt;10h)",5,"")))))</f>
        <v>48</v>
      </c>
      <c r="I4" s="18"/>
      <c r="J4" s="67" t="str">
        <f>IF($E4="Q12026",COUNTIF($E$3:$E4,"Q12026"),"")</f>
        <v/>
      </c>
      <c r="K4" s="67">
        <f>IF($E4="Q22026",COUNTIF($E$3:$E4,"Q22026"),"")</f>
        <v>2</v>
      </c>
      <c r="L4" s="67" t="str">
        <f>IF($E4="Q32026",COUNTIF($E$3:$E4,"Q32026"),"")</f>
        <v/>
      </c>
      <c r="M4" s="67" t="str">
        <f>IF($E4="Q42026",COUNTIF($E$3:$E4,"Q42026"),"")</f>
        <v/>
      </c>
      <c r="N4" s="67" t="str">
        <f>IF($E4="Backlog",COUNTIF($E$3:$E4,"Backlog"),"")</f>
        <v/>
      </c>
    </row>
    <row r="5" spans="1:14" ht="24.75" customHeight="1">
      <c r="A5" s="68">
        <v>4</v>
      </c>
      <c r="B5" s="18" t="s">
        <v>125</v>
      </c>
      <c r="C5" s="19" t="s">
        <v>126</v>
      </c>
      <c r="D5" s="19" t="s">
        <v>127</v>
      </c>
      <c r="E5" s="17" t="s">
        <v>62</v>
      </c>
      <c r="F5" s="19" t="s">
        <v>17</v>
      </c>
      <c r="G5" s="19" t="s">
        <v>12</v>
      </c>
      <c r="H5" s="69">
        <f>IF(C5="XXL (&gt;160h)",168,IF(C5="XL (&gt;40h)",48,IF(C5="L (20-40h)",30,IF(C5="M (10-20h)",15,IF(C5="S (&lt;10h)",5,"")))))</f>
        <v>15</v>
      </c>
      <c r="I5" s="18"/>
      <c r="J5" s="67" t="str">
        <f>IF($E5="Q12026",COUNTIF($E$3:$E5,"Q12026"),"")</f>
        <v/>
      </c>
      <c r="K5" s="67">
        <f>IF($E5="Q22026",COUNTIF($E$3:$E5,"Q22026"),"")</f>
        <v>3</v>
      </c>
      <c r="L5" s="67" t="str">
        <f>IF($E5="Q32026",COUNTIF($E$3:$E5,"Q32026"),"")</f>
        <v/>
      </c>
      <c r="M5" s="67" t="str">
        <f>IF($E5="Q42026",COUNTIF($E$3:$E5,"Q42026"),"")</f>
        <v/>
      </c>
      <c r="N5" s="67" t="str">
        <f>IF($E5="Backlog",COUNTIF($E$3:$E5,"Backlog"),"")</f>
        <v/>
      </c>
    </row>
    <row r="6" spans="1:14" ht="24.75" customHeight="1">
      <c r="A6" s="65">
        <v>5</v>
      </c>
      <c r="B6" s="16" t="s">
        <v>128</v>
      </c>
      <c r="C6" s="17" t="s">
        <v>126</v>
      </c>
      <c r="D6" s="17" t="s">
        <v>127</v>
      </c>
      <c r="E6" s="19" t="s">
        <v>62</v>
      </c>
      <c r="F6" s="17" t="s">
        <v>20</v>
      </c>
      <c r="G6" s="17" t="s">
        <v>12</v>
      </c>
      <c r="H6" s="66">
        <f>IF(C6="XXL (&gt;160h)",168,IF(C6="XL (&gt;40h)",48,IF(C6="L (20-40h)",30,IF(C6="M (10-20h)",15,IF(C6="S (&lt;10h)",5,"")))))</f>
        <v>15</v>
      </c>
      <c r="I6" s="16" t="s">
        <v>129</v>
      </c>
      <c r="J6" s="67" t="str">
        <f>IF($E6="Q12026",COUNTIF($E$3:$E6,"Q12026"),"")</f>
        <v/>
      </c>
      <c r="K6" s="67">
        <f>IF($E6="Q22026",COUNTIF($E$3:$E6,"Q22026"),"")</f>
        <v>4</v>
      </c>
      <c r="L6" s="67" t="str">
        <f>IF($E6="Q32026",COUNTIF($E$3:$E6,"Q32026"),"")</f>
        <v/>
      </c>
      <c r="M6" s="67" t="str">
        <f>IF($E6="Q42026",COUNTIF($E$3:$E6,"Q42026"),"")</f>
        <v/>
      </c>
      <c r="N6" s="67" t="str">
        <f>IF($E6="Backlog",COUNTIF($E$3:$E6,"Backlog"),"")</f>
        <v/>
      </c>
    </row>
    <row r="7" spans="1:14" ht="24.75" customHeight="1">
      <c r="A7" s="65">
        <v>7</v>
      </c>
      <c r="B7" s="16" t="s">
        <v>130</v>
      </c>
      <c r="C7" s="17" t="s">
        <v>131</v>
      </c>
      <c r="D7" s="17" t="s">
        <v>123</v>
      </c>
      <c r="E7" s="17" t="s">
        <v>62</v>
      </c>
      <c r="F7" s="17" t="s">
        <v>20</v>
      </c>
      <c r="G7" s="17" t="s">
        <v>12</v>
      </c>
      <c r="H7" s="66">
        <f>IF(C7="XXL (&gt;160h)",168,IF(C7="XL (&gt;40h)",48,IF(C7="L (20-40h)",30,IF(C7="M (10-20h)",15,IF(C7="S (&lt;10h)",5,"")))))</f>
        <v>30</v>
      </c>
      <c r="I7" s="16"/>
      <c r="J7" s="67" t="str">
        <f>IF($E7="Q12026",COUNTIF($E$3:$E7,"Q12026"),"")</f>
        <v/>
      </c>
      <c r="K7" s="67">
        <f>IF($E7="Q22026",COUNTIF($E$3:$E7,"Q22026"),"")</f>
        <v>5</v>
      </c>
      <c r="L7" s="67" t="str">
        <f>IF($E7="Q32026",COUNTIF($E$3:$E7,"Q32026"),"")</f>
        <v/>
      </c>
      <c r="M7" s="67" t="str">
        <f>IF($E7="Q42026",COUNTIF($E$3:$E7,"Q42026"),"")</f>
        <v/>
      </c>
      <c r="N7" s="67" t="str">
        <f>IF($E7="Backlog",COUNTIF($E$3:$E7,"Backlog"),"")</f>
        <v/>
      </c>
    </row>
    <row r="8" spans="1:14" ht="24.75" customHeight="1">
      <c r="A8" s="100">
        <v>8</v>
      </c>
      <c r="B8" s="101" t="s">
        <v>132</v>
      </c>
      <c r="C8" s="102" t="s">
        <v>126</v>
      </c>
      <c r="D8" s="102" t="s">
        <v>123</v>
      </c>
      <c r="E8" s="102"/>
      <c r="F8" s="102" t="s">
        <v>20</v>
      </c>
      <c r="G8" s="102" t="s">
        <v>12</v>
      </c>
      <c r="H8" s="103">
        <f>IF(C8="XXL (&gt;160h)",168,IF(C8="XL (&gt;40h)",48,IF(C8="L (20-40h)",30,IF(C8="M (10-20h)",15,IF(C8="S (&lt;10h)",5,"")))))</f>
        <v>15</v>
      </c>
      <c r="I8" s="101"/>
      <c r="J8" s="67" t="str">
        <f>IF($E8="Q12026",COUNTIF($E$3:$E8,"Q12026"),"")</f>
        <v/>
      </c>
      <c r="K8" s="67" t="str">
        <f>IF($E8="Q22026",COUNTIF($E$3:$E8,"Q22026"),"")</f>
        <v/>
      </c>
      <c r="L8" s="67" t="str">
        <f>IF($E8="Q32026",COUNTIF($E$3:$E8,"Q32026"),"")</f>
        <v/>
      </c>
      <c r="M8" s="67" t="str">
        <f>IF($E8="Q42026",COUNTIF($E$3:$E8,"Q42026"),"")</f>
        <v/>
      </c>
      <c r="N8" s="67" t="str">
        <f>IF($E8="Backlog",COUNTIF($E$3:$E8,"Backlog"),"")</f>
        <v/>
      </c>
    </row>
    <row r="9" spans="1:14" ht="24.75" customHeight="1">
      <c r="A9" s="100">
        <v>10</v>
      </c>
      <c r="B9" s="101" t="s">
        <v>133</v>
      </c>
      <c r="C9" s="102" t="s">
        <v>126</v>
      </c>
      <c r="D9" s="102" t="s">
        <v>134</v>
      </c>
      <c r="E9" s="102"/>
      <c r="F9" s="102" t="s">
        <v>11</v>
      </c>
      <c r="G9" s="102" t="s">
        <v>12</v>
      </c>
      <c r="H9" s="103">
        <f>IF(C9="XXL (&gt;160h)",168,IF(C9="XL (&gt;40h)",48,IF(C9="L (20-40h)",30,IF(C9="M (10-20h)",15,IF(C9="S (&lt;10h)",5,"")))))</f>
        <v>15</v>
      </c>
      <c r="I9" s="101" t="s">
        <v>135</v>
      </c>
      <c r="J9" s="67" t="str">
        <f>IF($E9="Q12026",COUNTIF($E$3:$E9,"Q12026"),"")</f>
        <v/>
      </c>
      <c r="K9" s="67" t="str">
        <f>IF($E9="Q22026",COUNTIF($E$3:$E9,"Q22026"),"")</f>
        <v/>
      </c>
      <c r="L9" s="67" t="str">
        <f>IF($E9="Q32026",COUNTIF($E$3:$E9,"Q32026"),"")</f>
        <v/>
      </c>
      <c r="M9" s="67" t="str">
        <f>IF($E9="Q42026",COUNTIF($E$3:$E9,"Q42026"),"")</f>
        <v/>
      </c>
      <c r="N9" s="67" t="str">
        <f>IF($E9="Backlog",COUNTIF($E$3:$E9,"Backlog"),"")</f>
        <v/>
      </c>
    </row>
    <row r="10" spans="1:14" ht="24.75" customHeight="1">
      <c r="A10" s="100">
        <v>11</v>
      </c>
      <c r="B10" s="101" t="s">
        <v>136</v>
      </c>
      <c r="C10" s="102" t="s">
        <v>131</v>
      </c>
      <c r="D10" s="102" t="s">
        <v>127</v>
      </c>
      <c r="E10" s="102"/>
      <c r="F10" s="102" t="s">
        <v>20</v>
      </c>
      <c r="G10" s="102" t="s">
        <v>12</v>
      </c>
      <c r="H10" s="103">
        <f>IF(C10="XXL (&gt;160h)",168,IF(C10="XL (&gt;40h)",48,IF(C10="L (20-40h)",30,IF(C10="M (10-20h)",15,IF(C10="S (&lt;10h)",5,"")))))</f>
        <v>30</v>
      </c>
      <c r="I10" s="101" t="s">
        <v>137</v>
      </c>
      <c r="J10" s="67" t="str">
        <f>IF($E10="Q12026",COUNTIF($E$3:$E10,"Q12026"),"")</f>
        <v/>
      </c>
      <c r="K10" s="67" t="str">
        <f>IF($E10="Q22026",COUNTIF($E$3:$E10,"Q22026"),"")</f>
        <v/>
      </c>
      <c r="L10" s="67" t="str">
        <f>IF($E10="Q32026",COUNTIF($E$3:$E10,"Q32026"),"")</f>
        <v/>
      </c>
      <c r="M10" s="67" t="str">
        <f>IF($E10="Q42026",COUNTIF($E$3:$E10,"Q42026"),"")</f>
        <v/>
      </c>
      <c r="N10" s="67" t="str">
        <f>IF($E10="Backlog",COUNTIF($E$3:$E10,"Backlog"),"")</f>
        <v/>
      </c>
    </row>
    <row r="11" spans="1:14" ht="24.75" customHeight="1">
      <c r="A11" s="68">
        <v>12</v>
      </c>
      <c r="B11" s="18" t="s">
        <v>138</v>
      </c>
      <c r="C11" s="19" t="s">
        <v>131</v>
      </c>
      <c r="D11" s="19" t="s">
        <v>127</v>
      </c>
      <c r="E11" s="17" t="s">
        <v>62</v>
      </c>
      <c r="F11" s="19" t="s">
        <v>20</v>
      </c>
      <c r="G11" s="19" t="s">
        <v>12</v>
      </c>
      <c r="H11" s="69">
        <f>IF(C11="XXL (&gt;160h)",168,IF(C11="XL (&gt;40h)",48,IF(C11="L (20-40h)",30,IF(C11="M (10-20h)",15,IF(C11="S (&lt;10h)",5,"")))))</f>
        <v>30</v>
      </c>
      <c r="I11" s="18"/>
      <c r="J11" s="67" t="str">
        <f>IF($E11="Q12026",COUNTIF($E$3:$E11,"Q12026"),"")</f>
        <v/>
      </c>
      <c r="K11" s="67">
        <f>IF($E11="Q22026",COUNTIF($E$3:$E11,"Q22026"),"")</f>
        <v>6</v>
      </c>
      <c r="L11" s="67" t="str">
        <f>IF($E11="Q32026",COUNTIF($E$3:$E11,"Q32026"),"")</f>
        <v/>
      </c>
      <c r="M11" s="67" t="str">
        <f>IF($E11="Q42026",COUNTIF($E$3:$E11,"Q42026"),"")</f>
        <v/>
      </c>
      <c r="N11" s="67" t="str">
        <f>IF($E11="Backlog",COUNTIF($E$3:$E11,"Backlog"),"")</f>
        <v/>
      </c>
    </row>
    <row r="12" spans="1:14" ht="24.75" customHeight="1">
      <c r="A12" s="100">
        <v>14</v>
      </c>
      <c r="B12" s="101" t="s">
        <v>139</v>
      </c>
      <c r="C12" s="102" t="s">
        <v>126</v>
      </c>
      <c r="D12" s="102" t="s">
        <v>134</v>
      </c>
      <c r="E12" s="102"/>
      <c r="F12" s="102" t="s">
        <v>17</v>
      </c>
      <c r="G12" s="102" t="s">
        <v>12</v>
      </c>
      <c r="H12" s="103">
        <f>IF(C12="XXL (&gt;160h)",168,IF(C12="XL (&gt;40h)",48,IF(C12="L (20-40h)",30,IF(C12="M (10-20h)",15,IF(C12="S (&lt;10h)",5,"")))))</f>
        <v>15</v>
      </c>
      <c r="I12" s="101" t="s">
        <v>140</v>
      </c>
      <c r="J12" s="67" t="str">
        <f>IF($E12="Q12026",COUNTIF($E$3:$E12,"Q12026"),"")</f>
        <v/>
      </c>
      <c r="K12" s="67" t="str">
        <f>IF($E12="Q22026",COUNTIF($E$3:$E12,"Q22026"),"")</f>
        <v/>
      </c>
      <c r="L12" s="67" t="str">
        <f>IF($E12="Q32026",COUNTIF($E$3:$E12,"Q32026"),"")</f>
        <v/>
      </c>
      <c r="M12" s="67" t="str">
        <f>IF($E12="Q42026",COUNTIF($E$3:$E12,"Q42026"),"")</f>
        <v/>
      </c>
      <c r="N12" s="67" t="str">
        <f>IF($E12="Backlog",COUNTIF($E$3:$E12,"Backlog"),"")</f>
        <v/>
      </c>
    </row>
    <row r="13" spans="1:14" ht="24.75" customHeight="1">
      <c r="A13" s="100">
        <v>15</v>
      </c>
      <c r="B13" s="101" t="s">
        <v>141</v>
      </c>
      <c r="C13" s="102" t="s">
        <v>126</v>
      </c>
      <c r="D13" s="102" t="s">
        <v>127</v>
      </c>
      <c r="E13" s="102"/>
      <c r="F13" s="102" t="s">
        <v>20</v>
      </c>
      <c r="G13" s="102" t="s">
        <v>12</v>
      </c>
      <c r="H13" s="103">
        <f>IF(C13="XXL (&gt;160h)",168,IF(C13="XL (&gt;40h)",48,IF(C13="L (20-40h)",30,IF(C13="M (10-20h)",15,IF(C13="S (&lt;10h)",5,"")))))</f>
        <v>15</v>
      </c>
      <c r="I13" s="101"/>
      <c r="J13" s="67" t="str">
        <f>IF($E13="Q12026",COUNTIF($E$3:$E13,"Q12026"),"")</f>
        <v/>
      </c>
      <c r="K13" s="67" t="str">
        <f>IF($E13="Q22026",COUNTIF($E$3:$E13,"Q22026"),"")</f>
        <v/>
      </c>
      <c r="L13" s="67" t="str">
        <f>IF($E13="Q32026",COUNTIF($E$3:$E13,"Q32026"),"")</f>
        <v/>
      </c>
      <c r="M13" s="67" t="str">
        <f>IF($E13="Q42026",COUNTIF($E$3:$E13,"Q42026"),"")</f>
        <v/>
      </c>
      <c r="N13" s="67" t="str">
        <f>IF($E13="Backlog",COUNTIF($E$3:$E13,"Backlog"),"")</f>
        <v/>
      </c>
    </row>
    <row r="14" spans="1:14" ht="24.75" customHeight="1">
      <c r="A14" s="100">
        <v>16</v>
      </c>
      <c r="B14" s="101" t="s">
        <v>142</v>
      </c>
      <c r="C14" s="102" t="s">
        <v>126</v>
      </c>
      <c r="D14" s="102" t="s">
        <v>123</v>
      </c>
      <c r="E14" s="102" t="s">
        <v>62</v>
      </c>
      <c r="F14" s="102" t="s">
        <v>20</v>
      </c>
      <c r="G14" s="102" t="s">
        <v>12</v>
      </c>
      <c r="H14" s="103">
        <f>IF(C14="XXL (&gt;160h)",168,IF(C14="XL (&gt;40h)",48,IF(C14="L (20-40h)",30,IF(C14="M (10-20h)",15,IF(C14="S (&lt;10h)",5,"")))))</f>
        <v>15</v>
      </c>
      <c r="I14" s="101"/>
      <c r="J14" s="67" t="str">
        <f>IF($E14="Q12026",COUNTIF($E$3:$E14,"Q12026"),"")</f>
        <v/>
      </c>
      <c r="K14" s="67">
        <f>IF($E14="Q22026",COUNTIF($E$3:$E14,"Q22026"),"")</f>
        <v>7</v>
      </c>
      <c r="L14" s="67" t="str">
        <f>IF($E14="Q32026",COUNTIF($E$3:$E14,"Q32026"),"")</f>
        <v/>
      </c>
      <c r="M14" s="67" t="str">
        <f>IF($E14="Q42026",COUNTIF($E$3:$E14,"Q42026"),"")</f>
        <v/>
      </c>
      <c r="N14" s="67" t="str">
        <f>IF($E14="Backlog",COUNTIF($E$3:$E14,"Backlog"),"")</f>
        <v/>
      </c>
    </row>
    <row r="15" spans="1:14" ht="24.75" customHeight="1">
      <c r="A15" s="65">
        <v>17</v>
      </c>
      <c r="B15" s="16" t="s">
        <v>143</v>
      </c>
      <c r="C15" s="17" t="s">
        <v>126</v>
      </c>
      <c r="D15" s="17" t="s">
        <v>127</v>
      </c>
      <c r="E15" s="19" t="s">
        <v>62</v>
      </c>
      <c r="F15" s="17" t="s">
        <v>20</v>
      </c>
      <c r="G15" s="17" t="s">
        <v>12</v>
      </c>
      <c r="H15" s="66">
        <f>IF(C15="XXL (&gt;160h)",168,IF(C15="XL (&gt;40h)",48,IF(C15="L (20-40h)",30,IF(C15="M (10-20h)",15,IF(C15="S (&lt;10h)",5,"")))))</f>
        <v>15</v>
      </c>
      <c r="I15" s="16"/>
      <c r="J15" s="67" t="str">
        <f>IF($E15="Q12026",COUNTIF($E$3:$E15,"Q12026"),"")</f>
        <v/>
      </c>
      <c r="K15" s="67">
        <f>IF($E15="Q22026",COUNTIF($E$3:$E15,"Q22026"),"")</f>
        <v>8</v>
      </c>
      <c r="L15" s="67" t="str">
        <f>IF($E15="Q32026",COUNTIF($E$3:$E15,"Q32026"),"")</f>
        <v/>
      </c>
      <c r="M15" s="67" t="str">
        <f>IF($E15="Q42026",COUNTIF($E$3:$E15,"Q42026"),"")</f>
        <v/>
      </c>
      <c r="N15" s="67" t="str">
        <f>IF($E15="Backlog",COUNTIF($E$3:$E15,"Backlog"),"")</f>
        <v/>
      </c>
    </row>
    <row r="16" spans="1:14" ht="24.75" customHeight="1">
      <c r="A16" s="100">
        <v>19</v>
      </c>
      <c r="B16" s="101" t="s">
        <v>144</v>
      </c>
      <c r="C16" s="102" t="s">
        <v>145</v>
      </c>
      <c r="D16" s="102" t="s">
        <v>127</v>
      </c>
      <c r="E16" s="102"/>
      <c r="F16" s="102" t="s">
        <v>17</v>
      </c>
      <c r="G16" s="102" t="s">
        <v>12</v>
      </c>
      <c r="H16" s="103">
        <f>IF(C16="XXL (&gt;160h)",168,IF(C16="XL (&gt;40h)",48,IF(C16="L (20-40h)",30,IF(C16="M (10-20h)",15,IF(C16="S (&lt;10h)",5,"")))))</f>
        <v>168</v>
      </c>
      <c r="I16" s="101"/>
      <c r="J16" s="67" t="str">
        <f>IF($E16="Q12026",COUNTIF($E$3:$E16,"Q12026"),"")</f>
        <v/>
      </c>
      <c r="K16" s="67" t="str">
        <f>IF($E16="Q22026",COUNTIF($E$3:$E16,"Q22026"),"")</f>
        <v/>
      </c>
      <c r="L16" s="67" t="str">
        <f>IF($E16="Q32026",COUNTIF($E$3:$E16,"Q32026"),"")</f>
        <v/>
      </c>
      <c r="M16" s="67" t="str">
        <f>IF($E16="Q42026",COUNTIF($E$3:$E16,"Q42026"),"")</f>
        <v/>
      </c>
      <c r="N16" s="67" t="str">
        <f>IF($E16="Backlog",COUNTIF($E$3:$E16,"Backlog"),"")</f>
        <v/>
      </c>
    </row>
    <row r="17" spans="1:14" ht="24.75" customHeight="1">
      <c r="A17" s="65">
        <v>3</v>
      </c>
      <c r="B17" s="16" t="s">
        <v>146</v>
      </c>
      <c r="C17" s="17" t="s">
        <v>126</v>
      </c>
      <c r="D17" s="17" t="s">
        <v>127</v>
      </c>
      <c r="E17" s="17" t="s">
        <v>62</v>
      </c>
      <c r="F17" s="17" t="s">
        <v>17</v>
      </c>
      <c r="G17" s="17" t="s">
        <v>116</v>
      </c>
      <c r="H17" s="66">
        <f>IF(C17="XXL (&gt;160h)",168,IF(C17="XL (&gt;40h)",48,IF(C17="L (20-40h)",30,IF(C17="M (10-20h)",15,IF(C17="S (&lt;10h)",5,"")))))</f>
        <v>15</v>
      </c>
      <c r="I17" s="16" t="s">
        <v>147</v>
      </c>
      <c r="J17" s="67" t="str">
        <f>IF($E17="Q12026",COUNTIF($E$3:$E17,"Q12026"),"")</f>
        <v/>
      </c>
      <c r="K17" s="67">
        <f>IF($E17="Q22026",COUNTIF($E$3:$E17,"Q22026"),"")</f>
        <v>9</v>
      </c>
      <c r="L17" s="67" t="str">
        <f>IF($E17="Q32026",COUNTIF($E$3:$E17,"Q32026"),"")</f>
        <v/>
      </c>
      <c r="M17" s="67" t="str">
        <f>IF($E17="Q42026",COUNTIF($E$3:$E17,"Q42026"),"")</f>
        <v/>
      </c>
      <c r="N17" s="67" t="str">
        <f>IF($E17="Backlog",COUNTIF($E$3:$E17,"Backlog"),"")</f>
        <v/>
      </c>
    </row>
    <row r="18" spans="1:14" ht="24.75" customHeight="1">
      <c r="A18" s="68">
        <v>6</v>
      </c>
      <c r="B18" s="18" t="s">
        <v>148</v>
      </c>
      <c r="C18" s="19" t="s">
        <v>145</v>
      </c>
      <c r="D18" s="19" t="s">
        <v>123</v>
      </c>
      <c r="E18" s="17" t="s">
        <v>62</v>
      </c>
      <c r="F18" s="19" t="s">
        <v>20</v>
      </c>
      <c r="G18" s="19" t="s">
        <v>116</v>
      </c>
      <c r="H18" s="69">
        <f>IF(C18="XXL (&gt;160h)",168,IF(C18="XL (&gt;40h)",48,IF(C18="L (20-40h)",30,IF(C18="M (10-20h)",15,IF(C18="S (&lt;10h)",5,"")))))</f>
        <v>168</v>
      </c>
      <c r="I18" s="18"/>
      <c r="J18" s="67" t="str">
        <f>IF($E18="Q12026",COUNTIF($E$3:$E18,"Q12026"),"")</f>
        <v/>
      </c>
      <c r="K18" s="67">
        <f>IF($E18="Q22026",COUNTIF($E$3:$E18,"Q22026"),"")</f>
        <v>10</v>
      </c>
      <c r="L18" s="67" t="str">
        <f>IF($E18="Q32026",COUNTIF($E$3:$E18,"Q32026"),"")</f>
        <v/>
      </c>
      <c r="M18" s="67" t="str">
        <f>IF($E18="Q42026",COUNTIF($E$3:$E18,"Q42026"),"")</f>
        <v/>
      </c>
      <c r="N18" s="67" t="str">
        <f>IF($E18="Backlog",COUNTIF($E$3:$E18,"Backlog"),"")</f>
        <v/>
      </c>
    </row>
    <row r="19" spans="1:14" ht="24.75" customHeight="1">
      <c r="A19" s="65">
        <v>9</v>
      </c>
      <c r="B19" s="16" t="s">
        <v>149</v>
      </c>
      <c r="C19" s="17" t="s">
        <v>145</v>
      </c>
      <c r="D19" s="17" t="s">
        <v>123</v>
      </c>
      <c r="E19" s="17" t="s">
        <v>62</v>
      </c>
      <c r="F19" s="17" t="s">
        <v>20</v>
      </c>
      <c r="G19" s="17" t="s">
        <v>116</v>
      </c>
      <c r="H19" s="66">
        <f>IF(C19="XXL (&gt;160h)",168,IF(C19="XL (&gt;40h)",48,IF(C19="L (20-40h)",30,IF(C19="M (10-20h)",15,IF(C19="S (&lt;10h)",5,"")))))</f>
        <v>168</v>
      </c>
      <c r="I19" s="16"/>
      <c r="J19" s="67" t="str">
        <f>IF($E19="Q12026",COUNTIF($E$3:$E19,"Q12026"),"")</f>
        <v/>
      </c>
      <c r="K19" s="67">
        <f>IF($E19="Q22026",COUNTIF($E$3:$E19,"Q22026"),"")</f>
        <v>11</v>
      </c>
      <c r="L19" s="67" t="str">
        <f>IF($E19="Q32026",COUNTIF($E$3:$E19,"Q32026"),"")</f>
        <v/>
      </c>
      <c r="M19" s="67" t="str">
        <f>IF($E19="Q42026",COUNTIF($E$3:$E19,"Q42026"),"")</f>
        <v/>
      </c>
      <c r="N19" s="67" t="str">
        <f>IF($E19="Backlog",COUNTIF($E$3:$E19,"Backlog"),"")</f>
        <v/>
      </c>
    </row>
    <row r="20" spans="1:14" ht="24.75" customHeight="1">
      <c r="A20" s="65">
        <v>13</v>
      </c>
      <c r="B20" s="16" t="s">
        <v>150</v>
      </c>
      <c r="C20" s="17" t="s">
        <v>122</v>
      </c>
      <c r="D20" s="17" t="s">
        <v>134</v>
      </c>
      <c r="E20" s="17" t="s">
        <v>62</v>
      </c>
      <c r="F20" s="17" t="s">
        <v>20</v>
      </c>
      <c r="G20" s="17" t="s">
        <v>116</v>
      </c>
      <c r="H20" s="66">
        <f>IF(C20="XXL (&gt;160h)",168,IF(C20="XL (&gt;40h)",48,IF(C20="L (20-40h)",30,IF(C20="M (10-20h)",15,IF(C20="S (&lt;10h)",5,"")))))</f>
        <v>48</v>
      </c>
      <c r="I20" s="16"/>
      <c r="J20" s="67" t="str">
        <f>IF($E20="Q12026",COUNTIF($E$3:$E20,"Q12026"),"")</f>
        <v/>
      </c>
      <c r="K20" s="67">
        <f>IF($E20="Q22026",COUNTIF($E$3:$E20,"Q22026"),"")</f>
        <v>12</v>
      </c>
      <c r="L20" s="67" t="str">
        <f>IF($E20="Q32026",COUNTIF($E$3:$E20,"Q32026"),"")</f>
        <v/>
      </c>
      <c r="M20" s="67" t="str">
        <f>IF($E20="Q42026",COUNTIF($E$3:$E20,"Q42026"),"")</f>
        <v/>
      </c>
      <c r="N20" s="67" t="str">
        <f>IF($E20="Backlog",COUNTIF($E$3:$E20,"Backlog"),"")</f>
        <v/>
      </c>
    </row>
    <row r="21" spans="1:14" ht="24.75" customHeight="1">
      <c r="A21" s="68">
        <v>18</v>
      </c>
      <c r="B21" s="18" t="s">
        <v>151</v>
      </c>
      <c r="C21" s="19" t="s">
        <v>126</v>
      </c>
      <c r="D21" s="19" t="s">
        <v>127</v>
      </c>
      <c r="E21" s="17" t="s">
        <v>62</v>
      </c>
      <c r="F21" s="19" t="s">
        <v>11</v>
      </c>
      <c r="G21" s="19" t="s">
        <v>116</v>
      </c>
      <c r="H21" s="69">
        <f>IF(C21="XXL (&gt;160h)",168,IF(C21="XL (&gt;40h)",48,IF(C21="L (20-40h)",30,IF(C21="M (10-20h)",15,IF(C21="S (&lt;10h)",5,"")))))</f>
        <v>15</v>
      </c>
      <c r="I21" s="18" t="s">
        <v>152</v>
      </c>
      <c r="J21" s="67" t="str">
        <f>IF($E21="Q12026",COUNTIF($E$3:$E21,"Q12026"),"")</f>
        <v/>
      </c>
      <c r="K21" s="67">
        <f>IF($E21="Q22026",COUNTIF($E$3:$E21,"Q22026"),"")</f>
        <v>13</v>
      </c>
      <c r="L21" s="67" t="str">
        <f>IF($E21="Q32026",COUNTIF($E$3:$E21,"Q32026"),"")</f>
        <v/>
      </c>
      <c r="M21" s="67" t="str">
        <f>IF($E21="Q42026",COUNTIF($E$3:$E21,"Q42026"),"")</f>
        <v/>
      </c>
      <c r="N21" s="67" t="str">
        <f>IF($E21="Backlog",COUNTIF($E$3:$E21,"Backlog"),"")</f>
        <v/>
      </c>
    </row>
    <row r="22" spans="1:14" ht="24.75" customHeight="1">
      <c r="A22" s="68">
        <v>20</v>
      </c>
      <c r="B22" s="18" t="s">
        <v>153</v>
      </c>
      <c r="C22" s="19" t="s">
        <v>131</v>
      </c>
      <c r="D22" s="19" t="s">
        <v>127</v>
      </c>
      <c r="E22" s="19" t="s">
        <v>62</v>
      </c>
      <c r="F22" s="19" t="s">
        <v>20</v>
      </c>
      <c r="G22" s="19" t="s">
        <v>116</v>
      </c>
      <c r="H22" s="69">
        <f>IF(C22="XXL (&gt;160h)",168,IF(C22="XL (&gt;40h)",48,IF(C22="L (20-40h)",30,IF(C22="M (10-20h)",15,IF(C22="S (&lt;10h)",5,"")))))</f>
        <v>30</v>
      </c>
      <c r="I22" s="18" t="s">
        <v>154</v>
      </c>
      <c r="J22" s="67" t="str">
        <f>IF($E22="Q12026",COUNTIF($E$3:$E22,"Q12026"),"")</f>
        <v/>
      </c>
      <c r="K22" s="67">
        <f>IF($E22="Q22026",COUNTIF($E$3:$E22,"Q22026"),"")</f>
        <v>14</v>
      </c>
      <c r="L22" s="67" t="str">
        <f>IF($E22="Q32026",COUNTIF($E$3:$E22,"Q32026"),"")</f>
        <v/>
      </c>
      <c r="M22" s="67" t="str">
        <f>IF($E22="Q42026",COUNTIF($E$3:$E22,"Q42026"),"")</f>
        <v/>
      </c>
      <c r="N22" s="67" t="str">
        <f>IF($E22="Backlog",COUNTIF($E$3:$E22,"Backlog"),"")</f>
        <v/>
      </c>
    </row>
    <row r="23" spans="1:14" ht="24.75" customHeight="1">
      <c r="A23" s="65">
        <v>21</v>
      </c>
      <c r="B23" s="16"/>
      <c r="C23" s="17"/>
      <c r="D23" s="17"/>
      <c r="E23" s="17"/>
      <c r="F23" s="17"/>
      <c r="G23" s="17"/>
      <c r="H23" s="66" t="str">
        <f>IF(C23="XXL (&gt;160h)",168,IF(C23="XL (&gt;40h)",48,IF(C23="L (20-40h)",30,IF(C23="M (10-20h)",15,IF(C23="S (&lt;10h)",5,"")))))</f>
        <v/>
      </c>
      <c r="I23" s="16"/>
      <c r="J23" s="67" t="str">
        <f>IF($E23="Q12026",COUNTIF($E$3:$E23,"Q12026"),"")</f>
        <v/>
      </c>
      <c r="K23" s="67" t="str">
        <f>IF($E23="Q22026",COUNTIF($E$3:$E23,"Q22026"),"")</f>
        <v/>
      </c>
      <c r="L23" s="67" t="str">
        <f>IF($E23="Q32026",COUNTIF($E$3:$E23,"Q32026"),"")</f>
        <v/>
      </c>
      <c r="M23" s="67" t="str">
        <f>IF($E23="Q42026",COUNTIF($E$3:$E23,"Q42026"),"")</f>
        <v/>
      </c>
      <c r="N23" s="67" t="str">
        <f>IF($E23="Backlog",COUNTIF($E$3:$E23,"Backlog"),"")</f>
        <v/>
      </c>
    </row>
    <row r="24" spans="1:14" ht="24.75" customHeight="1">
      <c r="A24" s="68">
        <v>22</v>
      </c>
      <c r="B24" s="18"/>
      <c r="C24" s="19"/>
      <c r="D24" s="19"/>
      <c r="E24" s="19"/>
      <c r="F24" s="19"/>
      <c r="G24" s="19"/>
      <c r="H24" s="69" t="str">
        <f>IF(C24="XXL (&gt;160h)",168,IF(C24="XL (&gt;40h)",48,IF(C24="L (20-40h)",30,IF(C24="M (10-20h)",15,IF(C24="S (&lt;10h)",5,"")))))</f>
        <v/>
      </c>
      <c r="I24" s="18"/>
      <c r="J24" s="67" t="str">
        <f>IF($E24="Q12026",COUNTIF($E$3:$E24,"Q12026"),"")</f>
        <v/>
      </c>
      <c r="K24" s="67" t="str">
        <f>IF($E24="Q22026",COUNTIF($E$3:$E24,"Q22026"),"")</f>
        <v/>
      </c>
      <c r="L24" s="67" t="str">
        <f>IF($E24="Q32026",COUNTIF($E$3:$E24,"Q32026"),"")</f>
        <v/>
      </c>
      <c r="M24" s="67" t="str">
        <f>IF($E24="Q42026",COUNTIF($E$3:$E24,"Q42026"),"")</f>
        <v/>
      </c>
      <c r="N24" s="67" t="str">
        <f>IF($E24="Backlog",COUNTIF($E$3:$E24,"Backlog"),"")</f>
        <v/>
      </c>
    </row>
    <row r="25" spans="1:14" ht="24.75" customHeight="1">
      <c r="A25" s="65">
        <v>23</v>
      </c>
      <c r="B25" s="16"/>
      <c r="C25" s="17"/>
      <c r="D25" s="17"/>
      <c r="E25" s="17"/>
      <c r="F25" s="17"/>
      <c r="G25" s="17"/>
      <c r="H25" s="66" t="str">
        <f>IF(C25="XXL (&gt;160h)",168,IF(C25="XL (&gt;40h)",48,IF(C25="L (20-40h)",30,IF(C25="M (10-20h)",15,IF(C25="S (&lt;10h)",5,"")))))</f>
        <v/>
      </c>
      <c r="I25" s="16"/>
      <c r="J25" s="67" t="str">
        <f>IF($E25="Q12026",COUNTIF($E$3:$E25,"Q12026"),"")</f>
        <v/>
      </c>
      <c r="K25" s="67" t="str">
        <f>IF($E25="Q22026",COUNTIF($E$3:$E25,"Q22026"),"")</f>
        <v/>
      </c>
      <c r="L25" s="67" t="str">
        <f>IF($E25="Q32026",COUNTIF($E$3:$E25,"Q32026"),"")</f>
        <v/>
      </c>
      <c r="M25" s="67" t="str">
        <f>IF($E25="Q42026",COUNTIF($E$3:$E25,"Q42026"),"")</f>
        <v/>
      </c>
      <c r="N25" s="67" t="str">
        <f>IF($E25="Backlog",COUNTIF($E$3:$E25,"Backlog"),"")</f>
        <v/>
      </c>
    </row>
    <row r="26" spans="1:14" ht="24.75" customHeight="1">
      <c r="A26" s="68">
        <v>24</v>
      </c>
      <c r="B26" s="18"/>
      <c r="C26" s="19"/>
      <c r="D26" s="19"/>
      <c r="E26" s="19"/>
      <c r="F26" s="19"/>
      <c r="G26" s="19"/>
      <c r="H26" s="69" t="str">
        <f>IF(C26="XXL (&gt;160h)",168,IF(C26="XL (&gt;40h)",48,IF(C26="L (20-40h)",30,IF(C26="M (10-20h)",15,IF(C26="S (&lt;10h)",5,"")))))</f>
        <v/>
      </c>
      <c r="I26" s="18"/>
      <c r="J26" s="67" t="str">
        <f>IF($E26="Q12026",COUNTIF($E$3:$E26,"Q12026"),"")</f>
        <v/>
      </c>
      <c r="K26" s="67" t="str">
        <f>IF($E26="Q22026",COUNTIF($E$3:$E26,"Q22026"),"")</f>
        <v/>
      </c>
      <c r="L26" s="67" t="str">
        <f>IF($E26="Q32026",COUNTIF($E$3:$E26,"Q32026"),"")</f>
        <v/>
      </c>
      <c r="M26" s="67" t="str">
        <f>IF($E26="Q42026",COUNTIF($E$3:$E26,"Q42026"),"")</f>
        <v/>
      </c>
      <c r="N26" s="67" t="str">
        <f>IF($E26="Backlog",COUNTIF($E$3:$E26,"Backlog"),"")</f>
        <v/>
      </c>
    </row>
    <row r="27" spans="1:14" ht="24.75" customHeight="1">
      <c r="A27" s="65">
        <v>25</v>
      </c>
      <c r="B27" s="16"/>
      <c r="C27" s="17"/>
      <c r="D27" s="17"/>
      <c r="E27" s="17"/>
      <c r="F27" s="17"/>
      <c r="G27" s="17"/>
      <c r="H27" s="66" t="str">
        <f>IF(C27="XXL (&gt;160h)",168,IF(C27="XL (&gt;40h)",48,IF(C27="L (20-40h)",30,IF(C27="M (10-20h)",15,IF(C27="S (&lt;10h)",5,"")))))</f>
        <v/>
      </c>
      <c r="I27" s="16"/>
      <c r="J27" s="67" t="str">
        <f>IF($E27="Q12026",COUNTIF($E$3:$E27,"Q12026"),"")</f>
        <v/>
      </c>
      <c r="K27" s="67" t="str">
        <f>IF($E27="Q22026",COUNTIF($E$3:$E27,"Q22026"),"")</f>
        <v/>
      </c>
      <c r="L27" s="67" t="str">
        <f>IF($E27="Q32026",COUNTIF($E$3:$E27,"Q32026"),"")</f>
        <v/>
      </c>
      <c r="M27" s="67" t="str">
        <f>IF($E27="Q42026",COUNTIF($E$3:$E27,"Q42026"),"")</f>
        <v/>
      </c>
      <c r="N27" s="67" t="str">
        <f>IF($E27="Backlog",COUNTIF($E$3:$E27,"Backlog"),"")</f>
        <v/>
      </c>
    </row>
    <row r="28" spans="1:14" ht="24.75" customHeight="1">
      <c r="A28" s="68">
        <v>26</v>
      </c>
      <c r="B28" s="18"/>
      <c r="C28" s="19"/>
      <c r="D28" s="19"/>
      <c r="E28" s="19"/>
      <c r="F28" s="19"/>
      <c r="G28" s="19"/>
      <c r="H28" s="69" t="str">
        <f>IF(C28="XXL (&gt;160h)",168,IF(C28="XL (&gt;40h)",48,IF(C28="L (20-40h)",30,IF(C28="M (10-20h)",15,IF(C28="S (&lt;10h)",5,"")))))</f>
        <v/>
      </c>
      <c r="I28" s="18"/>
      <c r="J28" s="67" t="str">
        <f>IF($E28="Q12026",COUNTIF($E$3:$E28,"Q12026"),"")</f>
        <v/>
      </c>
      <c r="K28" s="67" t="str">
        <f>IF($E28="Q22026",COUNTIF($E$3:$E28,"Q22026"),"")</f>
        <v/>
      </c>
      <c r="L28" s="67" t="str">
        <f>IF($E28="Q32026",COUNTIF($E$3:$E28,"Q32026"),"")</f>
        <v/>
      </c>
      <c r="M28" s="67" t="str">
        <f>IF($E28="Q42026",COUNTIF($E$3:$E28,"Q42026"),"")</f>
        <v/>
      </c>
      <c r="N28" s="67" t="str">
        <f>IF($E28="Backlog",COUNTIF($E$3:$E28,"Backlog"),"")</f>
        <v/>
      </c>
    </row>
    <row r="29" spans="1:14" ht="24.75" customHeight="1">
      <c r="A29" s="65">
        <v>27</v>
      </c>
      <c r="B29" s="16"/>
      <c r="C29" s="17"/>
      <c r="D29" s="17"/>
      <c r="E29" s="17"/>
      <c r="F29" s="17"/>
      <c r="G29" s="17"/>
      <c r="H29" s="66" t="str">
        <f>IF(C29="XXL (&gt;160h)",168,IF(C29="XL (&gt;40h)",48,IF(C29="L (20-40h)",30,IF(C29="M (10-20h)",15,IF(C29="S (&lt;10h)",5,"")))))</f>
        <v/>
      </c>
      <c r="I29" s="16"/>
      <c r="J29" s="67" t="str">
        <f>IF($E29="Q12026",COUNTIF($E$3:$E29,"Q12026"),"")</f>
        <v/>
      </c>
      <c r="K29" s="67" t="str">
        <f>IF($E29="Q22026",COUNTIF($E$3:$E29,"Q22026"),"")</f>
        <v/>
      </c>
      <c r="L29" s="67" t="str">
        <f>IF($E29="Q32026",COUNTIF($E$3:$E29,"Q32026"),"")</f>
        <v/>
      </c>
      <c r="M29" s="67" t="str">
        <f>IF($E29="Q42026",COUNTIF($E$3:$E29,"Q42026"),"")</f>
        <v/>
      </c>
      <c r="N29" s="67" t="str">
        <f>IF($E29="Backlog",COUNTIF($E$3:$E29,"Backlog"),"")</f>
        <v/>
      </c>
    </row>
    <row r="30" spans="1:14" ht="24.75" customHeight="1">
      <c r="A30" s="68">
        <v>28</v>
      </c>
      <c r="B30" s="18"/>
      <c r="C30" s="19"/>
      <c r="D30" s="19"/>
      <c r="E30" s="19"/>
      <c r="F30" s="19"/>
      <c r="G30" s="19"/>
      <c r="H30" s="69" t="str">
        <f>IF(C30="XXL (&gt;160h)",168,IF(C30="XL (&gt;40h)",48,IF(C30="L (20-40h)",30,IF(C30="M (10-20h)",15,IF(C30="S (&lt;10h)",5,"")))))</f>
        <v/>
      </c>
      <c r="I30" s="18"/>
      <c r="J30" s="67" t="str">
        <f>IF($E30="Q12026",COUNTIF($E$3:$E30,"Q12026"),"")</f>
        <v/>
      </c>
      <c r="K30" s="67" t="str">
        <f>IF($E30="Q22026",COUNTIF($E$3:$E30,"Q22026"),"")</f>
        <v/>
      </c>
      <c r="L30" s="67" t="str">
        <f>IF($E30="Q32026",COUNTIF($E$3:$E30,"Q32026"),"")</f>
        <v/>
      </c>
      <c r="M30" s="67" t="str">
        <f>IF($E30="Q42026",COUNTIF($E$3:$E30,"Q42026"),"")</f>
        <v/>
      </c>
      <c r="N30" s="67" t="str">
        <f>IF($E30="Backlog",COUNTIF($E$3:$E30,"Backlog"),"")</f>
        <v/>
      </c>
    </row>
    <row r="31" spans="1:14" ht="24.75" customHeight="1">
      <c r="A31" s="65">
        <v>29</v>
      </c>
      <c r="B31" s="16"/>
      <c r="C31" s="17"/>
      <c r="D31" s="17"/>
      <c r="E31" s="17"/>
      <c r="F31" s="17"/>
      <c r="G31" s="17"/>
      <c r="H31" s="66" t="str">
        <f>IF(C31="XXL (&gt;160h)",168,IF(C31="XL (&gt;40h)",48,IF(C31="L (20-40h)",30,IF(C31="M (10-20h)",15,IF(C31="S (&lt;10h)",5,"")))))</f>
        <v/>
      </c>
      <c r="I31" s="16"/>
      <c r="J31" s="67" t="str">
        <f>IF($E31="Q12026",COUNTIF($E$3:$E31,"Q12026"),"")</f>
        <v/>
      </c>
      <c r="K31" s="67" t="str">
        <f>IF($E31="Q22026",COUNTIF($E$3:$E31,"Q22026"),"")</f>
        <v/>
      </c>
      <c r="L31" s="67" t="str">
        <f>IF($E31="Q32026",COUNTIF($E$3:$E31,"Q32026"),"")</f>
        <v/>
      </c>
      <c r="M31" s="67" t="str">
        <f>IF($E31="Q42026",COUNTIF($E$3:$E31,"Q42026"),"")</f>
        <v/>
      </c>
      <c r="N31" s="67" t="str">
        <f>IF($E31="Backlog",COUNTIF($E$3:$E31,"Backlog"),"")</f>
        <v/>
      </c>
    </row>
    <row r="32" spans="1:14" ht="24.75" customHeight="1">
      <c r="A32" s="68">
        <v>30</v>
      </c>
      <c r="B32" s="18"/>
      <c r="C32" s="19"/>
      <c r="D32" s="19"/>
      <c r="E32" s="19"/>
      <c r="F32" s="19"/>
      <c r="G32" s="19"/>
      <c r="H32" s="69" t="str">
        <f>IF(C32="XXL (&gt;160h)",168,IF(C32="XL (&gt;40h)",48,IF(C32="L (20-40h)",30,IF(C32="M (10-20h)",15,IF(C32="S (&lt;10h)",5,"")))))</f>
        <v/>
      </c>
      <c r="I32" s="18"/>
      <c r="J32" s="67" t="str">
        <f>IF($E32="Q12026",COUNTIF($E$3:$E32,"Q12026"),"")</f>
        <v/>
      </c>
      <c r="K32" s="67" t="str">
        <f>IF($E32="Q22026",COUNTIF($E$3:$E32,"Q22026"),"")</f>
        <v/>
      </c>
      <c r="L32" s="67" t="str">
        <f>IF($E32="Q32026",COUNTIF($E$3:$E32,"Q32026"),"")</f>
        <v/>
      </c>
      <c r="M32" s="67" t="str">
        <f>IF($E32="Q42026",COUNTIF($E$3:$E32,"Q42026"),"")</f>
        <v/>
      </c>
      <c r="N32" s="67" t="str">
        <f>IF($E32="Backlog",COUNTIF($E$3:$E32,"Backlog"),"")</f>
        <v/>
      </c>
    </row>
    <row r="33" spans="1:14" ht="24.75" customHeight="1">
      <c r="A33" s="65">
        <v>31</v>
      </c>
      <c r="B33" s="16"/>
      <c r="C33" s="17"/>
      <c r="D33" s="17"/>
      <c r="E33" s="17"/>
      <c r="F33" s="17"/>
      <c r="G33" s="17"/>
      <c r="H33" s="66" t="str">
        <f>IF(C33="XXL (&gt;160h)",168,IF(C33="XL (&gt;40h)",48,IF(C33="L (20-40h)",30,IF(C33="M (10-20h)",15,IF(C33="S (&lt;10h)",5,"")))))</f>
        <v/>
      </c>
      <c r="I33" s="16"/>
      <c r="J33" s="67" t="str">
        <f>IF($E33="Q12026",COUNTIF($E$3:$E33,"Q12026"),"")</f>
        <v/>
      </c>
      <c r="K33" s="67" t="str">
        <f>IF($E33="Q22026",COUNTIF($E$3:$E33,"Q22026"),"")</f>
        <v/>
      </c>
      <c r="L33" s="67" t="str">
        <f>IF($E33="Q32026",COUNTIF($E$3:$E33,"Q32026"),"")</f>
        <v/>
      </c>
      <c r="M33" s="67" t="str">
        <f>IF($E33="Q42026",COUNTIF($E$3:$E33,"Q42026"),"")</f>
        <v/>
      </c>
      <c r="N33" s="67" t="str">
        <f>IF($E33="Backlog",COUNTIF($E$3:$E33,"Backlog"),"")</f>
        <v/>
      </c>
    </row>
    <row r="34" spans="1:14" ht="24.75" customHeight="1">
      <c r="A34" s="68">
        <v>32</v>
      </c>
      <c r="B34" s="18"/>
      <c r="C34" s="19"/>
      <c r="D34" s="19"/>
      <c r="E34" s="19"/>
      <c r="F34" s="19"/>
      <c r="G34" s="19"/>
      <c r="H34" s="69" t="str">
        <f>IF(C34="XXL (&gt;160h)",168,IF(C34="XL (&gt;40h)",48,IF(C34="L (20-40h)",30,IF(C34="M (10-20h)",15,IF(C34="S (&lt;10h)",5,"")))))</f>
        <v/>
      </c>
      <c r="I34" s="18"/>
      <c r="J34" s="67" t="str">
        <f>IF($E34="Q12026",COUNTIF($E$3:$E34,"Q12026"),"")</f>
        <v/>
      </c>
      <c r="K34" s="67" t="str">
        <f>IF($E34="Q22026",COUNTIF($E$3:$E34,"Q22026"),"")</f>
        <v/>
      </c>
      <c r="L34" s="67" t="str">
        <f>IF($E34="Q32026",COUNTIF($E$3:$E34,"Q32026"),"")</f>
        <v/>
      </c>
      <c r="M34" s="67" t="str">
        <f>IF($E34="Q42026",COUNTIF($E$3:$E34,"Q42026"),"")</f>
        <v/>
      </c>
      <c r="N34" s="67" t="str">
        <f>IF($E34="Backlog",COUNTIF($E$3:$E34,"Backlog"),"")</f>
        <v/>
      </c>
    </row>
    <row r="35" spans="1:14" ht="24.75" customHeight="1">
      <c r="A35" s="65">
        <v>33</v>
      </c>
      <c r="B35" s="16"/>
      <c r="C35" s="17"/>
      <c r="D35" s="17"/>
      <c r="E35" s="17"/>
      <c r="F35" s="17"/>
      <c r="G35" s="17"/>
      <c r="H35" s="66" t="str">
        <f>IF(C35="XXL (&gt;160h)",168,IF(C35="XL (&gt;40h)",48,IF(C35="L (20-40h)",30,IF(C35="M (10-20h)",15,IF(C35="S (&lt;10h)",5,"")))))</f>
        <v/>
      </c>
      <c r="I35" s="16"/>
      <c r="J35" s="67" t="str">
        <f>IF($E35="Q12026",COUNTIF($E$3:$E35,"Q12026"),"")</f>
        <v/>
      </c>
      <c r="K35" s="67" t="str">
        <f>IF($E35="Q22026",COUNTIF($E$3:$E35,"Q22026"),"")</f>
        <v/>
      </c>
      <c r="L35" s="67" t="str">
        <f>IF($E35="Q32026",COUNTIF($E$3:$E35,"Q32026"),"")</f>
        <v/>
      </c>
      <c r="M35" s="67" t="str">
        <f>IF($E35="Q42026",COUNTIF($E$3:$E35,"Q42026"),"")</f>
        <v/>
      </c>
      <c r="N35" s="67" t="str">
        <f>IF($E35="Backlog",COUNTIF($E$3:$E35,"Backlog"),"")</f>
        <v/>
      </c>
    </row>
    <row r="36" spans="1:14" ht="24.75" customHeight="1">
      <c r="A36" s="68">
        <v>34</v>
      </c>
      <c r="B36" s="18"/>
      <c r="C36" s="19"/>
      <c r="D36" s="19"/>
      <c r="E36" s="19"/>
      <c r="F36" s="19"/>
      <c r="G36" s="19"/>
      <c r="H36" s="69" t="str">
        <f>IF(C36="XXL (&gt;160h)",168,IF(C36="XL (&gt;40h)",48,IF(C36="L (20-40h)",30,IF(C36="M (10-20h)",15,IF(C36="S (&lt;10h)",5,"")))))</f>
        <v/>
      </c>
      <c r="I36" s="18"/>
      <c r="J36" s="67" t="str">
        <f>IF($E36="Q12026",COUNTIF($E$3:$E36,"Q12026"),"")</f>
        <v/>
      </c>
      <c r="K36" s="67" t="str">
        <f>IF($E36="Q22026",COUNTIF($E$3:$E36,"Q22026"),"")</f>
        <v/>
      </c>
      <c r="L36" s="67" t="str">
        <f>IF($E36="Q32026",COUNTIF($E$3:$E36,"Q32026"),"")</f>
        <v/>
      </c>
      <c r="M36" s="67" t="str">
        <f>IF($E36="Q42026",COUNTIF($E$3:$E36,"Q42026"),"")</f>
        <v/>
      </c>
      <c r="N36" s="67" t="str">
        <f>IF($E36="Backlog",COUNTIF($E$3:$E36,"Backlog"),"")</f>
        <v/>
      </c>
    </row>
    <row r="37" spans="1:14" ht="24.75" customHeight="1">
      <c r="A37" s="65">
        <v>35</v>
      </c>
      <c r="B37" s="16"/>
      <c r="C37" s="17"/>
      <c r="D37" s="17"/>
      <c r="E37" s="17"/>
      <c r="F37" s="17"/>
      <c r="G37" s="17"/>
      <c r="H37" s="66" t="str">
        <f>IF(C37="XXL (&gt;160h)",168,IF(C37="XL (&gt;40h)",48,IF(C37="L (20-40h)",30,IF(C37="M (10-20h)",15,IF(C37="S (&lt;10h)",5,"")))))</f>
        <v/>
      </c>
      <c r="I37" s="16"/>
      <c r="J37" s="67" t="str">
        <f>IF($E37="Q12026",COUNTIF($E$3:$E37,"Q12026"),"")</f>
        <v/>
      </c>
      <c r="K37" s="67" t="str">
        <f>IF($E37="Q22026",COUNTIF($E$3:$E37,"Q22026"),"")</f>
        <v/>
      </c>
      <c r="L37" s="67" t="str">
        <f>IF($E37="Q32026",COUNTIF($E$3:$E37,"Q32026"),"")</f>
        <v/>
      </c>
      <c r="M37" s="67" t="str">
        <f>IF($E37="Q42026",COUNTIF($E$3:$E37,"Q42026"),"")</f>
        <v/>
      </c>
      <c r="N37" s="67" t="str">
        <f>IF($E37="Backlog",COUNTIF($E$3:$E37,"Backlog"),"")</f>
        <v/>
      </c>
    </row>
    <row r="38" spans="1:14" ht="24.75" customHeight="1">
      <c r="A38" s="68">
        <v>36</v>
      </c>
      <c r="B38" s="18"/>
      <c r="C38" s="19"/>
      <c r="D38" s="19"/>
      <c r="E38" s="19"/>
      <c r="F38" s="19"/>
      <c r="G38" s="19"/>
      <c r="H38" s="69" t="str">
        <f>IF(C38="XXL (&gt;160h)",168,IF(C38="XL (&gt;40h)",48,IF(C38="L (20-40h)",30,IF(C38="M (10-20h)",15,IF(C38="S (&lt;10h)",5,"")))))</f>
        <v/>
      </c>
      <c r="I38" s="18"/>
      <c r="J38" s="67" t="str">
        <f>IF($E38="Q12026",COUNTIF($E$3:$E38,"Q12026"),"")</f>
        <v/>
      </c>
      <c r="K38" s="67" t="str">
        <f>IF($E38="Q22026",COUNTIF($E$3:$E38,"Q22026"),"")</f>
        <v/>
      </c>
      <c r="L38" s="67" t="str">
        <f>IF($E38="Q32026",COUNTIF($E$3:$E38,"Q32026"),"")</f>
        <v/>
      </c>
      <c r="M38" s="67" t="str">
        <f>IF($E38="Q42026",COUNTIF($E$3:$E38,"Q42026"),"")</f>
        <v/>
      </c>
      <c r="N38" s="67" t="str">
        <f>IF($E38="Backlog",COUNTIF($E$3:$E38,"Backlog"),"")</f>
        <v/>
      </c>
    </row>
    <row r="39" spans="1:14" ht="24.75" customHeight="1">
      <c r="A39" s="65">
        <v>37</v>
      </c>
      <c r="B39" s="16"/>
      <c r="C39" s="17"/>
      <c r="D39" s="17"/>
      <c r="E39" s="17"/>
      <c r="F39" s="17"/>
      <c r="G39" s="17"/>
      <c r="H39" s="66" t="str">
        <f>IF(C39="XXL (&gt;160h)",168,IF(C39="XL (&gt;40h)",48,IF(C39="L (20-40h)",30,IF(C39="M (10-20h)",15,IF(C39="S (&lt;10h)",5,"")))))</f>
        <v/>
      </c>
      <c r="I39" s="16"/>
      <c r="J39" s="67" t="str">
        <f>IF($E39="Q12026",COUNTIF($E$3:$E39,"Q12026"),"")</f>
        <v/>
      </c>
      <c r="K39" s="67" t="str">
        <f>IF($E39="Q22026",COUNTIF($E$3:$E39,"Q22026"),"")</f>
        <v/>
      </c>
      <c r="L39" s="67" t="str">
        <f>IF($E39="Q32026",COUNTIF($E$3:$E39,"Q32026"),"")</f>
        <v/>
      </c>
      <c r="M39" s="67" t="str">
        <f>IF($E39="Q42026",COUNTIF($E$3:$E39,"Q42026"),"")</f>
        <v/>
      </c>
      <c r="N39" s="67" t="str">
        <f>IF($E39="Backlog",COUNTIF($E$3:$E39,"Backlog"),"")</f>
        <v/>
      </c>
    </row>
    <row r="40" spans="1:14" ht="24.75" customHeight="1">
      <c r="A40" s="68">
        <v>38</v>
      </c>
      <c r="B40" s="18"/>
      <c r="C40" s="19"/>
      <c r="D40" s="19"/>
      <c r="E40" s="19"/>
      <c r="F40" s="19"/>
      <c r="G40" s="19"/>
      <c r="H40" s="69" t="str">
        <f>IF(C40="XXL (&gt;160h)",168,IF(C40="XL (&gt;40h)",48,IF(C40="L (20-40h)",30,IF(C40="M (10-20h)",15,IF(C40="S (&lt;10h)",5,"")))))</f>
        <v/>
      </c>
      <c r="I40" s="18"/>
      <c r="J40" s="67" t="str">
        <f>IF($E40="Q12026",COUNTIF($E$3:$E40,"Q12026"),"")</f>
        <v/>
      </c>
      <c r="K40" s="67" t="str">
        <f>IF($E40="Q22026",COUNTIF($E$3:$E40,"Q22026"),"")</f>
        <v/>
      </c>
      <c r="L40" s="67" t="str">
        <f>IF($E40="Q32026",COUNTIF($E$3:$E40,"Q32026"),"")</f>
        <v/>
      </c>
      <c r="M40" s="67" t="str">
        <f>IF($E40="Q42026",COUNTIF($E$3:$E40,"Q42026"),"")</f>
        <v/>
      </c>
      <c r="N40" s="67" t="str">
        <f>IF($E40="Backlog",COUNTIF($E$3:$E40,"Backlog"),"")</f>
        <v/>
      </c>
    </row>
    <row r="41" spans="1:14" ht="24.75" customHeight="1">
      <c r="A41" s="65">
        <v>39</v>
      </c>
      <c r="B41" s="16"/>
      <c r="C41" s="17"/>
      <c r="D41" s="17"/>
      <c r="E41" s="17"/>
      <c r="F41" s="17"/>
      <c r="G41" s="17"/>
      <c r="H41" s="66" t="str">
        <f>IF(C41="XXL (&gt;160h)",168,IF(C41="XL (&gt;40h)",48,IF(C41="L (20-40h)",30,IF(C41="M (10-20h)",15,IF(C41="S (&lt;10h)",5,"")))))</f>
        <v/>
      </c>
      <c r="I41" s="16"/>
      <c r="J41" s="67" t="str">
        <f>IF($E41="Q12026",COUNTIF($E$3:$E41,"Q12026"),"")</f>
        <v/>
      </c>
      <c r="K41" s="67" t="str">
        <f>IF($E41="Q22026",COUNTIF($E$3:$E41,"Q22026"),"")</f>
        <v/>
      </c>
      <c r="L41" s="67" t="str">
        <f>IF($E41="Q32026",COUNTIF($E$3:$E41,"Q32026"),"")</f>
        <v/>
      </c>
      <c r="M41" s="67" t="str">
        <f>IF($E41="Q42026",COUNTIF($E$3:$E41,"Q42026"),"")</f>
        <v/>
      </c>
      <c r="N41" s="67" t="str">
        <f>IF($E41="Backlog",COUNTIF($E$3:$E41,"Backlog"),"")</f>
        <v/>
      </c>
    </row>
    <row r="42" spans="1:14" ht="24.75" customHeight="1">
      <c r="A42" s="68">
        <v>40</v>
      </c>
      <c r="B42" s="18"/>
      <c r="C42" s="19"/>
      <c r="D42" s="19"/>
      <c r="E42" s="19"/>
      <c r="F42" s="19"/>
      <c r="G42" s="19"/>
      <c r="H42" s="69" t="str">
        <f>IF(C42="XXL (&gt;160h)",168,IF(C42="XL (&gt;40h)",48,IF(C42="L (20-40h)",30,IF(C42="M (10-20h)",15,IF(C42="S (&lt;10h)",5,"")))))</f>
        <v/>
      </c>
      <c r="I42" s="18"/>
      <c r="J42" s="67" t="str">
        <f>IF($E42="Q12026",COUNTIF($E$3:$E42,"Q12026"),"")</f>
        <v/>
      </c>
      <c r="K42" s="67" t="str">
        <f>IF($E42="Q22026",COUNTIF($E$3:$E42,"Q22026"),"")</f>
        <v/>
      </c>
      <c r="L42" s="67" t="str">
        <f>IF($E42="Q32026",COUNTIF($E$3:$E42,"Q32026"),"")</f>
        <v/>
      </c>
      <c r="M42" s="67" t="str">
        <f>IF($E42="Q42026",COUNTIF($E$3:$E42,"Q42026"),"")</f>
        <v/>
      </c>
      <c r="N42" s="67" t="str">
        <f>IF($E42="Backlog",COUNTIF($E$3:$E42,"Backlog"),"")</f>
        <v/>
      </c>
    </row>
    <row r="43" spans="1:14" ht="24.75" customHeight="1">
      <c r="A43" s="65">
        <v>41</v>
      </c>
      <c r="B43" s="16"/>
      <c r="C43" s="17"/>
      <c r="D43" s="17"/>
      <c r="E43" s="17"/>
      <c r="F43" s="17"/>
      <c r="G43" s="17"/>
      <c r="H43" s="66" t="str">
        <f>IF(C43="XXL (&gt;160h)",168,IF(C43="XL (&gt;40h)",48,IF(C43="L (20-40h)",30,IF(C43="M (10-20h)",15,IF(C43="S (&lt;10h)",5,"")))))</f>
        <v/>
      </c>
      <c r="I43" s="16"/>
      <c r="J43" s="67" t="str">
        <f>IF($E43="Q12026",COUNTIF($E$3:$E43,"Q12026"),"")</f>
        <v/>
      </c>
      <c r="K43" s="67" t="str">
        <f>IF($E43="Q22026",COUNTIF($E$3:$E43,"Q22026"),"")</f>
        <v/>
      </c>
      <c r="L43" s="67" t="str">
        <f>IF($E43="Q32026",COUNTIF($E$3:$E43,"Q32026"),"")</f>
        <v/>
      </c>
      <c r="M43" s="67" t="str">
        <f>IF($E43="Q42026",COUNTIF($E$3:$E43,"Q42026"),"")</f>
        <v/>
      </c>
      <c r="N43" s="67" t="str">
        <f>IF($E43="Backlog",COUNTIF($E$3:$E43,"Backlog"),"")</f>
        <v/>
      </c>
    </row>
    <row r="44" spans="1:14" ht="24.75" customHeight="1">
      <c r="A44" s="68">
        <v>42</v>
      </c>
      <c r="B44" s="18"/>
      <c r="C44" s="19"/>
      <c r="D44" s="19"/>
      <c r="E44" s="19"/>
      <c r="F44" s="19"/>
      <c r="G44" s="19"/>
      <c r="H44" s="69" t="str">
        <f>IF(C44="XXL (&gt;160h)",168,IF(C44="XL (&gt;40h)",48,IF(C44="L (20-40h)",30,IF(C44="M (10-20h)",15,IF(C44="S (&lt;10h)",5,"")))))</f>
        <v/>
      </c>
      <c r="I44" s="18"/>
      <c r="J44" s="67" t="str">
        <f>IF($E44="Q12026",COUNTIF($E$3:$E44,"Q12026"),"")</f>
        <v/>
      </c>
      <c r="K44" s="67" t="str">
        <f>IF($E44="Q22026",COUNTIF($E$3:$E44,"Q22026"),"")</f>
        <v/>
      </c>
      <c r="L44" s="67" t="str">
        <f>IF($E44="Q32026",COUNTIF($E$3:$E44,"Q32026"),"")</f>
        <v/>
      </c>
      <c r="M44" s="67" t="str">
        <f>IF($E44="Q42026",COUNTIF($E$3:$E44,"Q42026"),"")</f>
        <v/>
      </c>
      <c r="N44" s="67" t="str">
        <f>IF($E44="Backlog",COUNTIF($E$3:$E44,"Backlog"),"")</f>
        <v/>
      </c>
    </row>
    <row r="45" spans="1:14" ht="24.75" customHeight="1">
      <c r="A45" s="65">
        <v>43</v>
      </c>
      <c r="B45" s="16"/>
      <c r="C45" s="17"/>
      <c r="D45" s="17"/>
      <c r="E45" s="17"/>
      <c r="F45" s="17"/>
      <c r="G45" s="17"/>
      <c r="H45" s="66" t="str">
        <f>IF(C45="XXL (&gt;160h)",168,IF(C45="XL (&gt;40h)",48,IF(C45="L (20-40h)",30,IF(C45="M (10-20h)",15,IF(C45="S (&lt;10h)",5,"")))))</f>
        <v/>
      </c>
      <c r="I45" s="16"/>
      <c r="J45" s="67" t="str">
        <f>IF($E45="Q12026",COUNTIF($E$3:$E45,"Q12026"),"")</f>
        <v/>
      </c>
      <c r="K45" s="67" t="str">
        <f>IF($E45="Q22026",COUNTIF($E$3:$E45,"Q22026"),"")</f>
        <v/>
      </c>
      <c r="L45" s="67" t="str">
        <f>IF($E45="Q32026",COUNTIF($E$3:$E45,"Q32026"),"")</f>
        <v/>
      </c>
      <c r="M45" s="67" t="str">
        <f>IF($E45="Q42026",COUNTIF($E$3:$E45,"Q42026"),"")</f>
        <v/>
      </c>
      <c r="N45" s="67" t="str">
        <f>IF($E45="Backlog",COUNTIF($E$3:$E45,"Backlog"),"")</f>
        <v/>
      </c>
    </row>
    <row r="46" spans="1:14" ht="24.75" customHeight="1">
      <c r="A46" s="68">
        <v>44</v>
      </c>
      <c r="B46" s="18"/>
      <c r="C46" s="19"/>
      <c r="D46" s="19"/>
      <c r="E46" s="19"/>
      <c r="F46" s="19"/>
      <c r="G46" s="19"/>
      <c r="H46" s="69" t="str">
        <f>IF(C46="XXL (&gt;160h)",168,IF(C46="XL (&gt;40h)",48,IF(C46="L (20-40h)",30,IF(C46="M (10-20h)",15,IF(C46="S (&lt;10h)",5,"")))))</f>
        <v/>
      </c>
      <c r="I46" s="18"/>
      <c r="J46" s="67" t="str">
        <f>IF($E46="Q12026",COUNTIF($E$3:$E46,"Q12026"),"")</f>
        <v/>
      </c>
      <c r="K46" s="67" t="str">
        <f>IF($E46="Q22026",COUNTIF($E$3:$E46,"Q22026"),"")</f>
        <v/>
      </c>
      <c r="L46" s="67" t="str">
        <f>IF($E46="Q32026",COUNTIF($E$3:$E46,"Q32026"),"")</f>
        <v/>
      </c>
      <c r="M46" s="67" t="str">
        <f>IF($E46="Q42026",COUNTIF($E$3:$E46,"Q42026"),"")</f>
        <v/>
      </c>
      <c r="N46" s="67" t="str">
        <f>IF($E46="Backlog",COUNTIF($E$3:$E46,"Backlog"),"")</f>
        <v/>
      </c>
    </row>
    <row r="47" spans="1:14" ht="24.75" customHeight="1">
      <c r="A47" s="65">
        <v>45</v>
      </c>
      <c r="B47" s="16"/>
      <c r="C47" s="17"/>
      <c r="D47" s="17"/>
      <c r="E47" s="17"/>
      <c r="F47" s="17"/>
      <c r="G47" s="17"/>
      <c r="H47" s="66" t="str">
        <f>IF(C47="XXL (&gt;160h)",168,IF(C47="XL (&gt;40h)",48,IF(C47="L (20-40h)",30,IF(C47="M (10-20h)",15,IF(C47="S (&lt;10h)",5,"")))))</f>
        <v/>
      </c>
      <c r="I47" s="16"/>
      <c r="J47" s="67" t="str">
        <f>IF($E47="Q12026",COUNTIF($E$3:$E47,"Q12026"),"")</f>
        <v/>
      </c>
      <c r="K47" s="67" t="str">
        <f>IF($E47="Q22026",COUNTIF($E$3:$E47,"Q22026"),"")</f>
        <v/>
      </c>
      <c r="L47" s="67" t="str">
        <f>IF($E47="Q32026",COUNTIF($E$3:$E47,"Q32026"),"")</f>
        <v/>
      </c>
      <c r="M47" s="67" t="str">
        <f>IF($E47="Q42026",COUNTIF($E$3:$E47,"Q42026"),"")</f>
        <v/>
      </c>
      <c r="N47" s="67" t="str">
        <f>IF($E47="Backlog",COUNTIF($E$3:$E47,"Backlog"),"")</f>
        <v/>
      </c>
    </row>
    <row r="48" spans="1:14" ht="24.75" customHeight="1">
      <c r="A48" s="68">
        <v>46</v>
      </c>
      <c r="B48" s="18"/>
      <c r="C48" s="19"/>
      <c r="D48" s="19"/>
      <c r="E48" s="19"/>
      <c r="F48" s="19"/>
      <c r="G48" s="19"/>
      <c r="H48" s="69" t="str">
        <f>IF(C48="XXL (&gt;160h)",168,IF(C48="XL (&gt;40h)",48,IF(C48="L (20-40h)",30,IF(C48="M (10-20h)",15,IF(C48="S (&lt;10h)",5,"")))))</f>
        <v/>
      </c>
      <c r="I48" s="18"/>
      <c r="J48" s="67" t="str">
        <f>IF($E48="Q12026",COUNTIF($E$3:$E48,"Q12026"),"")</f>
        <v/>
      </c>
      <c r="K48" s="67" t="str">
        <f>IF($E48="Q22026",COUNTIF($E$3:$E48,"Q22026"),"")</f>
        <v/>
      </c>
      <c r="L48" s="67" t="str">
        <f>IF($E48="Q32026",COUNTIF($E$3:$E48,"Q32026"),"")</f>
        <v/>
      </c>
      <c r="M48" s="67" t="str">
        <f>IF($E48="Q42026",COUNTIF($E$3:$E48,"Q42026"),"")</f>
        <v/>
      </c>
      <c r="N48" s="67" t="str">
        <f>IF($E48="Backlog",COUNTIF($E$3:$E48,"Backlog"),"")</f>
        <v/>
      </c>
    </row>
    <row r="49" spans="1:14" ht="24.75" customHeight="1">
      <c r="A49" s="65">
        <v>47</v>
      </c>
      <c r="B49" s="16"/>
      <c r="C49" s="17"/>
      <c r="D49" s="17"/>
      <c r="E49" s="17"/>
      <c r="F49" s="17"/>
      <c r="G49" s="17"/>
      <c r="H49" s="66" t="str">
        <f>IF(C49="XXL (&gt;160h)",168,IF(C49="XL (&gt;40h)",48,IF(C49="L (20-40h)",30,IF(C49="M (10-20h)",15,IF(C49="S (&lt;10h)",5,"")))))</f>
        <v/>
      </c>
      <c r="I49" s="16"/>
      <c r="J49" s="67" t="str">
        <f>IF($E49="Q12026",COUNTIF($E$3:$E49,"Q12026"),"")</f>
        <v/>
      </c>
      <c r="K49" s="67" t="str">
        <f>IF($E49="Q22026",COUNTIF($E$3:$E49,"Q22026"),"")</f>
        <v/>
      </c>
      <c r="L49" s="67" t="str">
        <f>IF($E49="Q32026",COUNTIF($E$3:$E49,"Q32026"),"")</f>
        <v/>
      </c>
      <c r="M49" s="67" t="str">
        <f>IF($E49="Q42026",COUNTIF($E$3:$E49,"Q42026"),"")</f>
        <v/>
      </c>
      <c r="N49" s="67" t="str">
        <f>IF($E49="Backlog",COUNTIF($E$3:$E49,"Backlog"),"")</f>
        <v/>
      </c>
    </row>
    <row r="50" spans="1:14" ht="24.75" customHeight="1">
      <c r="A50" s="68">
        <v>48</v>
      </c>
      <c r="B50" s="18"/>
      <c r="C50" s="19"/>
      <c r="D50" s="19"/>
      <c r="E50" s="19"/>
      <c r="F50" s="19"/>
      <c r="G50" s="19"/>
      <c r="H50" s="69" t="str">
        <f>IF(C50="XXL (&gt;160h)",168,IF(C50="XL (&gt;40h)",48,IF(C50="L (20-40h)",30,IF(C50="M (10-20h)",15,IF(C50="S (&lt;10h)",5,"")))))</f>
        <v/>
      </c>
      <c r="I50" s="18"/>
      <c r="J50" s="67" t="str">
        <f>IF($E50="Q12026",COUNTIF($E$3:$E50,"Q12026"),"")</f>
        <v/>
      </c>
      <c r="K50" s="67" t="str">
        <f>IF($E50="Q22026",COUNTIF($E$3:$E50,"Q22026"),"")</f>
        <v/>
      </c>
      <c r="L50" s="67" t="str">
        <f>IF($E50="Q32026",COUNTIF($E$3:$E50,"Q32026"),"")</f>
        <v/>
      </c>
      <c r="M50" s="67" t="str">
        <f>IF($E50="Q42026",COUNTIF($E$3:$E50,"Q42026"),"")</f>
        <v/>
      </c>
      <c r="N50" s="67" t="str">
        <f>IF($E50="Backlog",COUNTIF($E$3:$E50,"Backlog"),"")</f>
        <v/>
      </c>
    </row>
    <row r="51" spans="1:14" ht="24.75" customHeight="1">
      <c r="A51" s="65">
        <v>49</v>
      </c>
      <c r="B51" s="16"/>
      <c r="C51" s="17"/>
      <c r="D51" s="17"/>
      <c r="E51" s="17"/>
      <c r="F51" s="17"/>
      <c r="G51" s="17"/>
      <c r="H51" s="66" t="str">
        <f>IF(C51="XXL (&gt;160h)",168,IF(C51="XL (&gt;40h)",48,IF(C51="L (20-40h)",30,IF(C51="M (10-20h)",15,IF(C51="S (&lt;10h)",5,"")))))</f>
        <v/>
      </c>
      <c r="I51" s="16"/>
      <c r="J51" s="67" t="str">
        <f>IF($E51="Q12026",COUNTIF($E$3:$E51,"Q12026"),"")</f>
        <v/>
      </c>
      <c r="K51" s="67" t="str">
        <f>IF($E51="Q22026",COUNTIF($E$3:$E51,"Q22026"),"")</f>
        <v/>
      </c>
      <c r="L51" s="67" t="str">
        <f>IF($E51="Q32026",COUNTIF($E$3:$E51,"Q32026"),"")</f>
        <v/>
      </c>
      <c r="M51" s="67" t="str">
        <f>IF($E51="Q42026",COUNTIF($E$3:$E51,"Q42026"),"")</f>
        <v/>
      </c>
      <c r="N51" s="67" t="str">
        <f>IF($E51="Backlog",COUNTIF($E$3:$E51,"Backlog"),"")</f>
        <v/>
      </c>
    </row>
    <row r="52" spans="1:14" ht="24.75" customHeight="1">
      <c r="A52" s="68">
        <v>50</v>
      </c>
      <c r="B52" s="18"/>
      <c r="C52" s="19"/>
      <c r="D52" s="19"/>
      <c r="E52" s="19"/>
      <c r="F52" s="19"/>
      <c r="G52" s="19"/>
      <c r="H52" s="69" t="str">
        <f>IF(C52="XXL (&gt;160h)",168,IF(C52="XL (&gt;40h)",48,IF(C52="L (20-40h)",30,IF(C52="M (10-20h)",15,IF(C52="S (&lt;10h)",5,"")))))</f>
        <v/>
      </c>
      <c r="I52" s="18"/>
      <c r="J52" s="67" t="str">
        <f>IF($E52="Q12026",COUNTIF($E$3:$E52,"Q12026"),"")</f>
        <v/>
      </c>
      <c r="K52" s="67" t="str">
        <f>IF($E52="Q22026",COUNTIF($E$3:$E52,"Q22026"),"")</f>
        <v/>
      </c>
      <c r="L52" s="67" t="str">
        <f>IF($E52="Q32026",COUNTIF($E$3:$E52,"Q32026"),"")</f>
        <v/>
      </c>
      <c r="M52" s="67" t="str">
        <f>IF($E52="Q42026",COUNTIF($E$3:$E52,"Q42026"),"")</f>
        <v/>
      </c>
      <c r="N52" s="67" t="str">
        <f>IF($E52="Backlog",COUNTIF($E$3:$E52,"Backlog"),"")</f>
        <v/>
      </c>
    </row>
    <row r="53" spans="1:14" ht="24.75" customHeight="1">
      <c r="A53" s="65">
        <v>51</v>
      </c>
      <c r="B53" s="16"/>
      <c r="C53" s="17"/>
      <c r="D53" s="17"/>
      <c r="E53" s="17"/>
      <c r="F53" s="17"/>
      <c r="G53" s="17"/>
      <c r="H53" s="66" t="str">
        <f>IF(C53="XXL (&gt;160h)",168,IF(C53="XL (&gt;40h)",48,IF(C53="L (20-40h)",30,IF(C53="M (10-20h)",15,IF(C53="S (&lt;10h)",5,"")))))</f>
        <v/>
      </c>
      <c r="I53" s="16"/>
      <c r="J53" s="67" t="str">
        <f>IF($E53="Q12026",COUNTIF($E$3:$E53,"Q12026"),"")</f>
        <v/>
      </c>
      <c r="K53" s="67" t="str">
        <f>IF($E53="Q22026",COUNTIF($E$3:$E53,"Q22026"),"")</f>
        <v/>
      </c>
      <c r="L53" s="67" t="str">
        <f>IF($E53="Q32026",COUNTIF($E$3:$E53,"Q32026"),"")</f>
        <v/>
      </c>
      <c r="M53" s="67" t="str">
        <f>IF($E53="Q42026",COUNTIF($E$3:$E53,"Q42026"),"")</f>
        <v/>
      </c>
      <c r="N53" s="67" t="str">
        <f>IF($E53="Backlog",COUNTIF($E$3:$E53,"Backlog"),"")</f>
        <v/>
      </c>
    </row>
    <row r="54" spans="1:14" ht="24.75" customHeight="1">
      <c r="A54" s="68">
        <v>52</v>
      </c>
      <c r="B54" s="18"/>
      <c r="C54" s="19"/>
      <c r="D54" s="19"/>
      <c r="E54" s="19"/>
      <c r="F54" s="19"/>
      <c r="G54" s="19"/>
      <c r="H54" s="69" t="str">
        <f>IF(C54="XXL (&gt;160h)",168,IF(C54="XL (&gt;40h)",48,IF(C54="L (20-40h)",30,IF(C54="M (10-20h)",15,IF(C54="S (&lt;10h)",5,"")))))</f>
        <v/>
      </c>
      <c r="I54" s="18"/>
      <c r="J54" s="67" t="str">
        <f>IF($E54="Q12026",COUNTIF($E$3:$E54,"Q12026"),"")</f>
        <v/>
      </c>
      <c r="K54" s="67" t="str">
        <f>IF($E54="Q22026",COUNTIF($E$3:$E54,"Q22026"),"")</f>
        <v/>
      </c>
      <c r="L54" s="67" t="str">
        <f>IF($E54="Q32026",COUNTIF($E$3:$E54,"Q32026"),"")</f>
        <v/>
      </c>
      <c r="M54" s="67" t="str">
        <f>IF($E54="Q42026",COUNTIF($E$3:$E54,"Q42026"),"")</f>
        <v/>
      </c>
      <c r="N54" s="67" t="str">
        <f>IF($E54="Backlog",COUNTIF($E$3:$E54,"Backlog"),"")</f>
        <v/>
      </c>
    </row>
    <row r="55" spans="1:14" ht="24.75" customHeight="1">
      <c r="A55" s="65">
        <v>53</v>
      </c>
      <c r="B55" s="16"/>
      <c r="C55" s="17"/>
      <c r="D55" s="17"/>
      <c r="E55" s="17"/>
      <c r="F55" s="17"/>
      <c r="G55" s="17"/>
      <c r="H55" s="66" t="str">
        <f>IF(C55="XXL (&gt;160h)",168,IF(C55="XL (&gt;40h)",48,IF(C55="L (20-40h)",30,IF(C55="M (10-20h)",15,IF(C55="S (&lt;10h)",5,"")))))</f>
        <v/>
      </c>
      <c r="I55" s="16"/>
      <c r="J55" s="67" t="str">
        <f>IF($E55="Q12026",COUNTIF($E$3:$E55,"Q12026"),"")</f>
        <v/>
      </c>
      <c r="K55" s="67" t="str">
        <f>IF($E55="Q22026",COUNTIF($E$3:$E55,"Q22026"),"")</f>
        <v/>
      </c>
      <c r="L55" s="67" t="str">
        <f>IF($E55="Q32026",COUNTIF($E$3:$E55,"Q32026"),"")</f>
        <v/>
      </c>
      <c r="M55" s="67" t="str">
        <f>IF($E55="Q42026",COUNTIF($E$3:$E55,"Q42026"),"")</f>
        <v/>
      </c>
      <c r="N55" s="67" t="str">
        <f>IF($E55="Backlog",COUNTIF($E$3:$E55,"Backlog"),"")</f>
        <v/>
      </c>
    </row>
    <row r="56" spans="1:14" ht="24.75" customHeight="1">
      <c r="A56" s="68">
        <v>54</v>
      </c>
      <c r="B56" s="18"/>
      <c r="C56" s="19"/>
      <c r="D56" s="19"/>
      <c r="E56" s="19"/>
      <c r="F56" s="19"/>
      <c r="G56" s="19"/>
      <c r="H56" s="69" t="str">
        <f>IF(C56="XXL (&gt;160h)",168,IF(C56="XL (&gt;40h)",48,IF(C56="L (20-40h)",30,IF(C56="M (10-20h)",15,IF(C56="S (&lt;10h)",5,"")))))</f>
        <v/>
      </c>
      <c r="I56" s="18"/>
      <c r="J56" s="67" t="str">
        <f>IF($E56="Q12026",COUNTIF($E$3:$E56,"Q12026"),"")</f>
        <v/>
      </c>
      <c r="K56" s="67" t="str">
        <f>IF($E56="Q22026",COUNTIF($E$3:$E56,"Q22026"),"")</f>
        <v/>
      </c>
      <c r="L56" s="67" t="str">
        <f>IF($E56="Q32026",COUNTIF($E$3:$E56,"Q32026"),"")</f>
        <v/>
      </c>
      <c r="M56" s="67" t="str">
        <f>IF($E56="Q42026",COUNTIF($E$3:$E56,"Q42026"),"")</f>
        <v/>
      </c>
      <c r="N56" s="67" t="str">
        <f>IF($E56="Backlog",COUNTIF($E$3:$E56,"Backlog"),"")</f>
        <v/>
      </c>
    </row>
    <row r="57" spans="1:14" ht="24.75" customHeight="1">
      <c r="A57" s="65">
        <v>55</v>
      </c>
      <c r="B57" s="16"/>
      <c r="C57" s="17"/>
      <c r="D57" s="17"/>
      <c r="E57" s="17"/>
      <c r="F57" s="17"/>
      <c r="G57" s="17"/>
      <c r="H57" s="66" t="str">
        <f>IF(C57="XXL (&gt;160h)",168,IF(C57="XL (&gt;40h)",48,IF(C57="L (20-40h)",30,IF(C57="M (10-20h)",15,IF(C57="S (&lt;10h)",5,"")))))</f>
        <v/>
      </c>
      <c r="I57" s="16"/>
      <c r="J57" s="67" t="str">
        <f>IF($E57="Q12026",COUNTIF($E$3:$E57,"Q12026"),"")</f>
        <v/>
      </c>
      <c r="K57" s="67" t="str">
        <f>IF($E57="Q22026",COUNTIF($E$3:$E57,"Q22026"),"")</f>
        <v/>
      </c>
      <c r="L57" s="67" t="str">
        <f>IF($E57="Q32026",COUNTIF($E$3:$E57,"Q32026"),"")</f>
        <v/>
      </c>
      <c r="M57" s="67" t="str">
        <f>IF($E57="Q42026",COUNTIF($E$3:$E57,"Q42026"),"")</f>
        <v/>
      </c>
      <c r="N57" s="67" t="str">
        <f>IF($E57="Backlog",COUNTIF($E$3:$E57,"Backlog"),"")</f>
        <v/>
      </c>
    </row>
    <row r="58" spans="1:14" ht="24.75" customHeight="1">
      <c r="A58" s="68">
        <v>56</v>
      </c>
      <c r="B58" s="18"/>
      <c r="C58" s="19"/>
      <c r="D58" s="19"/>
      <c r="E58" s="19"/>
      <c r="F58" s="19"/>
      <c r="G58" s="19"/>
      <c r="H58" s="69" t="str">
        <f>IF(C58="XXL (&gt;160h)",168,IF(C58="XL (&gt;40h)",48,IF(C58="L (20-40h)",30,IF(C58="M (10-20h)",15,IF(C58="S (&lt;10h)",5,"")))))</f>
        <v/>
      </c>
      <c r="I58" s="18"/>
      <c r="J58" s="67" t="str">
        <f>IF($E58="Q12026",COUNTIF($E$3:$E58,"Q12026"),"")</f>
        <v/>
      </c>
      <c r="K58" s="67" t="str">
        <f>IF($E58="Q22026",COUNTIF($E$3:$E58,"Q22026"),"")</f>
        <v/>
      </c>
      <c r="L58" s="67" t="str">
        <f>IF($E58="Q32026",COUNTIF($E$3:$E58,"Q32026"),"")</f>
        <v/>
      </c>
      <c r="M58" s="67" t="str">
        <f>IF($E58="Q42026",COUNTIF($E$3:$E58,"Q42026"),"")</f>
        <v/>
      </c>
      <c r="N58" s="67" t="str">
        <f>IF($E58="Backlog",COUNTIF($E$3:$E58,"Backlog"),"")</f>
        <v/>
      </c>
    </row>
    <row r="59" spans="1:14" ht="24.75" customHeight="1">
      <c r="A59" s="65">
        <v>57</v>
      </c>
      <c r="B59" s="16"/>
      <c r="C59" s="17"/>
      <c r="D59" s="17"/>
      <c r="E59" s="17"/>
      <c r="F59" s="17"/>
      <c r="G59" s="17"/>
      <c r="H59" s="66" t="str">
        <f>IF(C59="XXL (&gt;160h)",168,IF(C59="XL (&gt;40h)",48,IF(C59="L (20-40h)",30,IF(C59="M (10-20h)",15,IF(C59="S (&lt;10h)",5,"")))))</f>
        <v/>
      </c>
      <c r="I59" s="16"/>
      <c r="J59" s="67" t="str">
        <f>IF($E59="Q12026",COUNTIF($E$3:$E59,"Q12026"),"")</f>
        <v/>
      </c>
      <c r="K59" s="67" t="str">
        <f>IF($E59="Q22026",COUNTIF($E$3:$E59,"Q22026"),"")</f>
        <v/>
      </c>
      <c r="L59" s="67" t="str">
        <f>IF($E59="Q32026",COUNTIF($E$3:$E59,"Q32026"),"")</f>
        <v/>
      </c>
      <c r="M59" s="67" t="str">
        <f>IF($E59="Q42026",COUNTIF($E$3:$E59,"Q42026"),"")</f>
        <v/>
      </c>
      <c r="N59" s="67" t="str">
        <f>IF($E59="Backlog",COUNTIF($E$3:$E59,"Backlog"),"")</f>
        <v/>
      </c>
    </row>
    <row r="60" spans="1:14" ht="24.75" customHeight="1">
      <c r="A60" s="68">
        <v>58</v>
      </c>
      <c r="B60" s="18"/>
      <c r="C60" s="19"/>
      <c r="D60" s="19"/>
      <c r="E60" s="19"/>
      <c r="F60" s="19"/>
      <c r="G60" s="19"/>
      <c r="H60" s="69" t="str">
        <f>IF(C60="XXL (&gt;160h)",168,IF(C60="XL (&gt;40h)",48,IF(C60="L (20-40h)",30,IF(C60="M (10-20h)",15,IF(C60="S (&lt;10h)",5,"")))))</f>
        <v/>
      </c>
      <c r="I60" s="18"/>
      <c r="J60" s="67" t="str">
        <f>IF($E60="Q12026",COUNTIF($E$3:$E60,"Q12026"),"")</f>
        <v/>
      </c>
      <c r="K60" s="67" t="str">
        <f>IF($E60="Q22026",COUNTIF($E$3:$E60,"Q22026"),"")</f>
        <v/>
      </c>
      <c r="L60" s="67" t="str">
        <f>IF($E60="Q32026",COUNTIF($E$3:$E60,"Q32026"),"")</f>
        <v/>
      </c>
      <c r="M60" s="67" t="str">
        <f>IF($E60="Q42026",COUNTIF($E$3:$E60,"Q42026"),"")</f>
        <v/>
      </c>
      <c r="N60" s="67" t="str">
        <f>IF($E60="Backlog",COUNTIF($E$3:$E60,"Backlog"),"")</f>
        <v/>
      </c>
    </row>
    <row r="61" spans="1:14" ht="24.75" customHeight="1">
      <c r="A61" s="65">
        <v>59</v>
      </c>
      <c r="B61" s="16"/>
      <c r="C61" s="17"/>
      <c r="D61" s="17"/>
      <c r="E61" s="17"/>
      <c r="F61" s="17"/>
      <c r="G61" s="17"/>
      <c r="H61" s="66" t="str">
        <f>IF(C61="XXL (&gt;160h)",168,IF(C61="XL (&gt;40h)",48,IF(C61="L (20-40h)",30,IF(C61="M (10-20h)",15,IF(C61="S (&lt;10h)",5,"")))))</f>
        <v/>
      </c>
      <c r="I61" s="16"/>
      <c r="J61" s="67" t="str">
        <f>IF($E61="Q12026",COUNTIF($E$3:$E61,"Q12026"),"")</f>
        <v/>
      </c>
      <c r="K61" s="67" t="str">
        <f>IF($E61="Q22026",COUNTIF($E$3:$E61,"Q22026"),"")</f>
        <v/>
      </c>
      <c r="L61" s="67" t="str">
        <f>IF($E61="Q32026",COUNTIF($E$3:$E61,"Q32026"),"")</f>
        <v/>
      </c>
      <c r="M61" s="67" t="str">
        <f>IF($E61="Q42026",COUNTIF($E$3:$E61,"Q42026"),"")</f>
        <v/>
      </c>
      <c r="N61" s="67" t="str">
        <f>IF($E61="Backlog",COUNTIF($E$3:$E61,"Backlog"),"")</f>
        <v/>
      </c>
    </row>
    <row r="62" spans="1:14" ht="24.75" customHeight="1">
      <c r="A62" s="68">
        <v>60</v>
      </c>
      <c r="B62" s="18"/>
      <c r="C62" s="19"/>
      <c r="D62" s="19"/>
      <c r="E62" s="19"/>
      <c r="F62" s="19"/>
      <c r="G62" s="19"/>
      <c r="H62" s="69" t="str">
        <f>IF(C62="XXL (&gt;160h)",168,IF(C62="XL (&gt;40h)",48,IF(C62="L (20-40h)",30,IF(C62="M (10-20h)",15,IF(C62="S (&lt;10h)",5,"")))))</f>
        <v/>
      </c>
      <c r="I62" s="18"/>
      <c r="J62" s="67" t="str">
        <f>IF($E62="Q12026",COUNTIF($E$3:$E62,"Q12026"),"")</f>
        <v/>
      </c>
      <c r="K62" s="67" t="str">
        <f>IF($E62="Q22026",COUNTIF($E$3:$E62,"Q22026"),"")</f>
        <v/>
      </c>
      <c r="L62" s="67" t="str">
        <f>IF($E62="Q32026",COUNTIF($E$3:$E62,"Q32026"),"")</f>
        <v/>
      </c>
      <c r="M62" s="67" t="str">
        <f>IF($E62="Q42026",COUNTIF($E$3:$E62,"Q42026"),"")</f>
        <v/>
      </c>
      <c r="N62" s="67" t="str">
        <f>IF($E62="Backlog",COUNTIF($E$3:$E62,"Backlog"),"")</f>
        <v/>
      </c>
    </row>
    <row r="63" spans="1:14" ht="24.75" customHeight="1">
      <c r="A63" s="65">
        <v>61</v>
      </c>
      <c r="B63" s="16"/>
      <c r="C63" s="17"/>
      <c r="D63" s="17"/>
      <c r="E63" s="17"/>
      <c r="F63" s="17"/>
      <c r="G63" s="17"/>
      <c r="H63" s="66" t="str">
        <f>IF(C63="XXL (&gt;160h)",168,IF(C63="XL (&gt;40h)",48,IF(C63="L (20-40h)",30,IF(C63="M (10-20h)",15,IF(C63="S (&lt;10h)",5,"")))))</f>
        <v/>
      </c>
      <c r="I63" s="16"/>
      <c r="J63" s="67" t="str">
        <f>IF($E63="Q12026",COUNTIF($E$3:$E63,"Q12026"),"")</f>
        <v/>
      </c>
      <c r="K63" s="67" t="str">
        <f>IF($E63="Q22026",COUNTIF($E$3:$E63,"Q22026"),"")</f>
        <v/>
      </c>
      <c r="L63" s="67" t="str">
        <f>IF($E63="Q32026",COUNTIF($E$3:$E63,"Q32026"),"")</f>
        <v/>
      </c>
      <c r="M63" s="67" t="str">
        <f>IF($E63="Q42026",COUNTIF($E$3:$E63,"Q42026"),"")</f>
        <v/>
      </c>
      <c r="N63" s="67" t="str">
        <f>IF($E63="Backlog",COUNTIF($E$3:$E63,"Backlog"),"")</f>
        <v/>
      </c>
    </row>
    <row r="64" spans="1:14" ht="24.75" customHeight="1">
      <c r="A64" s="68">
        <v>62</v>
      </c>
      <c r="B64" s="18"/>
      <c r="C64" s="19"/>
      <c r="D64" s="19"/>
      <c r="E64" s="19"/>
      <c r="F64" s="19"/>
      <c r="G64" s="19"/>
      <c r="H64" s="69" t="str">
        <f>IF(C64="XXL (&gt;160h)",168,IF(C64="XL (&gt;40h)",48,IF(C64="L (20-40h)",30,IF(C64="M (10-20h)",15,IF(C64="S (&lt;10h)",5,"")))))</f>
        <v/>
      </c>
      <c r="I64" s="18"/>
      <c r="J64" s="67" t="str">
        <f>IF($E64="Q12026",COUNTIF($E$3:$E64,"Q12026"),"")</f>
        <v/>
      </c>
      <c r="K64" s="67" t="str">
        <f>IF($E64="Q22026",COUNTIF($E$3:$E64,"Q22026"),"")</f>
        <v/>
      </c>
      <c r="L64" s="67" t="str">
        <f>IF($E64="Q32026",COUNTIF($E$3:$E64,"Q32026"),"")</f>
        <v/>
      </c>
      <c r="M64" s="67" t="str">
        <f>IF($E64="Q42026",COUNTIF($E$3:$E64,"Q42026"),"")</f>
        <v/>
      </c>
      <c r="N64" s="67" t="str">
        <f>IF($E64="Backlog",COUNTIF($E$3:$E64,"Backlog"),"")</f>
        <v/>
      </c>
    </row>
    <row r="65" spans="1:14" ht="24.75" customHeight="1">
      <c r="A65" s="65">
        <v>63</v>
      </c>
      <c r="B65" s="16"/>
      <c r="C65" s="17"/>
      <c r="D65" s="17"/>
      <c r="E65" s="17"/>
      <c r="F65" s="17"/>
      <c r="G65" s="17"/>
      <c r="H65" s="66" t="str">
        <f>IF(C65="XXL (&gt;160h)",168,IF(C65="XL (&gt;40h)",48,IF(C65="L (20-40h)",30,IF(C65="M (10-20h)",15,IF(C65="S (&lt;10h)",5,"")))))</f>
        <v/>
      </c>
      <c r="I65" s="16"/>
      <c r="J65" s="67" t="str">
        <f>IF($E65="Q12026",COUNTIF($E$3:$E65,"Q12026"),"")</f>
        <v/>
      </c>
      <c r="K65" s="67" t="str">
        <f>IF($E65="Q22026",COUNTIF($E$3:$E65,"Q22026"),"")</f>
        <v/>
      </c>
      <c r="L65" s="67" t="str">
        <f>IF($E65="Q32026",COUNTIF($E$3:$E65,"Q32026"),"")</f>
        <v/>
      </c>
      <c r="M65" s="67" t="str">
        <f>IF($E65="Q42026",COUNTIF($E$3:$E65,"Q42026"),"")</f>
        <v/>
      </c>
      <c r="N65" s="67" t="str">
        <f>IF($E65="Backlog",COUNTIF($E$3:$E65,"Backlog"),"")</f>
        <v/>
      </c>
    </row>
    <row r="66" spans="1:14" ht="24.75" customHeight="1">
      <c r="A66" s="68">
        <v>64</v>
      </c>
      <c r="B66" s="18"/>
      <c r="C66" s="19"/>
      <c r="D66" s="19"/>
      <c r="E66" s="19"/>
      <c r="F66" s="19"/>
      <c r="G66" s="19"/>
      <c r="H66" s="69" t="str">
        <f>IF(C66="XXL (&gt;160h)",168,IF(C66="XL (&gt;40h)",48,IF(C66="L (20-40h)",30,IF(C66="M (10-20h)",15,IF(C66="S (&lt;10h)",5,"")))))</f>
        <v/>
      </c>
      <c r="I66" s="18"/>
      <c r="J66" s="67" t="str">
        <f>IF($E66="Q12026",COUNTIF($E$3:$E66,"Q12026"),"")</f>
        <v/>
      </c>
      <c r="K66" s="67" t="str">
        <f>IF($E66="Q22026",COUNTIF($E$3:$E66,"Q22026"),"")</f>
        <v/>
      </c>
      <c r="L66" s="67" t="str">
        <f>IF($E66="Q32026",COUNTIF($E$3:$E66,"Q32026"),"")</f>
        <v/>
      </c>
      <c r="M66" s="67" t="str">
        <f>IF($E66="Q42026",COUNTIF($E$3:$E66,"Q42026"),"")</f>
        <v/>
      </c>
      <c r="N66" s="67" t="str">
        <f>IF($E66="Backlog",COUNTIF($E$3:$E66,"Backlog"),"")</f>
        <v/>
      </c>
    </row>
    <row r="67" spans="1:14" ht="24.75" customHeight="1">
      <c r="A67" s="65">
        <v>65</v>
      </c>
      <c r="B67" s="16"/>
      <c r="C67" s="17"/>
      <c r="D67" s="17"/>
      <c r="E67" s="17"/>
      <c r="F67" s="17"/>
      <c r="G67" s="17"/>
      <c r="H67" s="66" t="str">
        <f>IF(C67="XXL (&gt;160h)",168,IF(C67="XL (&gt;40h)",48,IF(C67="L (20-40h)",30,IF(C67="M (10-20h)",15,IF(C67="S (&lt;10h)",5,"")))))</f>
        <v/>
      </c>
      <c r="I67" s="16"/>
      <c r="J67" s="67" t="str">
        <f>IF($E67="Q12026",COUNTIF($E$3:$E67,"Q12026"),"")</f>
        <v/>
      </c>
      <c r="K67" s="67" t="str">
        <f>IF($E67="Q22026",COUNTIF($E$3:$E67,"Q22026"),"")</f>
        <v/>
      </c>
      <c r="L67" s="67" t="str">
        <f>IF($E67="Q32026",COUNTIF($E$3:$E67,"Q32026"),"")</f>
        <v/>
      </c>
      <c r="M67" s="67" t="str">
        <f>IF($E67="Q42026",COUNTIF($E$3:$E67,"Q42026"),"")</f>
        <v/>
      </c>
      <c r="N67" s="67" t="str">
        <f>IF($E67="Backlog",COUNTIF($E$3:$E67,"Backlog"),"")</f>
        <v/>
      </c>
    </row>
    <row r="68" spans="1:14" ht="24.75" customHeight="1">
      <c r="A68" s="68">
        <v>66</v>
      </c>
      <c r="B68" s="18"/>
      <c r="C68" s="19"/>
      <c r="D68" s="19"/>
      <c r="E68" s="19"/>
      <c r="F68" s="19"/>
      <c r="G68" s="19"/>
      <c r="H68" s="69" t="str">
        <f>IF(C68="XXL (&gt;160h)",168,IF(C68="XL (&gt;40h)",48,IF(C68="L (20-40h)",30,IF(C68="M (10-20h)",15,IF(C68="S (&lt;10h)",5,"")))))</f>
        <v/>
      </c>
      <c r="I68" s="18"/>
      <c r="J68" s="67" t="str">
        <f>IF($E68="Q12026",COUNTIF($E$3:$E68,"Q12026"),"")</f>
        <v/>
      </c>
      <c r="K68" s="67" t="str">
        <f>IF($E68="Q22026",COUNTIF($E$3:$E68,"Q22026"),"")</f>
        <v/>
      </c>
      <c r="L68" s="67" t="str">
        <f>IF($E68="Q32026",COUNTIF($E$3:$E68,"Q32026"),"")</f>
        <v/>
      </c>
      <c r="M68" s="67" t="str">
        <f>IF($E68="Q42026",COUNTIF($E$3:$E68,"Q42026"),"")</f>
        <v/>
      </c>
      <c r="N68" s="67" t="str">
        <f>IF($E68="Backlog",COUNTIF($E$3:$E68,"Backlog"),"")</f>
        <v/>
      </c>
    </row>
    <row r="69" spans="1:14" ht="24.75" customHeight="1">
      <c r="A69" s="65">
        <v>67</v>
      </c>
      <c r="B69" s="16"/>
      <c r="C69" s="17"/>
      <c r="D69" s="17"/>
      <c r="E69" s="17"/>
      <c r="F69" s="17"/>
      <c r="G69" s="17"/>
      <c r="H69" s="66" t="str">
        <f>IF(C69="XXL (&gt;160h)",168,IF(C69="XL (&gt;40h)",48,IF(C69="L (20-40h)",30,IF(C69="M (10-20h)",15,IF(C69="S (&lt;10h)",5,"")))))</f>
        <v/>
      </c>
      <c r="I69" s="16"/>
      <c r="J69" s="67" t="str">
        <f>IF($E69="Q12026",COUNTIF($E$3:$E69,"Q12026"),"")</f>
        <v/>
      </c>
      <c r="K69" s="67" t="str">
        <f>IF($E69="Q22026",COUNTIF($E$3:$E69,"Q22026"),"")</f>
        <v/>
      </c>
      <c r="L69" s="67" t="str">
        <f>IF($E69="Q32026",COUNTIF($E$3:$E69,"Q32026"),"")</f>
        <v/>
      </c>
      <c r="M69" s="67" t="str">
        <f>IF($E69="Q42026",COUNTIF($E$3:$E69,"Q42026"),"")</f>
        <v/>
      </c>
      <c r="N69" s="67" t="str">
        <f>IF($E69="Backlog",COUNTIF($E$3:$E69,"Backlog"),"")</f>
        <v/>
      </c>
    </row>
    <row r="70" spans="1:14" ht="24.75" customHeight="1">
      <c r="A70" s="68">
        <v>68</v>
      </c>
      <c r="B70" s="18"/>
      <c r="C70" s="19"/>
      <c r="D70" s="19"/>
      <c r="E70" s="19"/>
      <c r="F70" s="19"/>
      <c r="G70" s="19"/>
      <c r="H70" s="69" t="str">
        <f>IF(C70="XXL (&gt;160h)",168,IF(C70="XL (&gt;40h)",48,IF(C70="L (20-40h)",30,IF(C70="M (10-20h)",15,IF(C70="S (&lt;10h)",5,"")))))</f>
        <v/>
      </c>
      <c r="I70" s="18"/>
      <c r="J70" s="67" t="str">
        <f>IF($E70="Q12026",COUNTIF($E$3:$E70,"Q12026"),"")</f>
        <v/>
      </c>
      <c r="K70" s="67" t="str">
        <f>IF($E70="Q22026",COUNTIF($E$3:$E70,"Q22026"),"")</f>
        <v/>
      </c>
      <c r="L70" s="67" t="str">
        <f>IF($E70="Q32026",COUNTIF($E$3:$E70,"Q32026"),"")</f>
        <v/>
      </c>
      <c r="M70" s="67" t="str">
        <f>IF($E70="Q42026",COUNTIF($E$3:$E70,"Q42026"),"")</f>
        <v/>
      </c>
      <c r="N70" s="67" t="str">
        <f>IF($E70="Backlog",COUNTIF($E$3:$E70,"Backlog"),"")</f>
        <v/>
      </c>
    </row>
    <row r="71" spans="1:14" ht="24.75" customHeight="1">
      <c r="A71" s="65">
        <v>69</v>
      </c>
      <c r="B71" s="16"/>
      <c r="C71" s="17"/>
      <c r="D71" s="17"/>
      <c r="E71" s="17"/>
      <c r="F71" s="17"/>
      <c r="G71" s="17"/>
      <c r="H71" s="66" t="str">
        <f>IF(C71="XXL (&gt;160h)",168,IF(C71="XL (&gt;40h)",48,IF(C71="L (20-40h)",30,IF(C71="M (10-20h)",15,IF(C71="S (&lt;10h)",5,"")))))</f>
        <v/>
      </c>
      <c r="I71" s="16"/>
      <c r="J71" s="67" t="str">
        <f>IF($E71="Q12026",COUNTIF($E$3:$E71,"Q12026"),"")</f>
        <v/>
      </c>
      <c r="K71" s="67" t="str">
        <f>IF($E71="Q22026",COUNTIF($E$3:$E71,"Q22026"),"")</f>
        <v/>
      </c>
      <c r="L71" s="67" t="str">
        <f>IF($E71="Q32026",COUNTIF($E$3:$E71,"Q32026"),"")</f>
        <v/>
      </c>
      <c r="M71" s="67" t="str">
        <f>IF($E71="Q42026",COUNTIF($E$3:$E71,"Q42026"),"")</f>
        <v/>
      </c>
      <c r="N71" s="67" t="str">
        <f>IF($E71="Backlog",COUNTIF($E$3:$E71,"Backlog"),"")</f>
        <v/>
      </c>
    </row>
    <row r="72" spans="1:14" ht="24.75" customHeight="1">
      <c r="A72" s="68">
        <v>70</v>
      </c>
      <c r="B72" s="18"/>
      <c r="C72" s="19"/>
      <c r="D72" s="19"/>
      <c r="E72" s="19"/>
      <c r="F72" s="19"/>
      <c r="G72" s="19"/>
      <c r="H72" s="69" t="str">
        <f>IF(C72="XXL (&gt;160h)",168,IF(C72="XL (&gt;40h)",48,IF(C72="L (20-40h)",30,IF(C72="M (10-20h)",15,IF(C72="S (&lt;10h)",5,"")))))</f>
        <v/>
      </c>
      <c r="I72" s="18"/>
      <c r="J72" s="67" t="str">
        <f>IF($E72="Q12026",COUNTIF($E$3:$E72,"Q12026"),"")</f>
        <v/>
      </c>
      <c r="K72" s="67" t="str">
        <f>IF($E72="Q22026",COUNTIF($E$3:$E72,"Q22026"),"")</f>
        <v/>
      </c>
      <c r="L72" s="67" t="str">
        <f>IF($E72="Q32026",COUNTIF($E$3:$E72,"Q32026"),"")</f>
        <v/>
      </c>
      <c r="M72" s="67" t="str">
        <f>IF($E72="Q42026",COUNTIF($E$3:$E72,"Q42026"),"")</f>
        <v/>
      </c>
      <c r="N72" s="67" t="str">
        <f>IF($E72="Backlog",COUNTIF($E$3:$E72,"Backlog"),"")</f>
        <v/>
      </c>
    </row>
    <row r="73" spans="1:14" ht="24.75" customHeight="1">
      <c r="A73" s="65">
        <v>71</v>
      </c>
      <c r="B73" s="16"/>
      <c r="C73" s="17"/>
      <c r="D73" s="17"/>
      <c r="E73" s="17"/>
      <c r="F73" s="17"/>
      <c r="G73" s="17"/>
      <c r="H73" s="66" t="str">
        <f>IF(C73="XXL (&gt;160h)",168,IF(C73="XL (&gt;40h)",48,IF(C73="L (20-40h)",30,IF(C73="M (10-20h)",15,IF(C73="S (&lt;10h)",5,"")))))</f>
        <v/>
      </c>
      <c r="I73" s="16"/>
      <c r="J73" s="67" t="str">
        <f>IF($E73="Q12026",COUNTIF($E$3:$E73,"Q12026"),"")</f>
        <v/>
      </c>
      <c r="K73" s="67" t="str">
        <f>IF($E73="Q22026",COUNTIF($E$3:$E73,"Q22026"),"")</f>
        <v/>
      </c>
      <c r="L73" s="67" t="str">
        <f>IF($E73="Q32026",COUNTIF($E$3:$E73,"Q32026"),"")</f>
        <v/>
      </c>
      <c r="M73" s="67" t="str">
        <f>IF($E73="Q42026",COUNTIF($E$3:$E73,"Q42026"),"")</f>
        <v/>
      </c>
      <c r="N73" s="67" t="str">
        <f>IF($E73="Backlog",COUNTIF($E$3:$E73,"Backlog"),"")</f>
        <v/>
      </c>
    </row>
    <row r="74" spans="1:14" ht="24.75" customHeight="1">
      <c r="A74" s="68">
        <v>72</v>
      </c>
      <c r="B74" s="18"/>
      <c r="C74" s="19"/>
      <c r="D74" s="19"/>
      <c r="E74" s="19"/>
      <c r="F74" s="19"/>
      <c r="G74" s="19"/>
      <c r="H74" s="69" t="str">
        <f>IF(C74="XXL (&gt;160h)",168,IF(C74="XL (&gt;40h)",48,IF(C74="L (20-40h)",30,IF(C74="M (10-20h)",15,IF(C74="S (&lt;10h)",5,"")))))</f>
        <v/>
      </c>
      <c r="I74" s="18"/>
      <c r="J74" s="67" t="str">
        <f>IF($E74="Q12026",COUNTIF($E$3:$E74,"Q12026"),"")</f>
        <v/>
      </c>
      <c r="K74" s="67" t="str">
        <f>IF($E74="Q22026",COUNTIF($E$3:$E74,"Q22026"),"")</f>
        <v/>
      </c>
      <c r="L74" s="67" t="str">
        <f>IF($E74="Q32026",COUNTIF($E$3:$E74,"Q32026"),"")</f>
        <v/>
      </c>
      <c r="M74" s="67" t="str">
        <f>IF($E74="Q42026",COUNTIF($E$3:$E74,"Q42026"),"")</f>
        <v/>
      </c>
      <c r="N74" s="67" t="str">
        <f>IF($E74="Backlog",COUNTIF($E$3:$E74,"Backlog"),"")</f>
        <v/>
      </c>
    </row>
    <row r="75" spans="1:14" ht="24.75" customHeight="1">
      <c r="A75" s="65">
        <v>73</v>
      </c>
      <c r="B75" s="16"/>
      <c r="C75" s="17"/>
      <c r="D75" s="17"/>
      <c r="E75" s="17"/>
      <c r="F75" s="17"/>
      <c r="G75" s="17"/>
      <c r="H75" s="66" t="str">
        <f>IF(C75="XXL (&gt;160h)",168,IF(C75="XL (&gt;40h)",48,IF(C75="L (20-40h)",30,IF(C75="M (10-20h)",15,IF(C75="S (&lt;10h)",5,"")))))</f>
        <v/>
      </c>
      <c r="I75" s="16"/>
      <c r="J75" s="67" t="str">
        <f>IF($E75="Q12026",COUNTIF($E$3:$E75,"Q12026"),"")</f>
        <v/>
      </c>
      <c r="K75" s="67" t="str">
        <f>IF($E75="Q22026",COUNTIF($E$3:$E75,"Q22026"),"")</f>
        <v/>
      </c>
      <c r="L75" s="67" t="str">
        <f>IF($E75="Q32026",COUNTIF($E$3:$E75,"Q32026"),"")</f>
        <v/>
      </c>
      <c r="M75" s="67" t="str">
        <f>IF($E75="Q42026",COUNTIF($E$3:$E75,"Q42026"),"")</f>
        <v/>
      </c>
      <c r="N75" s="67" t="str">
        <f>IF($E75="Backlog",COUNTIF($E$3:$E75,"Backlog"),"")</f>
        <v/>
      </c>
    </row>
    <row r="76" spans="1:14" ht="24.75" customHeight="1">
      <c r="A76" s="68">
        <v>74</v>
      </c>
      <c r="B76" s="18"/>
      <c r="C76" s="19"/>
      <c r="D76" s="19"/>
      <c r="E76" s="19"/>
      <c r="F76" s="19"/>
      <c r="G76" s="19"/>
      <c r="H76" s="69" t="str">
        <f>IF(C76="XXL (&gt;160h)",168,IF(C76="XL (&gt;40h)",48,IF(C76="L (20-40h)",30,IF(C76="M (10-20h)",15,IF(C76="S (&lt;10h)",5,"")))))</f>
        <v/>
      </c>
      <c r="I76" s="18"/>
      <c r="J76" s="67" t="str">
        <f>IF($E76="Q12026",COUNTIF($E$3:$E76,"Q12026"),"")</f>
        <v/>
      </c>
      <c r="K76" s="67" t="str">
        <f>IF($E76="Q22026",COUNTIF($E$3:$E76,"Q22026"),"")</f>
        <v/>
      </c>
      <c r="L76" s="67" t="str">
        <f>IF($E76="Q32026",COUNTIF($E$3:$E76,"Q32026"),"")</f>
        <v/>
      </c>
      <c r="M76" s="67" t="str">
        <f>IF($E76="Q42026",COUNTIF($E$3:$E76,"Q42026"),"")</f>
        <v/>
      </c>
      <c r="N76" s="67" t="str">
        <f>IF($E76="Backlog",COUNTIF($E$3:$E76,"Backlog"),"")</f>
        <v/>
      </c>
    </row>
    <row r="77" spans="1:14" ht="24.75" customHeight="1">
      <c r="A77" s="65">
        <v>75</v>
      </c>
      <c r="B77" s="16"/>
      <c r="C77" s="17"/>
      <c r="D77" s="17"/>
      <c r="E77" s="17"/>
      <c r="F77" s="17"/>
      <c r="G77" s="17"/>
      <c r="H77" s="66" t="str">
        <f>IF(C77="XXL (&gt;160h)",168,IF(C77="XL (&gt;40h)",48,IF(C77="L (20-40h)",30,IF(C77="M (10-20h)",15,IF(C77="S (&lt;10h)",5,"")))))</f>
        <v/>
      </c>
      <c r="I77" s="16"/>
      <c r="J77" s="67" t="str">
        <f>IF($E77="Q12026",COUNTIF($E$3:$E77,"Q12026"),"")</f>
        <v/>
      </c>
      <c r="K77" s="67" t="str">
        <f>IF($E77="Q22026",COUNTIF($E$3:$E77,"Q22026"),"")</f>
        <v/>
      </c>
      <c r="L77" s="67" t="str">
        <f>IF($E77="Q32026",COUNTIF($E$3:$E77,"Q32026"),"")</f>
        <v/>
      </c>
      <c r="M77" s="67" t="str">
        <f>IF($E77="Q42026",COUNTIF($E$3:$E77,"Q42026"),"")</f>
        <v/>
      </c>
      <c r="N77" s="67" t="str">
        <f>IF($E77="Backlog",COUNTIF($E$3:$E77,"Backlog"),"")</f>
        <v/>
      </c>
    </row>
    <row r="78" spans="1:14" ht="24.75" customHeight="1">
      <c r="A78" s="68">
        <v>76</v>
      </c>
      <c r="B78" s="18"/>
      <c r="C78" s="19"/>
      <c r="D78" s="19"/>
      <c r="E78" s="19"/>
      <c r="F78" s="19"/>
      <c r="G78" s="19"/>
      <c r="H78" s="69" t="str">
        <f>IF(C78="XXL (&gt;160h)",168,IF(C78="XL (&gt;40h)",48,IF(C78="L (20-40h)",30,IF(C78="M (10-20h)",15,IF(C78="S (&lt;10h)",5,"")))))</f>
        <v/>
      </c>
      <c r="I78" s="18"/>
      <c r="J78" s="67" t="str">
        <f>IF($E78="Q12026",COUNTIF($E$3:$E78,"Q12026"),"")</f>
        <v/>
      </c>
      <c r="K78" s="67" t="str">
        <f>IF($E78="Q22026",COUNTIF($E$3:$E78,"Q22026"),"")</f>
        <v/>
      </c>
      <c r="L78" s="67" t="str">
        <f>IF($E78="Q32026",COUNTIF($E$3:$E78,"Q32026"),"")</f>
        <v/>
      </c>
      <c r="M78" s="67" t="str">
        <f>IF($E78="Q42026",COUNTIF($E$3:$E78,"Q42026"),"")</f>
        <v/>
      </c>
      <c r="N78" s="67" t="str">
        <f>IF($E78="Backlog",COUNTIF($E$3:$E78,"Backlog"),"")</f>
        <v/>
      </c>
    </row>
    <row r="79" spans="1:14" ht="24.75" customHeight="1">
      <c r="A79" s="65">
        <v>77</v>
      </c>
      <c r="B79" s="16"/>
      <c r="C79" s="17"/>
      <c r="D79" s="17"/>
      <c r="E79" s="17"/>
      <c r="F79" s="17"/>
      <c r="G79" s="17"/>
      <c r="H79" s="66" t="str">
        <f>IF(C79="XXL (&gt;160h)",168,IF(C79="XL (&gt;40h)",48,IF(C79="L (20-40h)",30,IF(C79="M (10-20h)",15,IF(C79="S (&lt;10h)",5,"")))))</f>
        <v/>
      </c>
      <c r="I79" s="16"/>
      <c r="J79" s="67" t="str">
        <f>IF($E79="Q12026",COUNTIF($E$3:$E79,"Q12026"),"")</f>
        <v/>
      </c>
      <c r="K79" s="67" t="str">
        <f>IF($E79="Q22026",COUNTIF($E$3:$E79,"Q22026"),"")</f>
        <v/>
      </c>
      <c r="L79" s="67" t="str">
        <f>IF($E79="Q32026",COUNTIF($E$3:$E79,"Q32026"),"")</f>
        <v/>
      </c>
      <c r="M79" s="67" t="str">
        <f>IF($E79="Q42026",COUNTIF($E$3:$E79,"Q42026"),"")</f>
        <v/>
      </c>
      <c r="N79" s="67" t="str">
        <f>IF($E79="Backlog",COUNTIF($E$3:$E79,"Backlog"),"")</f>
        <v/>
      </c>
    </row>
    <row r="80" spans="1:14" ht="24.75" customHeight="1">
      <c r="A80" s="68">
        <v>78</v>
      </c>
      <c r="B80" s="18"/>
      <c r="C80" s="19"/>
      <c r="D80" s="19"/>
      <c r="E80" s="19"/>
      <c r="F80" s="19"/>
      <c r="G80" s="19"/>
      <c r="H80" s="69" t="str">
        <f>IF(C80="XXL (&gt;160h)",168,IF(C80="XL (&gt;40h)",48,IF(C80="L (20-40h)",30,IF(C80="M (10-20h)",15,IF(C80="S (&lt;10h)",5,"")))))</f>
        <v/>
      </c>
      <c r="I80" s="18"/>
      <c r="J80" s="67" t="str">
        <f>IF($E80="Q12026",COUNTIF($E$3:$E80,"Q12026"),"")</f>
        <v/>
      </c>
      <c r="K80" s="67" t="str">
        <f>IF($E80="Q22026",COUNTIF($E$3:$E80,"Q22026"),"")</f>
        <v/>
      </c>
      <c r="L80" s="67" t="str">
        <f>IF($E80="Q32026",COUNTIF($E$3:$E80,"Q32026"),"")</f>
        <v/>
      </c>
      <c r="M80" s="67" t="str">
        <f>IF($E80="Q42026",COUNTIF($E$3:$E80,"Q42026"),"")</f>
        <v/>
      </c>
      <c r="N80" s="67" t="str">
        <f>IF($E80="Backlog",COUNTIF($E$3:$E80,"Backlog"),"")</f>
        <v/>
      </c>
    </row>
    <row r="81" spans="1:14" ht="24.75" customHeight="1">
      <c r="A81" s="65">
        <v>79</v>
      </c>
      <c r="B81" s="16"/>
      <c r="C81" s="17"/>
      <c r="D81" s="17"/>
      <c r="E81" s="17"/>
      <c r="F81" s="17"/>
      <c r="G81" s="17"/>
      <c r="H81" s="66" t="str">
        <f>IF(C81="XXL (&gt;160h)",168,IF(C81="XL (&gt;40h)",48,IF(C81="L (20-40h)",30,IF(C81="M (10-20h)",15,IF(C81="S (&lt;10h)",5,"")))))</f>
        <v/>
      </c>
      <c r="I81" s="16"/>
      <c r="J81" s="67" t="str">
        <f>IF($E81="Q12026",COUNTIF($E$3:$E81,"Q12026"),"")</f>
        <v/>
      </c>
      <c r="K81" s="67" t="str">
        <f>IF($E81="Q22026",COUNTIF($E$3:$E81,"Q22026"),"")</f>
        <v/>
      </c>
      <c r="L81" s="67" t="str">
        <f>IF($E81="Q32026",COUNTIF($E$3:$E81,"Q32026"),"")</f>
        <v/>
      </c>
      <c r="M81" s="67" t="str">
        <f>IF($E81="Q42026",COUNTIF($E$3:$E81,"Q42026"),"")</f>
        <v/>
      </c>
      <c r="N81" s="67" t="str">
        <f>IF($E81="Backlog",COUNTIF($E$3:$E81,"Backlog"),"")</f>
        <v/>
      </c>
    </row>
    <row r="82" spans="1:14" ht="24.75" customHeight="1">
      <c r="A82" s="68">
        <v>80</v>
      </c>
      <c r="B82" s="18"/>
      <c r="C82" s="19"/>
      <c r="D82" s="19"/>
      <c r="E82" s="19"/>
      <c r="F82" s="19"/>
      <c r="G82" s="19"/>
      <c r="H82" s="69" t="str">
        <f>IF(C82="XXL (&gt;160h)",168,IF(C82="XL (&gt;40h)",48,IF(C82="L (20-40h)",30,IF(C82="M (10-20h)",15,IF(C82="S (&lt;10h)",5,"")))))</f>
        <v/>
      </c>
      <c r="I82" s="18"/>
      <c r="J82" s="67" t="str">
        <f>IF($E82="Q12026",COUNTIF($E$3:$E82,"Q12026"),"")</f>
        <v/>
      </c>
      <c r="K82" s="67" t="str">
        <f>IF($E82="Q22026",COUNTIF($E$3:$E82,"Q22026"),"")</f>
        <v/>
      </c>
      <c r="L82" s="67" t="str">
        <f>IF($E82="Q32026",COUNTIF($E$3:$E82,"Q32026"),"")</f>
        <v/>
      </c>
      <c r="M82" s="67" t="str">
        <f>IF($E82="Q42026",COUNTIF($E$3:$E82,"Q42026"),"")</f>
        <v/>
      </c>
      <c r="N82" s="67" t="str">
        <f>IF($E82="Backlog",COUNTIF($E$3:$E82,"Backlog"),"")</f>
        <v/>
      </c>
    </row>
    <row r="83" spans="1:14" ht="21.75" customHeight="1">
      <c r="A83" s="128" t="s">
        <v>56</v>
      </c>
      <c r="B83" s="128"/>
      <c r="C83" s="128"/>
      <c r="D83" s="128"/>
      <c r="E83" s="128"/>
      <c r="F83" s="128"/>
      <c r="G83" s="128"/>
      <c r="H83" s="21">
        <f>SUM(H3:H82)</f>
        <v>918</v>
      </c>
      <c r="I83" s="71"/>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79" priority="2" operator="equal">
      <formula>"Strengthen"</formula>
    </cfRule>
    <cfRule type="cellIs" dxfId="78" priority="3" operator="equal">
      <formula>"Innovation"</formula>
    </cfRule>
    <cfRule type="cellIs" dxfId="77" priority="4" operator="equal">
      <formula>"Repair"</formula>
    </cfRule>
  </conditionalFormatting>
  <dataValidations count="5">
    <dataValidation type="list" allowBlank="1" sqref="D3:D82" xr:uid="{00000000-0002-0000-0300-000000000000}">
      <formula1>"Strengthen,Innovation,Repair"</formula1>
      <formula2>0</formula2>
    </dataValidation>
    <dataValidation type="list" allowBlank="1" sqref="C3:C82" xr:uid="{00000000-0002-0000-0300-000001000000}">
      <formula1>"XXL (&gt;160h),XL (&gt;40h),L (20-40h),M (10-20h),S (&lt;10h)"</formula1>
      <formula2>0</formula2>
    </dataValidation>
    <dataValidation type="list" allowBlank="1" sqref="E3:E82" xr:uid="{00000000-0002-0000-0300-000002000000}">
      <formula1>"Q12026,Q22026,Q32026,Q42026,Backlog"</formula1>
      <formula2>0</formula2>
    </dataValidation>
    <dataValidation type="list" allowBlank="1" sqref="F3:F82" xr:uid="{00000000-0002-0000-0300-000003000000}">
      <formula1>"Must,Should,Could,Won't"</formula1>
      <formula2>0</formula2>
    </dataValidation>
    <dataValidation type="list" allowBlank="1" sqref="G3:G82" xr:uid="{00000000-0002-0000-03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O87"/>
  <sheetViews>
    <sheetView showGridLines="0" tabSelected="1" zoomScaleNormal="100" workbookViewId="0">
      <pane xSplit="1" ySplit="2" topLeftCell="B3" activePane="bottomRight" state="frozen"/>
      <selection pane="bottomRight" activeCell="B10" sqref="B10"/>
      <selection pane="bottomLeft" activeCell="A3" sqref="A3"/>
      <selection pane="topRight" activeCell="B1" sqref="B1"/>
    </sheetView>
  </sheetViews>
  <sheetFormatPr defaultColWidth="8.7109375" defaultRowHeight="15"/>
  <cols>
    <col min="1" max="1" width="5" customWidth="1"/>
    <col min="2" max="2" width="64.28515625" customWidth="1"/>
    <col min="3" max="3" width="16" customWidth="1"/>
    <col min="4" max="4" width="14" customWidth="1"/>
    <col min="5" max="5" width="16" customWidth="1"/>
    <col min="6" max="7" width="12" customWidth="1"/>
    <col min="8" max="8" width="11" customWidth="1"/>
    <col min="9" max="9" width="125.28515625" customWidth="1"/>
    <col min="10" max="15" width="0.140625" hidden="1" customWidth="1"/>
    <col min="16" max="16" width="8.7109375" customWidth="1"/>
  </cols>
  <sheetData>
    <row r="1" spans="1:14" ht="43.5" customHeight="1">
      <c r="A1" s="109" t="s">
        <v>54</v>
      </c>
      <c r="B1" s="109"/>
      <c r="C1" s="109"/>
      <c r="D1" s="109"/>
      <c r="E1" s="109"/>
      <c r="F1" s="109"/>
      <c r="G1" s="109"/>
      <c r="H1" s="109"/>
      <c r="I1" s="109"/>
    </row>
    <row r="2" spans="1:14" ht="24" customHeight="1">
      <c r="A2" s="24" t="s">
        <v>1</v>
      </c>
      <c r="B2" s="24" t="s">
        <v>2</v>
      </c>
      <c r="C2" s="24" t="s">
        <v>3</v>
      </c>
      <c r="D2" s="24" t="s">
        <v>4</v>
      </c>
      <c r="E2" s="24" t="s">
        <v>5</v>
      </c>
      <c r="F2" s="24" t="s">
        <v>6</v>
      </c>
      <c r="G2" s="24" t="s">
        <v>7</v>
      </c>
      <c r="H2" s="24" t="s">
        <v>8</v>
      </c>
      <c r="I2" s="24" t="s">
        <v>9</v>
      </c>
    </row>
    <row r="3" spans="1:14" ht="24.75" customHeight="1">
      <c r="A3" s="107">
        <v>7</v>
      </c>
      <c r="B3" s="16" t="s">
        <v>155</v>
      </c>
      <c r="C3" s="17" t="s">
        <v>131</v>
      </c>
      <c r="D3" s="17" t="s">
        <v>127</v>
      </c>
      <c r="E3" s="17" t="s">
        <v>54</v>
      </c>
      <c r="F3" s="17" t="s">
        <v>20</v>
      </c>
      <c r="G3" s="17" t="s">
        <v>117</v>
      </c>
      <c r="H3" s="66">
        <f>IF(C3="XXL (&gt;160h)",168,IF(C3="XL (&gt;40h)",48,IF(C3="L (20-40h)",30,IF(C3="M (10-20h)",15,IF(C3="S (&lt;10h)",5,"")))))</f>
        <v>30</v>
      </c>
      <c r="I3" s="16" t="s">
        <v>156</v>
      </c>
      <c r="J3" s="67" t="str">
        <f>IF($E3="Q12026",COUNTIF($E$3:$E3,"Q12026"),"")</f>
        <v/>
      </c>
      <c r="K3" s="67" t="str">
        <f>IF($E3="Q22026",COUNTIF($E$3:$E3,"Q22026"),"")</f>
        <v/>
      </c>
      <c r="L3" s="67">
        <f>IF($E3="Q32026",COUNTIF($E$3:$E3,"Q32026"),"")</f>
        <v>1</v>
      </c>
      <c r="M3" s="67" t="str">
        <f>IF($E3="Q42026",COUNTIF($E$3:$E3,"Q42026"),"")</f>
        <v/>
      </c>
      <c r="N3" s="67" t="str">
        <f>IF($E3="Backlog",COUNTIF($E$3:$E3,"Backlog"),"")</f>
        <v/>
      </c>
    </row>
    <row r="4" spans="1:14" ht="24.75" customHeight="1">
      <c r="A4" s="65">
        <v>11</v>
      </c>
      <c r="B4" s="16" t="s">
        <v>157</v>
      </c>
      <c r="C4" s="17" t="s">
        <v>131</v>
      </c>
      <c r="D4" s="17" t="s">
        <v>127</v>
      </c>
      <c r="E4" s="17" t="s">
        <v>54</v>
      </c>
      <c r="F4" s="17" t="s">
        <v>17</v>
      </c>
      <c r="G4" s="17" t="s">
        <v>116</v>
      </c>
      <c r="H4" s="66">
        <f>IF(C4="XXL (&gt;160h)",168,IF(C4="XL (&gt;40h)",48,IF(C4="L (20-40h)",30,IF(C4="M (10-20h)",15,IF(C4="S (&lt;10h)",5,"")))))</f>
        <v>30</v>
      </c>
      <c r="I4" s="16"/>
      <c r="J4" s="67" t="str">
        <f>IF($E4="Q12026",COUNTIF($E$3:$E4,"Q12026"),"")</f>
        <v/>
      </c>
      <c r="K4" s="67" t="str">
        <f>IF($E4="Q22026",COUNTIF($E$3:$E4,"Q22026"),"")</f>
        <v/>
      </c>
      <c r="L4" s="67">
        <f>IF($E4="Q32026",COUNTIF($E$3:$E4,"Q32026"),"")</f>
        <v>2</v>
      </c>
      <c r="M4" s="67" t="str">
        <f>IF($E4="Q42026",COUNTIF($E$3:$E4,"Q42026"),"")</f>
        <v/>
      </c>
      <c r="N4" s="67" t="str">
        <f>IF($E4="Backlog",COUNTIF($E$3:$E4,"Backlog"),"")</f>
        <v/>
      </c>
    </row>
    <row r="5" spans="1:14" ht="24.75" customHeight="1">
      <c r="A5" s="107">
        <v>12</v>
      </c>
      <c r="B5" s="18" t="s">
        <v>158</v>
      </c>
      <c r="C5" s="19" t="s">
        <v>126</v>
      </c>
      <c r="D5" s="19" t="s">
        <v>123</v>
      </c>
      <c r="E5" s="19" t="s">
        <v>54</v>
      </c>
      <c r="F5" s="19" t="s">
        <v>20</v>
      </c>
      <c r="G5" s="19" t="s">
        <v>116</v>
      </c>
      <c r="H5" s="69">
        <f>IF(C5="XXL (&gt;160h)",168,IF(C5="XL (&gt;40h)",48,IF(C5="L (20-40h)",30,IF(C5="M (10-20h)",15,IF(C5="S (&lt;10h)",5,"")))))</f>
        <v>15</v>
      </c>
      <c r="I5" s="18" t="s">
        <v>159</v>
      </c>
      <c r="J5" s="67" t="str">
        <f>IF($E5="Q12026",COUNTIF($E$3:$E5,"Q12026"),"")</f>
        <v/>
      </c>
      <c r="K5" s="67" t="str">
        <f>IF($E5="Q22026",COUNTIF($E$3:$E5,"Q22026"),"")</f>
        <v/>
      </c>
      <c r="L5" s="67">
        <f>IF($E5="Q32026",COUNTIF($E$3:$E5,"Q32026"),"")</f>
        <v>3</v>
      </c>
      <c r="M5" s="67" t="str">
        <f>IF($E5="Q42026",COUNTIF($E$3:$E5,"Q42026"),"")</f>
        <v/>
      </c>
      <c r="N5" s="67" t="str">
        <f>IF($E5="Backlog",COUNTIF($E$3:$E5,"Backlog"),"")</f>
        <v/>
      </c>
    </row>
    <row r="6" spans="1:14" ht="24.75" customHeight="1">
      <c r="A6" s="65">
        <v>13</v>
      </c>
      <c r="B6" s="16" t="s">
        <v>160</v>
      </c>
      <c r="C6" s="17" t="s">
        <v>131</v>
      </c>
      <c r="D6" s="17" t="s">
        <v>127</v>
      </c>
      <c r="E6" s="17" t="s">
        <v>54</v>
      </c>
      <c r="F6" s="17" t="s">
        <v>17</v>
      </c>
      <c r="G6" s="17" t="s">
        <v>116</v>
      </c>
      <c r="H6" s="66">
        <f>IF(C6="XXL (&gt;160h)",168,IF(C6="XL (&gt;40h)",48,IF(C6="L (20-40h)",30,IF(C6="M (10-20h)",15,IF(C6="S (&lt;10h)",5,"")))))</f>
        <v>30</v>
      </c>
      <c r="I6" s="16" t="s">
        <v>161</v>
      </c>
      <c r="J6" s="67" t="str">
        <f>IF($E6="Q12026",COUNTIF($E$3:$E6,"Q12026"),"")</f>
        <v/>
      </c>
      <c r="K6" s="67" t="str">
        <f>IF($E6="Q22026",COUNTIF($E$3:$E6,"Q22026"),"")</f>
        <v/>
      </c>
      <c r="L6" s="67">
        <f>IF($E6="Q32026",COUNTIF($E$3:$E6,"Q32026"),"")</f>
        <v>4</v>
      </c>
      <c r="M6" s="67" t="str">
        <f>IF($E6="Q42026",COUNTIF($E$3:$E6,"Q42026"),"")</f>
        <v/>
      </c>
      <c r="N6" s="67" t="str">
        <f>IF($E6="Backlog",COUNTIF($E$3:$E6,"Backlog"),"")</f>
        <v/>
      </c>
    </row>
    <row r="7" spans="1:14" ht="24.75" customHeight="1">
      <c r="A7" s="107">
        <v>14</v>
      </c>
      <c r="B7" s="18" t="s">
        <v>162</v>
      </c>
      <c r="C7" s="19" t="s">
        <v>145</v>
      </c>
      <c r="D7" s="19" t="s">
        <v>127</v>
      </c>
      <c r="E7" s="19" t="s">
        <v>54</v>
      </c>
      <c r="F7" s="19" t="s">
        <v>20</v>
      </c>
      <c r="G7" s="19" t="s">
        <v>116</v>
      </c>
      <c r="H7" s="69">
        <f>IF(C7="XXL (&gt;160h)",168,IF(C7="XL (&gt;40h)",48,IF(C7="L (20-40h)",30,IF(C7="M (10-20h)",15,IF(C7="S (&lt;10h)",5,"")))))</f>
        <v>168</v>
      </c>
      <c r="I7" s="18"/>
      <c r="J7" s="67" t="str">
        <f>IF($E7="Q12026",COUNTIF($E$3:$E7,"Q12026"),"")</f>
        <v/>
      </c>
      <c r="K7" s="67" t="str">
        <f>IF($E7="Q22026",COUNTIF($E$3:$E7,"Q22026"),"")</f>
        <v/>
      </c>
      <c r="L7" s="67">
        <f>IF($E7="Q32026",COUNTIF($E$3:$E7,"Q32026"),"")</f>
        <v>5</v>
      </c>
      <c r="M7" s="67" t="str">
        <f>IF($E7="Q42026",COUNTIF($E$3:$E7,"Q42026"),"")</f>
        <v/>
      </c>
      <c r="N7" s="67" t="str">
        <f>IF($E7="Backlog",COUNTIF($E$3:$E7,"Backlog"),"")</f>
        <v/>
      </c>
    </row>
    <row r="8" spans="1:14" ht="24.75" customHeight="1">
      <c r="A8" s="65">
        <v>15</v>
      </c>
      <c r="B8" s="16" t="s">
        <v>163</v>
      </c>
      <c r="C8" s="17" t="s">
        <v>145</v>
      </c>
      <c r="D8" s="17" t="s">
        <v>127</v>
      </c>
      <c r="E8" s="17" t="s">
        <v>54</v>
      </c>
      <c r="F8" s="17" t="s">
        <v>20</v>
      </c>
      <c r="G8" s="17" t="s">
        <v>116</v>
      </c>
      <c r="H8" s="66">
        <f>IF(C8="XXL (&gt;160h)",168,IF(C8="XL (&gt;40h)",48,IF(C8="L (20-40h)",30,IF(C8="M (10-20h)",15,IF(C8="S (&lt;10h)",5,"")))))</f>
        <v>168</v>
      </c>
      <c r="I8" s="16"/>
      <c r="J8" s="67" t="str">
        <f>IF($E8="Q12026",COUNTIF($E$3:$E11,"Q12026"),"")</f>
        <v/>
      </c>
      <c r="K8" s="67" t="str">
        <f>IF($E8="Q22026",COUNTIF($E$3:$E11,"Q22026"),"")</f>
        <v/>
      </c>
      <c r="L8" s="67">
        <f>IF($E8="Q32026",COUNTIF($E$3:$E11,"Q32026"),"")</f>
        <v>8</v>
      </c>
      <c r="M8" s="67" t="str">
        <f>IF($E8="Q42026",COUNTIF($E$3:$E11,"Q42026"),"")</f>
        <v/>
      </c>
      <c r="N8" s="67" t="str">
        <f>IF($E8="Backlog",COUNTIF($E$3:$E11,"Backlog"),"")</f>
        <v/>
      </c>
    </row>
    <row r="9" spans="1:14" ht="24.75" customHeight="1">
      <c r="A9" s="68">
        <v>16</v>
      </c>
      <c r="B9" s="18" t="s">
        <v>164</v>
      </c>
      <c r="C9" s="19" t="s">
        <v>122</v>
      </c>
      <c r="D9" s="19" t="s">
        <v>123</v>
      </c>
      <c r="E9" s="19" t="s">
        <v>54</v>
      </c>
      <c r="F9" s="19" t="s">
        <v>20</v>
      </c>
      <c r="G9" s="19" t="s">
        <v>116</v>
      </c>
      <c r="H9" s="69">
        <f>IF(C9="XXL (&gt;160h)",168,IF(C9="XL (&gt;40h)",48,IF(C9="L (20-40h)",30,IF(C9="M (10-20h)",15,IF(C9="S (&lt;10h)",5,"")))))</f>
        <v>48</v>
      </c>
      <c r="I9" s="18"/>
      <c r="J9" s="67" t="str">
        <f>IF($E9="Q12026",COUNTIF($E$3:$E9,"Q12026"),"")</f>
        <v/>
      </c>
      <c r="K9" s="67" t="str">
        <f>IF($E9="Q22026",COUNTIF($E$3:$E9,"Q22026"),"")</f>
        <v/>
      </c>
      <c r="L9" s="67">
        <f>IF($E9="Q32026",COUNTIF($E$3:$E9,"Q32026"),"")</f>
        <v>7</v>
      </c>
      <c r="M9" s="67" t="str">
        <f>IF($E9="Q42026",COUNTIF($E$3:$E9,"Q42026"),"")</f>
        <v/>
      </c>
      <c r="N9" s="67" t="str">
        <f>IF($E9="Backlog",COUNTIF($E$3:$E9,"Backlog"),"")</f>
        <v/>
      </c>
    </row>
    <row r="10" spans="1:14" ht="24.75" customHeight="1">
      <c r="A10" s="107">
        <v>17</v>
      </c>
      <c r="B10" s="16" t="s">
        <v>165</v>
      </c>
      <c r="C10" s="17" t="s">
        <v>131</v>
      </c>
      <c r="D10" s="17" t="s">
        <v>127</v>
      </c>
      <c r="E10" s="17" t="s">
        <v>54</v>
      </c>
      <c r="F10" s="17" t="s">
        <v>20</v>
      </c>
      <c r="G10" s="17" t="s">
        <v>116</v>
      </c>
      <c r="H10" s="66">
        <f>IF(C10="XXL (&gt;160h)",168,IF(C10="XL (&gt;40h)",48,IF(C10="L (20-40h)",30,IF(C10="M (10-20h)",15,IF(C10="S (&lt;10h)",5,"")))))</f>
        <v>30</v>
      </c>
      <c r="I10" s="16" t="s">
        <v>166</v>
      </c>
      <c r="J10" s="67" t="str">
        <f>IF($E10="Q12026",COUNTIF($E$3:$E10,"Q12026"),"")</f>
        <v/>
      </c>
      <c r="K10" s="67" t="str">
        <f>IF($E10="Q22026",COUNTIF($E$3:$E10,"Q22026"),"")</f>
        <v/>
      </c>
      <c r="L10" s="67">
        <f>IF($E10="Q32026",COUNTIF($E$3:$E10,"Q32026"),"")</f>
        <v>8</v>
      </c>
      <c r="M10" s="67" t="str">
        <f>IF($E10="Q42026",COUNTIF($E$3:$E10,"Q42026"),"")</f>
        <v/>
      </c>
      <c r="N10" s="67" t="str">
        <f>IF($E10="Backlog",COUNTIF($E$3:$E10,"Backlog"),"")</f>
        <v/>
      </c>
    </row>
    <row r="11" spans="1:14" ht="24.75" customHeight="1">
      <c r="A11" s="104">
        <v>18</v>
      </c>
      <c r="B11" s="101" t="s">
        <v>167</v>
      </c>
      <c r="C11" s="102" t="s">
        <v>122</v>
      </c>
      <c r="D11" s="102" t="s">
        <v>127</v>
      </c>
      <c r="E11" s="102"/>
      <c r="F11" s="102" t="s">
        <v>20</v>
      </c>
      <c r="G11" s="102" t="s">
        <v>116</v>
      </c>
      <c r="H11" s="103">
        <f>IF(C11="XXL (&gt;160h)",168,IF(C11="XL (&gt;40h)",48,IF(C11="L (20-40h)",30,IF(C11="M (10-20h)",15,IF(C11="S (&lt;10h)",5,"")))))</f>
        <v>48</v>
      </c>
      <c r="I11" s="101"/>
      <c r="J11" s="67" t="str">
        <f>IF($E11="Q12026",COUNTIF($E$3:$E11,"Q12026"),"")</f>
        <v/>
      </c>
      <c r="K11" s="67" t="str">
        <f>IF($E11="Q22026",COUNTIF($E$3:$E11,"Q22026"),"")</f>
        <v/>
      </c>
      <c r="L11" s="67" t="str">
        <f>IF($E11="Q32026",COUNTIF($E$3:$E11,"Q32026"),"")</f>
        <v/>
      </c>
      <c r="M11" s="67" t="str">
        <f>IF($E11="Q42026",COUNTIF($E$3:$E11,"Q42026"),"")</f>
        <v/>
      </c>
      <c r="N11" s="67" t="str">
        <f>IF($E11="Backlog",COUNTIF($E$3:$E11,"Backlog"),"")</f>
        <v/>
      </c>
    </row>
    <row r="12" spans="1:14" ht="24.75" customHeight="1">
      <c r="A12" s="104">
        <v>19</v>
      </c>
      <c r="B12" s="101" t="s">
        <v>168</v>
      </c>
      <c r="C12" s="102"/>
      <c r="D12" s="102" t="s">
        <v>127</v>
      </c>
      <c r="E12" s="102"/>
      <c r="F12" s="102" t="s">
        <v>17</v>
      </c>
      <c r="G12" s="102" t="s">
        <v>116</v>
      </c>
      <c r="H12" s="103" t="str">
        <f>IF(C12="XXL (&gt;160h)",168,IF(C12="XL (&gt;40h)",48,IF(C12="L (20-40h)",30,IF(C12="M (10-20h)",15,IF(C12="S (&lt;10h)",5,"")))))</f>
        <v/>
      </c>
      <c r="I12" s="101" t="s">
        <v>169</v>
      </c>
      <c r="J12" s="67" t="str">
        <f>IF($E12="Q12026",COUNTIF($E$3:$E12,"Q12026"),"")</f>
        <v/>
      </c>
      <c r="K12" s="67" t="str">
        <f>IF($E12="Q22026",COUNTIF($E$3:$E12,"Q22026"),"")</f>
        <v/>
      </c>
      <c r="L12" s="67" t="str">
        <f>IF($E12="Q32026",COUNTIF($E$3:$E12,"Q32026"),"")</f>
        <v/>
      </c>
      <c r="M12" s="67" t="str">
        <f>IF($E12="Q42026",COUNTIF($E$3:$E12,"Q42026"),"")</f>
        <v/>
      </c>
      <c r="N12" s="67" t="str">
        <f>IF($E12="Backlog",COUNTIF($E$3:$E12,"Backlog"),"")</f>
        <v/>
      </c>
    </row>
    <row r="13" spans="1:14" ht="24.75" customHeight="1">
      <c r="A13" s="107">
        <v>9</v>
      </c>
      <c r="B13" s="16" t="s">
        <v>170</v>
      </c>
      <c r="C13" s="17" t="s">
        <v>122</v>
      </c>
      <c r="D13" s="17" t="s">
        <v>134</v>
      </c>
      <c r="E13" s="17" t="s">
        <v>54</v>
      </c>
      <c r="F13" s="17" t="s">
        <v>20</v>
      </c>
      <c r="G13" s="17" t="s">
        <v>25</v>
      </c>
      <c r="H13" s="66">
        <f>IF(C13="XXL (&gt;160h)",168,IF(C13="XL (&gt;40h)",48,IF(C13="L (20-40h)",30,IF(C13="M (10-20h)",15,IF(C13="S (&lt;10h)",5,"")))))</f>
        <v>48</v>
      </c>
      <c r="I13" s="106" t="s">
        <v>171</v>
      </c>
      <c r="J13" s="67" t="str">
        <f>IF($E13="Q12026",COUNTIF($E$3:$E13,"Q12026"),"")</f>
        <v/>
      </c>
      <c r="K13" s="67" t="str">
        <f>IF($E13="Q22026",COUNTIF($E$3:$E13,"Q22026"),"")</f>
        <v/>
      </c>
      <c r="L13" s="67">
        <f>IF($E13="Q32026",COUNTIF($E$3:$E13,"Q32026"),"")</f>
        <v>9</v>
      </c>
      <c r="M13" s="67" t="str">
        <f>IF($E13="Q42026",COUNTIF($E$3:$E13,"Q42026"),"")</f>
        <v/>
      </c>
      <c r="N13" s="67" t="str">
        <f>IF($E13="Backlog",COUNTIF($E$3:$E13,"Backlog"),"")</f>
        <v/>
      </c>
    </row>
    <row r="14" spans="1:14" ht="24.75" customHeight="1">
      <c r="A14" s="107">
        <v>8</v>
      </c>
      <c r="B14" s="18" t="s">
        <v>172</v>
      </c>
      <c r="C14" s="19" t="s">
        <v>131</v>
      </c>
      <c r="D14" s="19" t="s">
        <v>127</v>
      </c>
      <c r="E14" s="19" t="s">
        <v>54</v>
      </c>
      <c r="F14" s="19" t="s">
        <v>17</v>
      </c>
      <c r="G14" s="19" t="s">
        <v>25</v>
      </c>
      <c r="H14" s="69">
        <f>IF(C14="XXL (&gt;160h)",168,IF(C14="XL (&gt;40h)",48,IF(C14="L (20-40h)",30,IF(C14="M (10-20h)",15,IF(C14="S (&lt;10h)",5,"")))))</f>
        <v>30</v>
      </c>
      <c r="I14" s="18"/>
      <c r="J14" s="67" t="str">
        <f>IF($E14="Q12026",COUNTIF($E$3:$E14,"Q12026"),"")</f>
        <v/>
      </c>
      <c r="K14" s="67" t="str">
        <f>IF($E14="Q22026",COUNTIF($E$3:$E14,"Q22026"),"")</f>
        <v/>
      </c>
      <c r="L14" s="67">
        <f>IF($E14="Q32026",COUNTIF($E$3:$E14,"Q32026"),"")</f>
        <v>10</v>
      </c>
      <c r="M14" s="67" t="str">
        <f>IF($E14="Q42026",COUNTIF($E$3:$E14,"Q42026"),"")</f>
        <v/>
      </c>
      <c r="N14" s="67" t="str">
        <f>IF($E14="Backlog",COUNTIF($E$3:$E14,"Backlog"),"")</f>
        <v/>
      </c>
    </row>
    <row r="15" spans="1:14" ht="24.75" customHeight="1">
      <c r="A15" s="65">
        <v>1</v>
      </c>
      <c r="B15" s="16" t="s">
        <v>173</v>
      </c>
      <c r="C15" s="17" t="s">
        <v>131</v>
      </c>
      <c r="D15" s="17" t="s">
        <v>127</v>
      </c>
      <c r="E15" s="17" t="s">
        <v>54</v>
      </c>
      <c r="F15" s="17" t="s">
        <v>17</v>
      </c>
      <c r="G15" s="17" t="s">
        <v>12</v>
      </c>
      <c r="H15" s="66">
        <f>IF(C15="XXL (&gt;160h)",168,IF(C15="XL (&gt;40h)",48,IF(C15="L (20-40h)",30,IF(C15="M (10-20h)",15,IF(C15="S (&lt;10h)",5,"")))))</f>
        <v>30</v>
      </c>
      <c r="I15" s="16" t="s">
        <v>174</v>
      </c>
      <c r="J15" s="67" t="str">
        <f>IF($E15="Q12026",COUNTIF($E$3:$E15,"Q12026"),"")</f>
        <v/>
      </c>
      <c r="K15" s="67" t="str">
        <f>IF($E15="Q22026",COUNTIF($E$3:$E15,"Q22026"),"")</f>
        <v/>
      </c>
      <c r="L15" s="67">
        <f>IF($E15="Q32026",COUNTIF($E$3:$E15,"Q32026"),"")</f>
        <v>11</v>
      </c>
      <c r="M15" s="67" t="str">
        <f>IF($E15="Q42026",COUNTIF($E$3:$E15,"Q42026"),"")</f>
        <v/>
      </c>
      <c r="N15" s="67" t="str">
        <f>IF($E15="Backlog",COUNTIF($E$3:$E15,"Backlog"),"")</f>
        <v/>
      </c>
    </row>
    <row r="16" spans="1:14" ht="24.75" customHeight="1">
      <c r="A16" s="68">
        <v>2</v>
      </c>
      <c r="B16" s="18" t="s">
        <v>175</v>
      </c>
      <c r="C16" s="19" t="s">
        <v>131</v>
      </c>
      <c r="D16" s="19" t="s">
        <v>127</v>
      </c>
      <c r="E16" s="19" t="s">
        <v>54</v>
      </c>
      <c r="F16" s="19" t="s">
        <v>17</v>
      </c>
      <c r="G16" s="19" t="s">
        <v>12</v>
      </c>
      <c r="H16" s="69">
        <f>IF(C16="XXL (&gt;160h)",168,IF(C16="XL (&gt;40h)",48,IF(C16="L (20-40h)",30,IF(C16="M (10-20h)",15,IF(C16="S (&lt;10h)",5,"")))))</f>
        <v>30</v>
      </c>
      <c r="I16" s="18"/>
      <c r="J16" s="67" t="str">
        <f>IF($E16="Q12026",COUNTIF($E$3:$E16,"Q12026"),"")</f>
        <v/>
      </c>
      <c r="K16" s="67" t="str">
        <f>IF($E16="Q22026",COUNTIF($E$3:$E16,"Q22026"),"")</f>
        <v/>
      </c>
      <c r="L16" s="67">
        <f>IF($E16="Q32026",COUNTIF($E$3:$E16,"Q32026"),"")</f>
        <v>12</v>
      </c>
      <c r="M16" s="67" t="str">
        <f>IF($E16="Q42026",COUNTIF($E$3:$E16,"Q42026"),"")</f>
        <v/>
      </c>
      <c r="N16" s="67" t="str">
        <f>IF($E16="Backlog",COUNTIF($E$3:$E16,"Backlog"),"")</f>
        <v/>
      </c>
    </row>
    <row r="17" spans="1:14" ht="24.75" customHeight="1">
      <c r="A17" s="65">
        <v>3</v>
      </c>
      <c r="B17" s="16" t="s">
        <v>176</v>
      </c>
      <c r="C17" s="17" t="s">
        <v>131</v>
      </c>
      <c r="D17" s="17" t="s">
        <v>127</v>
      </c>
      <c r="E17" s="17" t="s">
        <v>54</v>
      </c>
      <c r="F17" s="17" t="s">
        <v>17</v>
      </c>
      <c r="G17" s="17" t="s">
        <v>12</v>
      </c>
      <c r="H17" s="66">
        <f>IF(C17="XXL (&gt;160h)",168,IF(C17="XL (&gt;40h)",48,IF(C17="L (20-40h)",30,IF(C17="M (10-20h)",15,IF(C17="S (&lt;10h)",5,"")))))</f>
        <v>30</v>
      </c>
      <c r="I17" s="16"/>
      <c r="J17" s="67" t="str">
        <f>IF($E17="Q12026",COUNTIF($E$3:$E17,"Q12026"),"")</f>
        <v/>
      </c>
      <c r="K17" s="67" t="str">
        <f>IF($E17="Q22026",COUNTIF($E$3:$E17,"Q22026"),"")</f>
        <v/>
      </c>
      <c r="L17" s="67">
        <f>IF($E17="Q32026",COUNTIF($E$3:$E17,"Q32026"),"")</f>
        <v>13</v>
      </c>
      <c r="M17" s="67" t="str">
        <f>IF($E17="Q42026",COUNTIF($E$3:$E17,"Q42026"),"")</f>
        <v/>
      </c>
      <c r="N17" s="67" t="str">
        <f>IF($E17="Backlog",COUNTIF($E$3:$E17,"Backlog"),"")</f>
        <v/>
      </c>
    </row>
    <row r="18" spans="1:14" ht="24.75" customHeight="1">
      <c r="A18" s="68">
        <v>4</v>
      </c>
      <c r="B18" s="18" t="s">
        <v>177</v>
      </c>
      <c r="C18" s="19" t="s">
        <v>131</v>
      </c>
      <c r="D18" s="19" t="s">
        <v>127</v>
      </c>
      <c r="E18" s="19" t="s">
        <v>54</v>
      </c>
      <c r="F18" s="19" t="s">
        <v>17</v>
      </c>
      <c r="G18" s="19" t="s">
        <v>12</v>
      </c>
      <c r="H18" s="69">
        <f>IF(C18="XXL (&gt;160h)",168,IF(C18="XL (&gt;40h)",48,IF(C18="L (20-40h)",30,IF(C18="M (10-20h)",15,IF(C18="S (&lt;10h)",5,"")))))</f>
        <v>30</v>
      </c>
      <c r="I18" s="18" t="s">
        <v>178</v>
      </c>
      <c r="J18" s="67" t="str">
        <f>IF($E18="Q12026",COUNTIF($E$3:$E18,"Q12026"),"")</f>
        <v/>
      </c>
      <c r="K18" s="67" t="str">
        <f>IF($E18="Q22026",COUNTIF($E$3:$E18,"Q22026"),"")</f>
        <v/>
      </c>
      <c r="L18" s="67">
        <f>IF($E18="Q32026",COUNTIF($E$3:$E18,"Q32026"),"")</f>
        <v>14</v>
      </c>
      <c r="M18" s="67" t="str">
        <f>IF($E18="Q42026",COUNTIF($E$3:$E18,"Q42026"),"")</f>
        <v/>
      </c>
      <c r="N18" s="67" t="str">
        <f>IF($E18="Backlog",COUNTIF($E$3:$E18,"Backlog"),"")</f>
        <v/>
      </c>
    </row>
    <row r="19" spans="1:14" ht="24.75" customHeight="1">
      <c r="A19" s="65">
        <v>5</v>
      </c>
      <c r="B19" s="16" t="s">
        <v>179</v>
      </c>
      <c r="C19" s="17" t="s">
        <v>145</v>
      </c>
      <c r="D19" s="17" t="s">
        <v>134</v>
      </c>
      <c r="E19" s="17" t="s">
        <v>54</v>
      </c>
      <c r="F19" s="17" t="s">
        <v>20</v>
      </c>
      <c r="G19" s="17" t="s">
        <v>12</v>
      </c>
      <c r="H19" s="66">
        <f>IF(C19="XXL (&gt;160h)",168,IF(C19="XL (&gt;40h)",48,IF(C19="L (20-40h)",30,IF(C19="M (10-20h)",15,IF(C19="S (&lt;10h)",5,"")))))</f>
        <v>168</v>
      </c>
      <c r="I19" s="16"/>
      <c r="J19" s="67" t="str">
        <f>IF($E19="Q12026",COUNTIF($E$3:$E19,"Q12026"),"")</f>
        <v/>
      </c>
      <c r="K19" s="67" t="str">
        <f>IF($E19="Q22026",COUNTIF($E$3:$E19,"Q22026"),"")</f>
        <v/>
      </c>
      <c r="L19" s="67">
        <f>IF($E19="Q32026",COUNTIF($E$3:$E19,"Q32026"),"")</f>
        <v>15</v>
      </c>
      <c r="M19" s="67" t="str">
        <f>IF($E19="Q42026",COUNTIF($E$3:$E19,"Q42026"),"")</f>
        <v/>
      </c>
      <c r="N19" s="67" t="str">
        <f>IF($E19="Backlog",COUNTIF($E$3:$E19,"Backlog"),"")</f>
        <v/>
      </c>
    </row>
    <row r="20" spans="1:14" ht="24.75" customHeight="1">
      <c r="A20" s="107">
        <v>6</v>
      </c>
      <c r="B20" s="18" t="s">
        <v>180</v>
      </c>
      <c r="C20" s="19" t="s">
        <v>122</v>
      </c>
      <c r="D20" s="19" t="s">
        <v>134</v>
      </c>
      <c r="E20" s="19" t="s">
        <v>54</v>
      </c>
      <c r="F20" s="19" t="s">
        <v>17</v>
      </c>
      <c r="G20" s="19" t="s">
        <v>12</v>
      </c>
      <c r="H20" s="69">
        <f>IF(C20="XXL (&gt;160h)",168,IF(C20="XL (&gt;40h)",48,IF(C20="L (20-40h)",30,IF(C20="M (10-20h)",15,IF(C20="S (&lt;10h)",5,"")))))</f>
        <v>48</v>
      </c>
      <c r="I20" s="18"/>
      <c r="J20" s="67" t="str">
        <f>IF($E20="Q12026",COUNTIF($E$3:$E20,"Q12026"),"")</f>
        <v/>
      </c>
      <c r="K20" s="67" t="str">
        <f>IF($E20="Q22026",COUNTIF($E$3:$E20,"Q22026"),"")</f>
        <v/>
      </c>
      <c r="L20" s="67">
        <f>IF($E20="Q32026",COUNTIF($E$3:$E20,"Q32026"),"")</f>
        <v>16</v>
      </c>
      <c r="M20" s="67" t="str">
        <f>IF($E20="Q42026",COUNTIF($E$3:$E20,"Q42026"),"")</f>
        <v/>
      </c>
      <c r="N20" s="67" t="str">
        <f>IF($E20="Backlog",COUNTIF($E$3:$E20,"Backlog"),"")</f>
        <v/>
      </c>
    </row>
    <row r="21" spans="1:14" ht="24.75" customHeight="1">
      <c r="A21" s="68">
        <v>10</v>
      </c>
      <c r="B21" s="18" t="s">
        <v>181</v>
      </c>
      <c r="C21" s="19" t="s">
        <v>131</v>
      </c>
      <c r="D21" s="19" t="s">
        <v>127</v>
      </c>
      <c r="E21" s="19" t="s">
        <v>54</v>
      </c>
      <c r="F21" s="19" t="s">
        <v>11</v>
      </c>
      <c r="G21" s="19" t="s">
        <v>12</v>
      </c>
      <c r="H21" s="69">
        <f>IF(C21="XXL (&gt;160h)",168,IF(C21="XL (&gt;40h)",48,IF(C21="L (20-40h)",30,IF(C21="M (10-20h)",15,IF(C21="S (&lt;10h)",5,"")))))</f>
        <v>30</v>
      </c>
      <c r="I21" s="18" t="s">
        <v>182</v>
      </c>
      <c r="J21" s="67" t="str">
        <f>IF($E21="Q12026",COUNTIF($E$3:$E21,"Q12026"),"")</f>
        <v/>
      </c>
      <c r="K21" s="67" t="str">
        <f>IF($E21="Q22026",COUNTIF($E$3:$E21,"Q22026"),"")</f>
        <v/>
      </c>
      <c r="L21" s="67">
        <f>IF($E21="Q32026",COUNTIF($E$3:$E21,"Q32026"),"")</f>
        <v>17</v>
      </c>
      <c r="M21" s="67" t="str">
        <f>IF($E21="Q42026",COUNTIF($E$3:$E21,"Q42026"),"")</f>
        <v/>
      </c>
      <c r="N21" s="67" t="str">
        <f>IF($E21="Backlog",COUNTIF($E$3:$E21,"Backlog"),"")</f>
        <v/>
      </c>
    </row>
    <row r="22" spans="1:14" ht="24.75" customHeight="1">
      <c r="A22" s="104">
        <v>8</v>
      </c>
      <c r="B22" s="101" t="s">
        <v>132</v>
      </c>
      <c r="C22" s="102" t="s">
        <v>126</v>
      </c>
      <c r="D22" s="102" t="s">
        <v>123</v>
      </c>
      <c r="E22" s="102" t="s">
        <v>54</v>
      </c>
      <c r="F22" s="102" t="s">
        <v>20</v>
      </c>
      <c r="G22" s="102" t="s">
        <v>12</v>
      </c>
      <c r="H22" s="103">
        <f>IF(C22="XXL (&gt;160h)",168,IF(C22="XL (&gt;40h)",48,IF(C22="L (20-40h)",30,IF(C22="M (10-20h)",15,IF(C22="S (&lt;10h)",5,"")))))</f>
        <v>15</v>
      </c>
      <c r="I22" s="101"/>
      <c r="J22" s="67" t="str">
        <f>IF($E22="Q12026",COUNTIF($E$3:$E22,"Q12026"),"")</f>
        <v/>
      </c>
      <c r="K22" s="67" t="str">
        <f>IF($E22="Q22026",COUNTIF($E$3:$E22,"Q22026"),"")</f>
        <v/>
      </c>
      <c r="L22" s="67">
        <f>IF($E22="Q32026",COUNTIF($E$3:$E22,"Q32026"),"")</f>
        <v>18</v>
      </c>
      <c r="M22" s="67" t="str">
        <f>IF($E22="Q42026",COUNTIF($E$3:$E22,"Q42026"),"")</f>
        <v/>
      </c>
      <c r="N22" s="67" t="str">
        <f>IF($E22="Backlog",COUNTIF($E$3:$E22,"Backlog"),"")</f>
        <v/>
      </c>
    </row>
    <row r="23" spans="1:14" ht="24.75" customHeight="1">
      <c r="A23" s="104">
        <v>10</v>
      </c>
      <c r="B23" s="101" t="s">
        <v>133</v>
      </c>
      <c r="C23" s="102" t="s">
        <v>126</v>
      </c>
      <c r="D23" s="102" t="s">
        <v>134</v>
      </c>
      <c r="E23" s="102" t="s">
        <v>54</v>
      </c>
      <c r="F23" s="102" t="s">
        <v>11</v>
      </c>
      <c r="G23" s="102" t="s">
        <v>12</v>
      </c>
      <c r="H23" s="103">
        <f>IF(C23="XXL (&gt;160h)",168,IF(C23="XL (&gt;40h)",48,IF(C23="L (20-40h)",30,IF(C23="M (10-20h)",15,IF(C23="S (&lt;10h)",5,"")))))</f>
        <v>15</v>
      </c>
      <c r="I23" s="101" t="s">
        <v>135</v>
      </c>
      <c r="J23" s="67" t="str">
        <f>IF($E23="Q12026",COUNTIF($E$3:$E23,"Q12026"),"")</f>
        <v/>
      </c>
      <c r="K23" s="67" t="str">
        <f>IF($E23="Q22026",COUNTIF($E$3:$E23,"Q22026"),"")</f>
        <v/>
      </c>
      <c r="L23" s="67">
        <f>IF($E23="Q32026",COUNTIF($E$3:$E23,"Q32026"),"")</f>
        <v>19</v>
      </c>
      <c r="M23" s="67" t="str">
        <f>IF($E23="Q42026",COUNTIF($E$3:$E23,"Q42026"),"")</f>
        <v/>
      </c>
      <c r="N23" s="67" t="str">
        <f>IF($E23="Backlog",COUNTIF($E$3:$E23,"Backlog"),"")</f>
        <v/>
      </c>
    </row>
    <row r="24" spans="1:14" ht="24.75" customHeight="1">
      <c r="A24" s="107">
        <v>11</v>
      </c>
      <c r="B24" s="101" t="s">
        <v>136</v>
      </c>
      <c r="C24" s="102" t="s">
        <v>131</v>
      </c>
      <c r="D24" s="102" t="s">
        <v>127</v>
      </c>
      <c r="E24" s="102" t="s">
        <v>54</v>
      </c>
      <c r="F24" s="102" t="s">
        <v>20</v>
      </c>
      <c r="G24" s="102" t="s">
        <v>12</v>
      </c>
      <c r="H24" s="103">
        <f>IF(C24="XXL (&gt;160h)",168,IF(C24="XL (&gt;40h)",48,IF(C24="L (20-40h)",30,IF(C24="M (10-20h)",15,IF(C24="S (&lt;10h)",5,"")))))</f>
        <v>30</v>
      </c>
      <c r="I24" s="101" t="s">
        <v>137</v>
      </c>
      <c r="J24" s="67" t="str">
        <f>IF($E24="Q12026",COUNTIF($E$3:$E24,"Q12026"),"")</f>
        <v/>
      </c>
      <c r="K24" s="67" t="str">
        <f>IF($E24="Q22026",COUNTIF($E$3:$E24,"Q22026"),"")</f>
        <v/>
      </c>
      <c r="L24" s="67">
        <f>IF($E24="Q32026",COUNTIF($E$3:$E24,"Q32026"),"")</f>
        <v>20</v>
      </c>
      <c r="M24" s="67" t="str">
        <f>IF($E24="Q42026",COUNTIF($E$3:$E24,"Q42026"),"")</f>
        <v/>
      </c>
      <c r="N24" s="67" t="str">
        <f>IF($E24="Backlog",COUNTIF($E$3:$E24,"Backlog"),"")</f>
        <v/>
      </c>
    </row>
    <row r="25" spans="1:14" ht="24.75" customHeight="1">
      <c r="A25" s="104">
        <v>14</v>
      </c>
      <c r="B25" s="101" t="s">
        <v>139</v>
      </c>
      <c r="C25" s="102" t="s">
        <v>126</v>
      </c>
      <c r="D25" s="102" t="s">
        <v>134</v>
      </c>
      <c r="E25" s="102" t="s">
        <v>54</v>
      </c>
      <c r="F25" s="102" t="s">
        <v>17</v>
      </c>
      <c r="G25" s="102" t="s">
        <v>12</v>
      </c>
      <c r="H25" s="103">
        <f>IF(C25="XXL (&gt;160h)",168,IF(C25="XL (&gt;40h)",48,IF(C25="L (20-40h)",30,IF(C25="M (10-20h)",15,IF(C25="S (&lt;10h)",5,"")))))</f>
        <v>15</v>
      </c>
      <c r="I25" s="101" t="s">
        <v>140</v>
      </c>
      <c r="J25" s="67" t="str">
        <f>IF($E25="Q12026",COUNTIF($E$3:$E25,"Q12026"),"")</f>
        <v/>
      </c>
      <c r="K25" s="67" t="str">
        <f>IF($E25="Q22026",COUNTIF($E$3:$E25,"Q22026"),"")</f>
        <v/>
      </c>
      <c r="L25" s="67">
        <f>IF($E25="Q32026",COUNTIF($E$3:$E25,"Q32026"),"")</f>
        <v>21</v>
      </c>
      <c r="M25" s="67" t="str">
        <f>IF($E25="Q42026",COUNTIF($E$3:$E25,"Q42026"),"")</f>
        <v/>
      </c>
      <c r="N25" s="67" t="str">
        <f>IF($E25="Backlog",COUNTIF($E$3:$E25,"Backlog"),"")</f>
        <v/>
      </c>
    </row>
    <row r="26" spans="1:14" ht="24.75" customHeight="1">
      <c r="A26" s="108">
        <v>15</v>
      </c>
      <c r="B26" s="101" t="s">
        <v>141</v>
      </c>
      <c r="C26" s="102" t="s">
        <v>126</v>
      </c>
      <c r="D26" s="102" t="s">
        <v>127</v>
      </c>
      <c r="E26" s="102" t="s">
        <v>54</v>
      </c>
      <c r="F26" s="102" t="s">
        <v>20</v>
      </c>
      <c r="G26" s="102" t="s">
        <v>12</v>
      </c>
      <c r="H26" s="103">
        <f>IF(C26="XXL (&gt;160h)",168,IF(C26="XL (&gt;40h)",48,IF(C26="L (20-40h)",30,IF(C26="M (10-20h)",15,IF(C26="S (&lt;10h)",5,"")))))</f>
        <v>15</v>
      </c>
      <c r="I26" s="101"/>
      <c r="J26" s="67" t="str">
        <f>IF($E26="Q12026",COUNTIF($E$3:$E26,"Q12026"),"")</f>
        <v/>
      </c>
      <c r="K26" s="67" t="str">
        <f>IF($E26="Q22026",COUNTIF($E$3:$E26,"Q22026"),"")</f>
        <v/>
      </c>
      <c r="L26" s="67">
        <f>IF($E26="Q32026",COUNTIF($E$3:$E26,"Q32026"),"")</f>
        <v>22</v>
      </c>
      <c r="M26" s="67" t="str">
        <f>IF($E26="Q42026",COUNTIF($E$3:$E26,"Q42026"),"")</f>
        <v/>
      </c>
      <c r="N26" s="67" t="str">
        <f>IF($E26="Backlog",COUNTIF($E$3:$E26,"Backlog"),"")</f>
        <v/>
      </c>
    </row>
    <row r="27" spans="1:14" ht="24.75" customHeight="1">
      <c r="A27" s="104">
        <v>19</v>
      </c>
      <c r="B27" s="101" t="s">
        <v>144</v>
      </c>
      <c r="C27" s="102" t="s">
        <v>145</v>
      </c>
      <c r="D27" s="102" t="s">
        <v>127</v>
      </c>
      <c r="E27" s="102" t="s">
        <v>54</v>
      </c>
      <c r="F27" s="102" t="s">
        <v>17</v>
      </c>
      <c r="G27" s="102" t="s">
        <v>12</v>
      </c>
      <c r="H27" s="103">
        <f>IF(C27="XXL (&gt;160h)",168,IF(C27="XL (&gt;40h)",48,IF(C27="L (20-40h)",30,IF(C27="M (10-20h)",15,IF(C27="S (&lt;10h)",5,"")))))</f>
        <v>168</v>
      </c>
      <c r="I27" s="101"/>
      <c r="J27" s="67" t="str">
        <f>IF($E27="Q12026",COUNTIF($E$3:$E27,"Q12026"),"")</f>
        <v/>
      </c>
      <c r="K27" s="67" t="str">
        <f>IF($E27="Q22026",COUNTIF($E$3:$E27,"Q22026"),"")</f>
        <v/>
      </c>
      <c r="L27" s="67">
        <f>IF($E27="Q32026",COUNTIF($E$3:$E27,"Q32026"),"")</f>
        <v>23</v>
      </c>
      <c r="M27" s="67" t="str">
        <f>IF($E27="Q42026",COUNTIF($E$3:$E27,"Q42026"),"")</f>
        <v/>
      </c>
      <c r="N27" s="67" t="str">
        <f>IF($E27="Backlog",COUNTIF($E$3:$E27,"Backlog"),"")</f>
        <v/>
      </c>
    </row>
    <row r="28" spans="1:14" ht="24.75" customHeight="1">
      <c r="A28" s="104">
        <v>26</v>
      </c>
      <c r="B28" s="18" t="s">
        <v>183</v>
      </c>
      <c r="C28" s="19" t="s">
        <v>122</v>
      </c>
      <c r="D28" s="19" t="s">
        <v>127</v>
      </c>
      <c r="E28" s="19" t="s">
        <v>54</v>
      </c>
      <c r="F28" s="19" t="s">
        <v>20</v>
      </c>
      <c r="G28" s="19" t="s">
        <v>12</v>
      </c>
      <c r="H28" s="69">
        <f>IF(C28="XXL (&gt;160h)",168,IF(C28="XL (&gt;40h)",48,IF(C28="L (20-40h)",30,IF(C28="M (10-20h)",15,IF(C28="S (&lt;10h)",5,"")))))</f>
        <v>48</v>
      </c>
      <c r="I28" s="18" t="s">
        <v>184</v>
      </c>
      <c r="J28" s="67" t="str">
        <f>IF($E28="Q12026",COUNTIF($E$3:$E28,"Q12026"),"")</f>
        <v/>
      </c>
      <c r="K28" s="67" t="str">
        <f>IF($E28="Q22026",COUNTIF($E$3:$E28,"Q22026"),"")</f>
        <v/>
      </c>
      <c r="L28" s="67">
        <f>IF($E28="Q32026",COUNTIF($E$3:$E28,"Q32026"),"")</f>
        <v>24</v>
      </c>
      <c r="M28" s="67" t="str">
        <f>IF($E28="Q42026",COUNTIF($E$3:$E28,"Q42026"),"")</f>
        <v/>
      </c>
      <c r="N28" s="67" t="str">
        <f>IF($E28="Backlog",COUNTIF($E$3:$E28,"Backlog"),"")</f>
        <v/>
      </c>
    </row>
    <row r="29" spans="1:14" ht="24.75" customHeight="1">
      <c r="A29" s="65">
        <v>27</v>
      </c>
      <c r="B29" s="16"/>
      <c r="C29" s="17"/>
      <c r="D29" s="17"/>
      <c r="E29" s="17"/>
      <c r="F29" s="17"/>
      <c r="G29" s="17"/>
      <c r="H29" s="66" t="str">
        <f>IF(C29="XXL (&gt;160h)",168,IF(C29="XL (&gt;40h)",48,IF(C29="L (20-40h)",30,IF(C29="M (10-20h)",15,IF(C29="S (&lt;10h)",5,"")))))</f>
        <v/>
      </c>
      <c r="I29" s="16"/>
      <c r="J29" s="67" t="str">
        <f>IF($E29="Q12026",COUNTIF($E$3:$E29,"Q12026"),"")</f>
        <v/>
      </c>
      <c r="K29" s="67" t="str">
        <f>IF($E29="Q22026",COUNTIF($E$3:$E29,"Q22026"),"")</f>
        <v/>
      </c>
      <c r="L29" s="67" t="str">
        <f>IF($E29="Q32026",COUNTIF($E$3:$E29,"Q32026"),"")</f>
        <v/>
      </c>
      <c r="M29" s="67" t="str">
        <f>IF($E29="Q42026",COUNTIF($E$3:$E29,"Q42026"),"")</f>
        <v/>
      </c>
      <c r="N29" s="67" t="str">
        <f>IF($E29="Backlog",COUNTIF($E$3:$E29,"Backlog"),"")</f>
        <v/>
      </c>
    </row>
    <row r="30" spans="1:14" ht="24.75" customHeight="1">
      <c r="A30" s="68">
        <v>28</v>
      </c>
      <c r="B30" s="18"/>
      <c r="C30" s="19"/>
      <c r="D30" s="19"/>
      <c r="E30" s="19"/>
      <c r="F30" s="19"/>
      <c r="G30" s="19"/>
      <c r="H30" s="69" t="str">
        <f>IF(C30="XXL (&gt;160h)",168,IF(C30="XL (&gt;40h)",48,IF(C30="L (20-40h)",30,IF(C30="M (10-20h)",15,IF(C30="S (&lt;10h)",5,"")))))</f>
        <v/>
      </c>
      <c r="I30" s="18"/>
      <c r="J30" s="67" t="str">
        <f>IF($E30="Q12026",COUNTIF($E$3:$E30,"Q12026"),"")</f>
        <v/>
      </c>
      <c r="K30" s="67" t="str">
        <f>IF($E30="Q22026",COUNTIF($E$3:$E30,"Q22026"),"")</f>
        <v/>
      </c>
      <c r="L30" s="67" t="str">
        <f>IF($E30="Q32026",COUNTIF($E$3:$E30,"Q32026"),"")</f>
        <v/>
      </c>
      <c r="M30" s="67" t="str">
        <f>IF($E30="Q42026",COUNTIF($E$3:$E30,"Q42026"),"")</f>
        <v/>
      </c>
      <c r="N30" s="67" t="str">
        <f>IF($E30="Backlog",COUNTIF($E$3:$E30,"Backlog"),"")</f>
        <v/>
      </c>
    </row>
    <row r="31" spans="1:14" ht="24.75" customHeight="1">
      <c r="A31" s="65">
        <v>29</v>
      </c>
      <c r="B31" s="16"/>
      <c r="C31" s="17"/>
      <c r="D31" s="17"/>
      <c r="E31" s="17"/>
      <c r="F31" s="17"/>
      <c r="G31" s="17"/>
      <c r="H31" s="66" t="str">
        <f>IF(C31="XXL (&gt;160h)",168,IF(C31="XL (&gt;40h)",48,IF(C31="L (20-40h)",30,IF(C31="M (10-20h)",15,IF(C31="S (&lt;10h)",5,"")))))</f>
        <v/>
      </c>
      <c r="I31" s="16"/>
      <c r="J31" s="67" t="str">
        <f>IF($E31="Q12026",COUNTIF($E$3:$E31,"Q12026"),"")</f>
        <v/>
      </c>
      <c r="K31" s="67" t="str">
        <f>IF($E31="Q22026",COUNTIF($E$3:$E31,"Q22026"),"")</f>
        <v/>
      </c>
      <c r="L31" s="67" t="str">
        <f>IF($E31="Q32026",COUNTIF($E$3:$E31,"Q32026"),"")</f>
        <v/>
      </c>
      <c r="M31" s="67" t="str">
        <f>IF($E31="Q42026",COUNTIF($E$3:$E31,"Q42026"),"")</f>
        <v/>
      </c>
      <c r="N31" s="67" t="str">
        <f>IF($E31="Backlog",COUNTIF($E$3:$E31,"Backlog"),"")</f>
        <v/>
      </c>
    </row>
    <row r="32" spans="1:14" ht="24.75" customHeight="1">
      <c r="A32" s="68">
        <v>30</v>
      </c>
      <c r="B32" s="18"/>
      <c r="C32" s="19"/>
      <c r="D32" s="19"/>
      <c r="E32" s="19"/>
      <c r="F32" s="19"/>
      <c r="G32" s="19"/>
      <c r="H32" s="69" t="str">
        <f>IF(C32="XXL (&gt;160h)",168,IF(C32="XL (&gt;40h)",48,IF(C32="L (20-40h)",30,IF(C32="M (10-20h)",15,IF(C32="S (&lt;10h)",5,"")))))</f>
        <v/>
      </c>
      <c r="I32" s="18"/>
      <c r="J32" s="67" t="str">
        <f>IF($E32="Q12026",COUNTIF($E$3:$E32,"Q12026"),"")</f>
        <v/>
      </c>
      <c r="K32" s="67" t="str">
        <f>IF($E32="Q22026",COUNTIF($E$3:$E32,"Q22026"),"")</f>
        <v/>
      </c>
      <c r="L32" s="67" t="str">
        <f>IF($E32="Q32026",COUNTIF($E$3:$E32,"Q32026"),"")</f>
        <v/>
      </c>
      <c r="M32" s="67" t="str">
        <f>IF($E32="Q42026",COUNTIF($E$3:$E32,"Q42026"),"")</f>
        <v/>
      </c>
      <c r="N32" s="67" t="str">
        <f>IF($E32="Backlog",COUNTIF($E$3:$E32,"Backlog"),"")</f>
        <v/>
      </c>
    </row>
    <row r="33" spans="1:14" ht="24.75" customHeight="1">
      <c r="A33" s="65">
        <v>31</v>
      </c>
      <c r="B33" s="16"/>
      <c r="C33" s="17"/>
      <c r="D33" s="17"/>
      <c r="E33" s="17"/>
      <c r="F33" s="17"/>
      <c r="G33" s="17"/>
      <c r="H33" s="66" t="str">
        <f>IF(C33="XXL (&gt;160h)",168,IF(C33="XL (&gt;40h)",48,IF(C33="L (20-40h)",30,IF(C33="M (10-20h)",15,IF(C33="S (&lt;10h)",5,"")))))</f>
        <v/>
      </c>
      <c r="I33" s="16"/>
      <c r="J33" s="67" t="str">
        <f>IF($E33="Q12026",COUNTIF($E$3:$E33,"Q12026"),"")</f>
        <v/>
      </c>
      <c r="K33" s="67" t="str">
        <f>IF($E33="Q22026",COUNTIF($E$3:$E33,"Q22026"),"")</f>
        <v/>
      </c>
      <c r="L33" s="67" t="str">
        <f>IF($E33="Q32026",COUNTIF($E$3:$E33,"Q32026"),"")</f>
        <v/>
      </c>
      <c r="M33" s="67" t="str">
        <f>IF($E33="Q42026",COUNTIF($E$3:$E33,"Q42026"),"")</f>
        <v/>
      </c>
      <c r="N33" s="67" t="str">
        <f>IF($E33="Backlog",COUNTIF($E$3:$E33,"Backlog"),"")</f>
        <v/>
      </c>
    </row>
    <row r="34" spans="1:14" ht="24.75" customHeight="1">
      <c r="A34" s="68">
        <v>32</v>
      </c>
      <c r="B34" s="18"/>
      <c r="C34" s="19"/>
      <c r="D34" s="19"/>
      <c r="E34" s="19"/>
      <c r="F34" s="19"/>
      <c r="G34" s="19"/>
      <c r="H34" s="69" t="str">
        <f>IF(C34="XXL (&gt;160h)",168,IF(C34="XL (&gt;40h)",48,IF(C34="L (20-40h)",30,IF(C34="M (10-20h)",15,IF(C34="S (&lt;10h)",5,"")))))</f>
        <v/>
      </c>
      <c r="I34" s="18"/>
      <c r="J34" s="67" t="str">
        <f>IF($E34="Q12026",COUNTIF($E$3:$E34,"Q12026"),"")</f>
        <v/>
      </c>
      <c r="K34" s="67" t="str">
        <f>IF($E34="Q22026",COUNTIF($E$3:$E34,"Q22026"),"")</f>
        <v/>
      </c>
      <c r="L34" s="67" t="str">
        <f>IF($E34="Q32026",COUNTIF($E$3:$E34,"Q32026"),"")</f>
        <v/>
      </c>
      <c r="M34" s="67" t="str">
        <f>IF($E34="Q42026",COUNTIF($E$3:$E34,"Q42026"),"")</f>
        <v/>
      </c>
      <c r="N34" s="67" t="str">
        <f>IF($E34="Backlog",COUNTIF($E$3:$E34,"Backlog"),"")</f>
        <v/>
      </c>
    </row>
    <row r="35" spans="1:14" ht="24.75" customHeight="1">
      <c r="A35" s="65">
        <v>33</v>
      </c>
      <c r="B35" s="16"/>
      <c r="C35" s="17"/>
      <c r="D35" s="17"/>
      <c r="E35" s="17"/>
      <c r="F35" s="17"/>
      <c r="G35" s="17"/>
      <c r="H35" s="66" t="str">
        <f>IF(C35="XXL (&gt;160h)",168,IF(C35="XL (&gt;40h)",48,IF(C35="L (20-40h)",30,IF(C35="M (10-20h)",15,IF(C35="S (&lt;10h)",5,"")))))</f>
        <v/>
      </c>
      <c r="I35" s="16"/>
      <c r="J35" s="67" t="str">
        <f>IF($E35="Q12026",COUNTIF($E$3:$E35,"Q12026"),"")</f>
        <v/>
      </c>
      <c r="K35" s="67" t="str">
        <f>IF($E35="Q22026",COUNTIF($E$3:$E35,"Q22026"),"")</f>
        <v/>
      </c>
      <c r="L35" s="67" t="str">
        <f>IF($E35="Q32026",COUNTIF($E$3:$E35,"Q32026"),"")</f>
        <v/>
      </c>
      <c r="M35" s="67" t="str">
        <f>IF($E35="Q42026",COUNTIF($E$3:$E35,"Q42026"),"")</f>
        <v/>
      </c>
      <c r="N35" s="67" t="str">
        <f>IF($E35="Backlog",COUNTIF($E$3:$E35,"Backlog"),"")</f>
        <v/>
      </c>
    </row>
    <row r="36" spans="1:14" ht="24.75" customHeight="1">
      <c r="A36" s="68">
        <v>34</v>
      </c>
      <c r="B36" s="18"/>
      <c r="C36" s="19"/>
      <c r="D36" s="19"/>
      <c r="E36" s="19"/>
      <c r="F36" s="19"/>
      <c r="G36" s="19"/>
      <c r="H36" s="69" t="str">
        <f>IF(C36="XXL (&gt;160h)",168,IF(C36="XL (&gt;40h)",48,IF(C36="L (20-40h)",30,IF(C36="M (10-20h)",15,IF(C36="S (&lt;10h)",5,"")))))</f>
        <v/>
      </c>
      <c r="I36" s="18"/>
      <c r="J36" s="67" t="str">
        <f>IF($E36="Q12026",COUNTIF($E$3:$E36,"Q12026"),"")</f>
        <v/>
      </c>
      <c r="K36" s="67" t="str">
        <f>IF($E36="Q22026",COUNTIF($E$3:$E36,"Q22026"),"")</f>
        <v/>
      </c>
      <c r="L36" s="67" t="str">
        <f>IF($E36="Q32026",COUNTIF($E$3:$E36,"Q32026"),"")</f>
        <v/>
      </c>
      <c r="M36" s="67" t="str">
        <f>IF($E36="Q42026",COUNTIF($E$3:$E36,"Q42026"),"")</f>
        <v/>
      </c>
      <c r="N36" s="67" t="str">
        <f>IF($E36="Backlog",COUNTIF($E$3:$E36,"Backlog"),"")</f>
        <v/>
      </c>
    </row>
    <row r="37" spans="1:14" ht="24.75" customHeight="1">
      <c r="A37" s="65">
        <v>35</v>
      </c>
      <c r="B37" s="16"/>
      <c r="C37" s="17"/>
      <c r="D37" s="17"/>
      <c r="E37" s="17"/>
      <c r="F37" s="17"/>
      <c r="G37" s="17"/>
      <c r="H37" s="66" t="str">
        <f>IF(C37="XXL (&gt;160h)",168,IF(C37="XL (&gt;40h)",48,IF(C37="L (20-40h)",30,IF(C37="M (10-20h)",15,IF(C37="S (&lt;10h)",5,"")))))</f>
        <v/>
      </c>
      <c r="I37" s="16"/>
      <c r="J37" s="67" t="str">
        <f>IF($E37="Q12026",COUNTIF($E$3:$E37,"Q12026"),"")</f>
        <v/>
      </c>
      <c r="K37" s="67" t="str">
        <f>IF($E37="Q22026",COUNTIF($E$3:$E37,"Q22026"),"")</f>
        <v/>
      </c>
      <c r="L37" s="67" t="str">
        <f>IF($E37="Q32026",COUNTIF($E$3:$E37,"Q32026"),"")</f>
        <v/>
      </c>
      <c r="M37" s="67" t="str">
        <f>IF($E37="Q42026",COUNTIF($E$3:$E37,"Q42026"),"")</f>
        <v/>
      </c>
      <c r="N37" s="67" t="str">
        <f>IF($E37="Backlog",COUNTIF($E$3:$E37,"Backlog"),"")</f>
        <v/>
      </c>
    </row>
    <row r="38" spans="1:14" ht="24.75" customHeight="1">
      <c r="A38" s="68">
        <v>36</v>
      </c>
      <c r="B38" s="18"/>
      <c r="C38" s="19"/>
      <c r="D38" s="19"/>
      <c r="E38" s="19"/>
      <c r="F38" s="19"/>
      <c r="G38" s="19"/>
      <c r="H38" s="69" t="str">
        <f>IF(C38="XXL (&gt;160h)",168,IF(C38="XL (&gt;40h)",48,IF(C38="L (20-40h)",30,IF(C38="M (10-20h)",15,IF(C38="S (&lt;10h)",5,"")))))</f>
        <v/>
      </c>
      <c r="I38" s="18"/>
      <c r="J38" s="67" t="str">
        <f>IF($E38="Q12026",COUNTIF($E$3:$E38,"Q12026"),"")</f>
        <v/>
      </c>
      <c r="K38" s="67" t="str">
        <f>IF($E38="Q22026",COUNTIF($E$3:$E38,"Q22026"),"")</f>
        <v/>
      </c>
      <c r="L38" s="67" t="str">
        <f>IF($E38="Q32026",COUNTIF($E$3:$E38,"Q32026"),"")</f>
        <v/>
      </c>
      <c r="M38" s="67" t="str">
        <f>IF($E38="Q42026",COUNTIF($E$3:$E38,"Q42026"),"")</f>
        <v/>
      </c>
      <c r="N38" s="67" t="str">
        <f>IF($E38="Backlog",COUNTIF($E$3:$E38,"Backlog"),"")</f>
        <v/>
      </c>
    </row>
    <row r="39" spans="1:14" ht="24.75" customHeight="1">
      <c r="A39" s="65">
        <v>37</v>
      </c>
      <c r="B39" s="16"/>
      <c r="C39" s="17"/>
      <c r="D39" s="17"/>
      <c r="E39" s="17"/>
      <c r="F39" s="17"/>
      <c r="G39" s="17"/>
      <c r="H39" s="66" t="str">
        <f>IF(C39="XXL (&gt;160h)",168,IF(C39="XL (&gt;40h)",48,IF(C39="L (20-40h)",30,IF(C39="M (10-20h)",15,IF(C39="S (&lt;10h)",5,"")))))</f>
        <v/>
      </c>
      <c r="I39" s="16"/>
      <c r="J39" s="67" t="str">
        <f>IF($E39="Q12026",COUNTIF($E$3:$E39,"Q12026"),"")</f>
        <v/>
      </c>
      <c r="K39" s="67" t="str">
        <f>IF($E39="Q22026",COUNTIF($E$3:$E39,"Q22026"),"")</f>
        <v/>
      </c>
      <c r="L39" s="67" t="str">
        <f>IF($E39="Q32026",COUNTIF($E$3:$E39,"Q32026"),"")</f>
        <v/>
      </c>
      <c r="M39" s="67" t="str">
        <f>IF($E39="Q42026",COUNTIF($E$3:$E39,"Q42026"),"")</f>
        <v/>
      </c>
      <c r="N39" s="67" t="str">
        <f>IF($E39="Backlog",COUNTIF($E$3:$E39,"Backlog"),"")</f>
        <v/>
      </c>
    </row>
    <row r="40" spans="1:14" ht="24.75" customHeight="1">
      <c r="A40" s="68">
        <v>38</v>
      </c>
      <c r="B40" s="18"/>
      <c r="C40" s="19"/>
      <c r="D40" s="19"/>
      <c r="E40" s="19"/>
      <c r="F40" s="19"/>
      <c r="G40" s="19"/>
      <c r="H40" s="69" t="str">
        <f>IF(C40="XXL (&gt;160h)",168,IF(C40="XL (&gt;40h)",48,IF(C40="L (20-40h)",30,IF(C40="M (10-20h)",15,IF(C40="S (&lt;10h)",5,"")))))</f>
        <v/>
      </c>
      <c r="I40" s="18"/>
      <c r="J40" s="67" t="str">
        <f>IF($E40="Q12026",COUNTIF($E$3:$E40,"Q12026"),"")</f>
        <v/>
      </c>
      <c r="K40" s="67" t="str">
        <f>IF($E40="Q22026",COUNTIF($E$3:$E40,"Q22026"),"")</f>
        <v/>
      </c>
      <c r="L40" s="67" t="str">
        <f>IF($E40="Q32026",COUNTIF($E$3:$E40,"Q32026"),"")</f>
        <v/>
      </c>
      <c r="M40" s="67" t="str">
        <f>IF($E40="Q42026",COUNTIF($E$3:$E40,"Q42026"),"")</f>
        <v/>
      </c>
      <c r="N40" s="67" t="str">
        <f>IF($E40="Backlog",COUNTIF($E$3:$E40,"Backlog"),"")</f>
        <v/>
      </c>
    </row>
    <row r="41" spans="1:14" ht="24.75" customHeight="1">
      <c r="A41" s="65">
        <v>39</v>
      </c>
      <c r="B41" s="16"/>
      <c r="C41" s="17"/>
      <c r="D41" s="17"/>
      <c r="E41" s="17"/>
      <c r="F41" s="17"/>
      <c r="G41" s="17"/>
      <c r="H41" s="66" t="str">
        <f>IF(C41="XXL (&gt;160h)",168,IF(C41="XL (&gt;40h)",48,IF(C41="L (20-40h)",30,IF(C41="M (10-20h)",15,IF(C41="S (&lt;10h)",5,"")))))</f>
        <v/>
      </c>
      <c r="I41" s="16"/>
      <c r="J41" s="67" t="str">
        <f>IF($E41="Q12026",COUNTIF($E$3:$E41,"Q12026"),"")</f>
        <v/>
      </c>
      <c r="K41" s="67" t="str">
        <f>IF($E41="Q22026",COUNTIF($E$3:$E41,"Q22026"),"")</f>
        <v/>
      </c>
      <c r="L41" s="67" t="str">
        <f>IF($E41="Q32026",COUNTIF($E$3:$E41,"Q32026"),"")</f>
        <v/>
      </c>
      <c r="M41" s="67" t="str">
        <f>IF($E41="Q42026",COUNTIF($E$3:$E41,"Q42026"),"")</f>
        <v/>
      </c>
      <c r="N41" s="67" t="str">
        <f>IF($E41="Backlog",COUNTIF($E$3:$E41,"Backlog"),"")</f>
        <v/>
      </c>
    </row>
    <row r="42" spans="1:14" ht="24.75" customHeight="1">
      <c r="A42" s="68">
        <v>40</v>
      </c>
      <c r="B42" s="18"/>
      <c r="C42" s="19"/>
      <c r="D42" s="19"/>
      <c r="E42" s="19"/>
      <c r="F42" s="19"/>
      <c r="G42" s="19"/>
      <c r="H42" s="69" t="str">
        <f>IF(C42="XXL (&gt;160h)",168,IF(C42="XL (&gt;40h)",48,IF(C42="L (20-40h)",30,IF(C42="M (10-20h)",15,IF(C42="S (&lt;10h)",5,"")))))</f>
        <v/>
      </c>
      <c r="I42" s="18"/>
      <c r="J42" s="67" t="str">
        <f>IF($E42="Q12026",COUNTIF($E$3:$E42,"Q12026"),"")</f>
        <v/>
      </c>
      <c r="K42" s="67" t="str">
        <f>IF($E42="Q22026",COUNTIF($E$3:$E42,"Q22026"),"")</f>
        <v/>
      </c>
      <c r="L42" s="67" t="str">
        <f>IF($E42="Q32026",COUNTIF($E$3:$E42,"Q32026"),"")</f>
        <v/>
      </c>
      <c r="M42" s="67" t="str">
        <f>IF($E42="Q42026",COUNTIF($E$3:$E42,"Q42026"),"")</f>
        <v/>
      </c>
      <c r="N42" s="67" t="str">
        <f>IF($E42="Backlog",COUNTIF($E$3:$E42,"Backlog"),"")</f>
        <v/>
      </c>
    </row>
    <row r="43" spans="1:14" ht="24.75" customHeight="1">
      <c r="A43" s="65">
        <v>41</v>
      </c>
      <c r="B43" s="16"/>
      <c r="C43" s="17"/>
      <c r="D43" s="17"/>
      <c r="E43" s="17"/>
      <c r="F43" s="17"/>
      <c r="G43" s="17"/>
      <c r="H43" s="66" t="str">
        <f>IF(C43="XXL (&gt;160h)",168,IF(C43="XL (&gt;40h)",48,IF(C43="L (20-40h)",30,IF(C43="M (10-20h)",15,IF(C43="S (&lt;10h)",5,"")))))</f>
        <v/>
      </c>
      <c r="I43" s="16"/>
      <c r="J43" s="67" t="str">
        <f>IF($E43="Q12026",COUNTIF($E$3:$E43,"Q12026"),"")</f>
        <v/>
      </c>
      <c r="K43" s="67" t="str">
        <f>IF($E43="Q22026",COUNTIF($E$3:$E43,"Q22026"),"")</f>
        <v/>
      </c>
      <c r="L43" s="67" t="str">
        <f>IF($E43="Q32026",COUNTIF($E$3:$E43,"Q32026"),"")</f>
        <v/>
      </c>
      <c r="M43" s="67" t="str">
        <f>IF($E43="Q42026",COUNTIF($E$3:$E43,"Q42026"),"")</f>
        <v/>
      </c>
      <c r="N43" s="67" t="str">
        <f>IF($E43="Backlog",COUNTIF($E$3:$E43,"Backlog"),"")</f>
        <v/>
      </c>
    </row>
    <row r="44" spans="1:14" ht="24.75" customHeight="1">
      <c r="A44" s="68">
        <v>42</v>
      </c>
      <c r="B44" s="18"/>
      <c r="C44" s="19"/>
      <c r="D44" s="19"/>
      <c r="E44" s="19"/>
      <c r="F44" s="19"/>
      <c r="G44" s="19"/>
      <c r="H44" s="69" t="str">
        <f>IF(C44="XXL (&gt;160h)",168,IF(C44="XL (&gt;40h)",48,IF(C44="L (20-40h)",30,IF(C44="M (10-20h)",15,IF(C44="S (&lt;10h)",5,"")))))</f>
        <v/>
      </c>
      <c r="I44" s="18"/>
      <c r="J44" s="67" t="str">
        <f>IF($E44="Q12026",COUNTIF($E$3:$E44,"Q12026"),"")</f>
        <v/>
      </c>
      <c r="K44" s="67" t="str">
        <f>IF($E44="Q22026",COUNTIF($E$3:$E44,"Q22026"),"")</f>
        <v/>
      </c>
      <c r="L44" s="67" t="str">
        <f>IF($E44="Q32026",COUNTIF($E$3:$E44,"Q32026"),"")</f>
        <v/>
      </c>
      <c r="M44" s="67" t="str">
        <f>IF($E44="Q42026",COUNTIF($E$3:$E44,"Q42026"),"")</f>
        <v/>
      </c>
      <c r="N44" s="67" t="str">
        <f>IF($E44="Backlog",COUNTIF($E$3:$E44,"Backlog"),"")</f>
        <v/>
      </c>
    </row>
    <row r="45" spans="1:14" ht="24.75" customHeight="1">
      <c r="A45" s="65">
        <v>43</v>
      </c>
      <c r="B45" s="16"/>
      <c r="C45" s="17"/>
      <c r="D45" s="17"/>
      <c r="E45" s="17"/>
      <c r="F45" s="17"/>
      <c r="G45" s="17"/>
      <c r="H45" s="66" t="str">
        <f>IF(C45="XXL (&gt;160h)",168,IF(C45="XL (&gt;40h)",48,IF(C45="L (20-40h)",30,IF(C45="M (10-20h)",15,IF(C45="S (&lt;10h)",5,"")))))</f>
        <v/>
      </c>
      <c r="I45" s="16"/>
      <c r="J45" s="67" t="str">
        <f>IF($E45="Q12026",COUNTIF($E$3:$E45,"Q12026"),"")</f>
        <v/>
      </c>
      <c r="K45" s="67" t="str">
        <f>IF($E45="Q22026",COUNTIF($E$3:$E45,"Q22026"),"")</f>
        <v/>
      </c>
      <c r="L45" s="67" t="str">
        <f>IF($E45="Q32026",COUNTIF($E$3:$E45,"Q32026"),"")</f>
        <v/>
      </c>
      <c r="M45" s="67" t="str">
        <f>IF($E45="Q42026",COUNTIF($E$3:$E45,"Q42026"),"")</f>
        <v/>
      </c>
      <c r="N45" s="67" t="str">
        <f>IF($E45="Backlog",COUNTIF($E$3:$E45,"Backlog"),"")</f>
        <v/>
      </c>
    </row>
    <row r="46" spans="1:14" ht="24.75" customHeight="1">
      <c r="A46" s="68">
        <v>44</v>
      </c>
      <c r="B46" s="18"/>
      <c r="C46" s="19"/>
      <c r="D46" s="19"/>
      <c r="E46" s="19"/>
      <c r="F46" s="19"/>
      <c r="G46" s="19"/>
      <c r="H46" s="69" t="str">
        <f>IF(C46="XXL (&gt;160h)",168,IF(C46="XL (&gt;40h)",48,IF(C46="L (20-40h)",30,IF(C46="M (10-20h)",15,IF(C46="S (&lt;10h)",5,"")))))</f>
        <v/>
      </c>
      <c r="I46" s="18"/>
      <c r="J46" s="67" t="str">
        <f>IF($E46="Q12026",COUNTIF($E$3:$E46,"Q12026"),"")</f>
        <v/>
      </c>
      <c r="K46" s="67" t="str">
        <f>IF($E46="Q22026",COUNTIF($E$3:$E46,"Q22026"),"")</f>
        <v/>
      </c>
      <c r="L46" s="67" t="str">
        <f>IF($E46="Q32026",COUNTIF($E$3:$E46,"Q32026"),"")</f>
        <v/>
      </c>
      <c r="M46" s="67" t="str">
        <f>IF($E46="Q42026",COUNTIF($E$3:$E46,"Q42026"),"")</f>
        <v/>
      </c>
      <c r="N46" s="67" t="str">
        <f>IF($E46="Backlog",COUNTIF($E$3:$E46,"Backlog"),"")</f>
        <v/>
      </c>
    </row>
    <row r="47" spans="1:14" ht="24.75" customHeight="1">
      <c r="A47" s="65">
        <v>45</v>
      </c>
      <c r="B47" s="16"/>
      <c r="C47" s="17"/>
      <c r="D47" s="17"/>
      <c r="E47" s="17"/>
      <c r="F47" s="17"/>
      <c r="G47" s="17"/>
      <c r="H47" s="66" t="str">
        <f>IF(C47="XXL (&gt;160h)",168,IF(C47="XL (&gt;40h)",48,IF(C47="L (20-40h)",30,IF(C47="M (10-20h)",15,IF(C47="S (&lt;10h)",5,"")))))</f>
        <v/>
      </c>
      <c r="I47" s="16"/>
      <c r="J47" s="67" t="str">
        <f>IF($E47="Q12026",COUNTIF($E$3:$E47,"Q12026"),"")</f>
        <v/>
      </c>
      <c r="K47" s="67" t="str">
        <f>IF($E47="Q22026",COUNTIF($E$3:$E47,"Q22026"),"")</f>
        <v/>
      </c>
      <c r="L47" s="67" t="str">
        <f>IF($E47="Q32026",COUNTIF($E$3:$E47,"Q32026"),"")</f>
        <v/>
      </c>
      <c r="M47" s="67" t="str">
        <f>IF($E47="Q42026",COUNTIF($E$3:$E47,"Q42026"),"")</f>
        <v/>
      </c>
      <c r="N47" s="67" t="str">
        <f>IF($E47="Backlog",COUNTIF($E$3:$E47,"Backlog"),"")</f>
        <v/>
      </c>
    </row>
    <row r="48" spans="1:14" ht="24.75" customHeight="1">
      <c r="A48" s="68">
        <v>46</v>
      </c>
      <c r="B48" s="18"/>
      <c r="C48" s="19"/>
      <c r="D48" s="19"/>
      <c r="E48" s="19"/>
      <c r="F48" s="19"/>
      <c r="G48" s="19"/>
      <c r="H48" s="69" t="str">
        <f>IF(C48="XXL (&gt;160h)",168,IF(C48="XL (&gt;40h)",48,IF(C48="L (20-40h)",30,IF(C48="M (10-20h)",15,IF(C48="S (&lt;10h)",5,"")))))</f>
        <v/>
      </c>
      <c r="I48" s="18"/>
      <c r="J48" s="67" t="str">
        <f>IF($E48="Q12026",COUNTIF($E$3:$E48,"Q12026"),"")</f>
        <v/>
      </c>
      <c r="K48" s="67" t="str">
        <f>IF($E48="Q22026",COUNTIF($E$3:$E48,"Q22026"),"")</f>
        <v/>
      </c>
      <c r="L48" s="67" t="str">
        <f>IF($E48="Q32026",COUNTIF($E$3:$E48,"Q32026"),"")</f>
        <v/>
      </c>
      <c r="M48" s="67" t="str">
        <f>IF($E48="Q42026",COUNTIF($E$3:$E48,"Q42026"),"")</f>
        <v/>
      </c>
      <c r="N48" s="67" t="str">
        <f>IF($E48="Backlog",COUNTIF($E$3:$E48,"Backlog"),"")</f>
        <v/>
      </c>
    </row>
    <row r="49" spans="1:14" ht="24.75" customHeight="1">
      <c r="A49" s="65">
        <v>47</v>
      </c>
      <c r="B49" s="16"/>
      <c r="C49" s="17"/>
      <c r="D49" s="17"/>
      <c r="E49" s="17"/>
      <c r="F49" s="17"/>
      <c r="G49" s="17"/>
      <c r="H49" s="66" t="str">
        <f>IF(C49="XXL (&gt;160h)",168,IF(C49="XL (&gt;40h)",48,IF(C49="L (20-40h)",30,IF(C49="M (10-20h)",15,IF(C49="S (&lt;10h)",5,"")))))</f>
        <v/>
      </c>
      <c r="I49" s="16"/>
      <c r="J49" s="67" t="str">
        <f>IF($E49="Q12026",COUNTIF($E$3:$E49,"Q12026"),"")</f>
        <v/>
      </c>
      <c r="K49" s="67" t="str">
        <f>IF($E49="Q22026",COUNTIF($E$3:$E49,"Q22026"),"")</f>
        <v/>
      </c>
      <c r="L49" s="67" t="str">
        <f>IF($E49="Q32026",COUNTIF($E$3:$E49,"Q32026"),"")</f>
        <v/>
      </c>
      <c r="M49" s="67" t="str">
        <f>IF($E49="Q42026",COUNTIF($E$3:$E49,"Q42026"),"")</f>
        <v/>
      </c>
      <c r="N49" s="67" t="str">
        <f>IF($E49="Backlog",COUNTIF($E$3:$E49,"Backlog"),"")</f>
        <v/>
      </c>
    </row>
    <row r="50" spans="1:14" ht="24.75" customHeight="1">
      <c r="A50" s="68">
        <v>48</v>
      </c>
      <c r="B50" s="18"/>
      <c r="C50" s="19"/>
      <c r="D50" s="19"/>
      <c r="E50" s="19"/>
      <c r="F50" s="19"/>
      <c r="G50" s="19"/>
      <c r="H50" s="69" t="str">
        <f>IF(C50="XXL (&gt;160h)",168,IF(C50="XL (&gt;40h)",48,IF(C50="L (20-40h)",30,IF(C50="M (10-20h)",15,IF(C50="S (&lt;10h)",5,"")))))</f>
        <v/>
      </c>
      <c r="I50" s="18"/>
      <c r="J50" s="67" t="str">
        <f>IF($E50="Q12026",COUNTIF($E$3:$E50,"Q12026"),"")</f>
        <v/>
      </c>
      <c r="K50" s="67" t="str">
        <f>IF($E50="Q22026",COUNTIF($E$3:$E50,"Q22026"),"")</f>
        <v/>
      </c>
      <c r="L50" s="67" t="str">
        <f>IF($E50="Q32026",COUNTIF($E$3:$E50,"Q32026"),"")</f>
        <v/>
      </c>
      <c r="M50" s="67" t="str">
        <f>IF($E50="Q42026",COUNTIF($E$3:$E50,"Q42026"),"")</f>
        <v/>
      </c>
      <c r="N50" s="67" t="str">
        <f>IF($E50="Backlog",COUNTIF($E$3:$E50,"Backlog"),"")</f>
        <v/>
      </c>
    </row>
    <row r="51" spans="1:14" ht="24.75" customHeight="1">
      <c r="A51" s="65">
        <v>49</v>
      </c>
      <c r="B51" s="16"/>
      <c r="C51" s="17"/>
      <c r="D51" s="17"/>
      <c r="E51" s="17"/>
      <c r="F51" s="17"/>
      <c r="G51" s="17"/>
      <c r="H51" s="66" t="str">
        <f>IF(C51="XXL (&gt;160h)",168,IF(C51="XL (&gt;40h)",48,IF(C51="L (20-40h)",30,IF(C51="M (10-20h)",15,IF(C51="S (&lt;10h)",5,"")))))</f>
        <v/>
      </c>
      <c r="I51" s="16"/>
      <c r="J51" s="67" t="str">
        <f>IF($E51="Q12026",COUNTIF($E$3:$E51,"Q12026"),"")</f>
        <v/>
      </c>
      <c r="K51" s="67" t="str">
        <f>IF($E51="Q22026",COUNTIF($E$3:$E51,"Q22026"),"")</f>
        <v/>
      </c>
      <c r="L51" s="67" t="str">
        <f>IF($E51="Q32026",COUNTIF($E$3:$E51,"Q32026"),"")</f>
        <v/>
      </c>
      <c r="M51" s="67" t="str">
        <f>IF($E51="Q42026",COUNTIF($E$3:$E51,"Q42026"),"")</f>
        <v/>
      </c>
      <c r="N51" s="67" t="str">
        <f>IF($E51="Backlog",COUNTIF($E$3:$E51,"Backlog"),"")</f>
        <v/>
      </c>
    </row>
    <row r="52" spans="1:14" ht="24.75" customHeight="1">
      <c r="A52" s="68">
        <v>50</v>
      </c>
      <c r="B52" s="18"/>
      <c r="C52" s="19"/>
      <c r="D52" s="19"/>
      <c r="E52" s="19"/>
      <c r="F52" s="19"/>
      <c r="G52" s="19"/>
      <c r="H52" s="69" t="str">
        <f>IF(C52="XXL (&gt;160h)",168,IF(C52="XL (&gt;40h)",48,IF(C52="L (20-40h)",30,IF(C52="M (10-20h)",15,IF(C52="S (&lt;10h)",5,"")))))</f>
        <v/>
      </c>
      <c r="I52" s="18"/>
      <c r="J52" s="67" t="str">
        <f>IF($E52="Q12026",COUNTIF($E$3:$E52,"Q12026"),"")</f>
        <v/>
      </c>
      <c r="K52" s="67" t="str">
        <f>IF($E52="Q22026",COUNTIF($E$3:$E52,"Q22026"),"")</f>
        <v/>
      </c>
      <c r="L52" s="67" t="str">
        <f>IF($E52="Q32026",COUNTIF($E$3:$E52,"Q32026"),"")</f>
        <v/>
      </c>
      <c r="M52" s="67" t="str">
        <f>IF($E52="Q42026",COUNTIF($E$3:$E52,"Q42026"),"")</f>
        <v/>
      </c>
      <c r="N52" s="67" t="str">
        <f>IF($E52="Backlog",COUNTIF($E$3:$E52,"Backlog"),"")</f>
        <v/>
      </c>
    </row>
    <row r="53" spans="1:14" ht="24.75" customHeight="1">
      <c r="A53" s="65">
        <v>51</v>
      </c>
      <c r="B53" s="16"/>
      <c r="C53" s="17"/>
      <c r="D53" s="17"/>
      <c r="E53" s="17"/>
      <c r="F53" s="17"/>
      <c r="G53" s="17"/>
      <c r="H53" s="66" t="str">
        <f>IF(C53="XXL (&gt;160h)",168,IF(C53="XL (&gt;40h)",48,IF(C53="L (20-40h)",30,IF(C53="M (10-20h)",15,IF(C53="S (&lt;10h)",5,"")))))</f>
        <v/>
      </c>
      <c r="I53" s="16"/>
      <c r="J53" s="67" t="str">
        <f>IF($E53="Q12026",COUNTIF($E$3:$E53,"Q12026"),"")</f>
        <v/>
      </c>
      <c r="K53" s="67" t="str">
        <f>IF($E53="Q22026",COUNTIF($E$3:$E53,"Q22026"),"")</f>
        <v/>
      </c>
      <c r="L53" s="67" t="str">
        <f>IF($E53="Q32026",COUNTIF($E$3:$E53,"Q32026"),"")</f>
        <v/>
      </c>
      <c r="M53" s="67" t="str">
        <f>IF($E53="Q42026",COUNTIF($E$3:$E53,"Q42026"),"")</f>
        <v/>
      </c>
      <c r="N53" s="67" t="str">
        <f>IF($E53="Backlog",COUNTIF($E$3:$E53,"Backlog"),"")</f>
        <v/>
      </c>
    </row>
    <row r="54" spans="1:14" ht="24.75" customHeight="1">
      <c r="A54" s="68">
        <v>52</v>
      </c>
      <c r="B54" s="18"/>
      <c r="C54" s="19"/>
      <c r="D54" s="19"/>
      <c r="E54" s="19"/>
      <c r="F54" s="19"/>
      <c r="G54" s="19"/>
      <c r="H54" s="69" t="str">
        <f>IF(C54="XXL (&gt;160h)",168,IF(C54="XL (&gt;40h)",48,IF(C54="L (20-40h)",30,IF(C54="M (10-20h)",15,IF(C54="S (&lt;10h)",5,"")))))</f>
        <v/>
      </c>
      <c r="I54" s="18"/>
      <c r="J54" s="67" t="str">
        <f>IF($E54="Q12026",COUNTIF($E$3:$E54,"Q12026"),"")</f>
        <v/>
      </c>
      <c r="K54" s="67" t="str">
        <f>IF($E54="Q22026",COUNTIF($E$3:$E54,"Q22026"),"")</f>
        <v/>
      </c>
      <c r="L54" s="67" t="str">
        <f>IF($E54="Q32026",COUNTIF($E$3:$E54,"Q32026"),"")</f>
        <v/>
      </c>
      <c r="M54" s="67" t="str">
        <f>IF($E54="Q42026",COUNTIF($E$3:$E54,"Q42026"),"")</f>
        <v/>
      </c>
      <c r="N54" s="67" t="str">
        <f>IF($E54="Backlog",COUNTIF($E$3:$E54,"Backlog"),"")</f>
        <v/>
      </c>
    </row>
    <row r="55" spans="1:14" ht="24.75" customHeight="1">
      <c r="A55" s="65">
        <v>53</v>
      </c>
      <c r="B55" s="16"/>
      <c r="C55" s="17"/>
      <c r="D55" s="17"/>
      <c r="E55" s="17"/>
      <c r="F55" s="17"/>
      <c r="G55" s="17"/>
      <c r="H55" s="66" t="str">
        <f>IF(C55="XXL (&gt;160h)",168,IF(C55="XL (&gt;40h)",48,IF(C55="L (20-40h)",30,IF(C55="M (10-20h)",15,IF(C55="S (&lt;10h)",5,"")))))</f>
        <v/>
      </c>
      <c r="I55" s="16"/>
      <c r="J55" s="67" t="str">
        <f>IF($E55="Q12026",COUNTIF($E$3:$E55,"Q12026"),"")</f>
        <v/>
      </c>
      <c r="K55" s="67" t="str">
        <f>IF($E55="Q22026",COUNTIF($E$3:$E55,"Q22026"),"")</f>
        <v/>
      </c>
      <c r="L55" s="67" t="str">
        <f>IF($E55="Q32026",COUNTIF($E$3:$E55,"Q32026"),"")</f>
        <v/>
      </c>
      <c r="M55" s="67" t="str">
        <f>IF($E55="Q42026",COUNTIF($E$3:$E55,"Q42026"),"")</f>
        <v/>
      </c>
      <c r="N55" s="67" t="str">
        <f>IF($E55="Backlog",COUNTIF($E$3:$E55,"Backlog"),"")</f>
        <v/>
      </c>
    </row>
    <row r="56" spans="1:14" ht="24.75" customHeight="1">
      <c r="A56" s="68">
        <v>54</v>
      </c>
      <c r="B56" s="18"/>
      <c r="C56" s="19"/>
      <c r="D56" s="19"/>
      <c r="E56" s="19"/>
      <c r="F56" s="19"/>
      <c r="G56" s="19"/>
      <c r="H56" s="69" t="str">
        <f>IF(C56="XXL (&gt;160h)",168,IF(C56="XL (&gt;40h)",48,IF(C56="L (20-40h)",30,IF(C56="M (10-20h)",15,IF(C56="S (&lt;10h)",5,"")))))</f>
        <v/>
      </c>
      <c r="I56" s="18"/>
      <c r="J56" s="67" t="str">
        <f>IF($E56="Q12026",COUNTIF($E$3:$E56,"Q12026"),"")</f>
        <v/>
      </c>
      <c r="K56" s="67" t="str">
        <f>IF($E56="Q22026",COUNTIF($E$3:$E56,"Q22026"),"")</f>
        <v/>
      </c>
      <c r="L56" s="67" t="str">
        <f>IF($E56="Q32026",COUNTIF($E$3:$E56,"Q32026"),"")</f>
        <v/>
      </c>
      <c r="M56" s="67" t="str">
        <f>IF($E56="Q42026",COUNTIF($E$3:$E56,"Q42026"),"")</f>
        <v/>
      </c>
      <c r="N56" s="67" t="str">
        <f>IF($E56="Backlog",COUNTIF($E$3:$E56,"Backlog"),"")</f>
        <v/>
      </c>
    </row>
    <row r="57" spans="1:14" ht="24.75" customHeight="1">
      <c r="A57" s="65">
        <v>55</v>
      </c>
      <c r="B57" s="16"/>
      <c r="C57" s="17"/>
      <c r="D57" s="17"/>
      <c r="E57" s="17"/>
      <c r="F57" s="17"/>
      <c r="G57" s="17"/>
      <c r="H57" s="66" t="str">
        <f>IF(C57="XXL (&gt;160h)",168,IF(C57="XL (&gt;40h)",48,IF(C57="L (20-40h)",30,IF(C57="M (10-20h)",15,IF(C57="S (&lt;10h)",5,"")))))</f>
        <v/>
      </c>
      <c r="I57" s="16"/>
      <c r="J57" s="67" t="str">
        <f>IF($E57="Q12026",COUNTIF($E$3:$E57,"Q12026"),"")</f>
        <v/>
      </c>
      <c r="K57" s="67" t="str">
        <f>IF($E57="Q22026",COUNTIF($E$3:$E57,"Q22026"),"")</f>
        <v/>
      </c>
      <c r="L57" s="67" t="str">
        <f>IF($E57="Q32026",COUNTIF($E$3:$E57,"Q32026"),"")</f>
        <v/>
      </c>
      <c r="M57" s="67" t="str">
        <f>IF($E57="Q42026",COUNTIF($E$3:$E57,"Q42026"),"")</f>
        <v/>
      </c>
      <c r="N57" s="67" t="str">
        <f>IF($E57="Backlog",COUNTIF($E$3:$E57,"Backlog"),"")</f>
        <v/>
      </c>
    </row>
    <row r="58" spans="1:14" ht="24.75" customHeight="1">
      <c r="A58" s="68">
        <v>56</v>
      </c>
      <c r="B58" s="18"/>
      <c r="C58" s="19"/>
      <c r="D58" s="19"/>
      <c r="E58" s="19"/>
      <c r="F58" s="19"/>
      <c r="G58" s="19"/>
      <c r="H58" s="69" t="str">
        <f>IF(C58="XXL (&gt;160h)",168,IF(C58="XL (&gt;40h)",48,IF(C58="L (20-40h)",30,IF(C58="M (10-20h)",15,IF(C58="S (&lt;10h)",5,"")))))</f>
        <v/>
      </c>
      <c r="I58" s="18"/>
      <c r="J58" s="67" t="str">
        <f>IF($E58="Q12026",COUNTIF($E$3:$E58,"Q12026"),"")</f>
        <v/>
      </c>
      <c r="K58" s="67" t="str">
        <f>IF($E58="Q22026",COUNTIF($E$3:$E58,"Q22026"),"")</f>
        <v/>
      </c>
      <c r="L58" s="67" t="str">
        <f>IF($E58="Q32026",COUNTIF($E$3:$E58,"Q32026"),"")</f>
        <v/>
      </c>
      <c r="M58" s="67" t="str">
        <f>IF($E58="Q42026",COUNTIF($E$3:$E58,"Q42026"),"")</f>
        <v/>
      </c>
      <c r="N58" s="67" t="str">
        <f>IF($E58="Backlog",COUNTIF($E$3:$E58,"Backlog"),"")</f>
        <v/>
      </c>
    </row>
    <row r="59" spans="1:14" ht="24.75" customHeight="1">
      <c r="A59" s="65">
        <v>57</v>
      </c>
      <c r="B59" s="16"/>
      <c r="C59" s="17"/>
      <c r="D59" s="17"/>
      <c r="E59" s="17"/>
      <c r="F59" s="17"/>
      <c r="G59" s="17"/>
      <c r="H59" s="66" t="str">
        <f>IF(C59="XXL (&gt;160h)",168,IF(C59="XL (&gt;40h)",48,IF(C59="L (20-40h)",30,IF(C59="M (10-20h)",15,IF(C59="S (&lt;10h)",5,"")))))</f>
        <v/>
      </c>
      <c r="I59" s="16"/>
      <c r="J59" s="67" t="str">
        <f>IF($E59="Q12026",COUNTIF($E$3:$E59,"Q12026"),"")</f>
        <v/>
      </c>
      <c r="K59" s="67" t="str">
        <f>IF($E59="Q22026",COUNTIF($E$3:$E59,"Q22026"),"")</f>
        <v/>
      </c>
      <c r="L59" s="67" t="str">
        <f>IF($E59="Q32026",COUNTIF($E$3:$E59,"Q32026"),"")</f>
        <v/>
      </c>
      <c r="M59" s="67" t="str">
        <f>IF($E59="Q42026",COUNTIF($E$3:$E59,"Q42026"),"")</f>
        <v/>
      </c>
      <c r="N59" s="67" t="str">
        <f>IF($E59="Backlog",COUNTIF($E$3:$E59,"Backlog"),"")</f>
        <v/>
      </c>
    </row>
    <row r="60" spans="1:14" ht="24.75" customHeight="1">
      <c r="A60" s="68">
        <v>58</v>
      </c>
      <c r="B60" s="18"/>
      <c r="C60" s="19"/>
      <c r="D60" s="19"/>
      <c r="E60" s="19"/>
      <c r="F60" s="19"/>
      <c r="G60" s="19"/>
      <c r="H60" s="69" t="str">
        <f>IF(C60="XXL (&gt;160h)",168,IF(C60="XL (&gt;40h)",48,IF(C60="L (20-40h)",30,IF(C60="M (10-20h)",15,IF(C60="S (&lt;10h)",5,"")))))</f>
        <v/>
      </c>
      <c r="I60" s="18"/>
      <c r="J60" s="67" t="str">
        <f>IF($E60="Q12026",COUNTIF($E$3:$E60,"Q12026"),"")</f>
        <v/>
      </c>
      <c r="K60" s="67" t="str">
        <f>IF($E60="Q22026",COUNTIF($E$3:$E60,"Q22026"),"")</f>
        <v/>
      </c>
      <c r="L60" s="67" t="str">
        <f>IF($E60="Q32026",COUNTIF($E$3:$E60,"Q32026"),"")</f>
        <v/>
      </c>
      <c r="M60" s="67" t="str">
        <f>IF($E60="Q42026",COUNTIF($E$3:$E60,"Q42026"),"")</f>
        <v/>
      </c>
      <c r="N60" s="67" t="str">
        <f>IF($E60="Backlog",COUNTIF($E$3:$E60,"Backlog"),"")</f>
        <v/>
      </c>
    </row>
    <row r="61" spans="1:14" ht="24.75" customHeight="1">
      <c r="A61" s="65">
        <v>59</v>
      </c>
      <c r="B61" s="16"/>
      <c r="C61" s="17"/>
      <c r="D61" s="17"/>
      <c r="E61" s="17"/>
      <c r="F61" s="17"/>
      <c r="G61" s="17"/>
      <c r="H61" s="66" t="str">
        <f>IF(C61="XXL (&gt;160h)",168,IF(C61="XL (&gt;40h)",48,IF(C61="L (20-40h)",30,IF(C61="M (10-20h)",15,IF(C61="S (&lt;10h)",5,"")))))</f>
        <v/>
      </c>
      <c r="I61" s="16"/>
      <c r="J61" s="67" t="str">
        <f>IF($E61="Q12026",COUNTIF($E$3:$E61,"Q12026"),"")</f>
        <v/>
      </c>
      <c r="K61" s="67" t="str">
        <f>IF($E61="Q22026",COUNTIF($E$3:$E61,"Q22026"),"")</f>
        <v/>
      </c>
      <c r="L61" s="67" t="str">
        <f>IF($E61="Q32026",COUNTIF($E$3:$E61,"Q32026"),"")</f>
        <v/>
      </c>
      <c r="M61" s="67" t="str">
        <f>IF($E61="Q42026",COUNTIF($E$3:$E61,"Q42026"),"")</f>
        <v/>
      </c>
      <c r="N61" s="67" t="str">
        <f>IF($E61="Backlog",COUNTIF($E$3:$E61,"Backlog"),"")</f>
        <v/>
      </c>
    </row>
    <row r="62" spans="1:14" ht="24.75" customHeight="1">
      <c r="A62" s="68">
        <v>60</v>
      </c>
      <c r="B62" s="18"/>
      <c r="C62" s="19"/>
      <c r="D62" s="19"/>
      <c r="E62" s="19"/>
      <c r="F62" s="19"/>
      <c r="G62" s="19"/>
      <c r="H62" s="69" t="str">
        <f>IF(C62="XXL (&gt;160h)",168,IF(C62="XL (&gt;40h)",48,IF(C62="L (20-40h)",30,IF(C62="M (10-20h)",15,IF(C62="S (&lt;10h)",5,"")))))</f>
        <v/>
      </c>
      <c r="I62" s="18"/>
      <c r="J62" s="67" t="str">
        <f>IF($E62="Q12026",COUNTIF($E$3:$E62,"Q12026"),"")</f>
        <v/>
      </c>
      <c r="K62" s="67" t="str">
        <f>IF($E62="Q22026",COUNTIF($E$3:$E62,"Q22026"),"")</f>
        <v/>
      </c>
      <c r="L62" s="67" t="str">
        <f>IF($E62="Q32026",COUNTIF($E$3:$E62,"Q32026"),"")</f>
        <v/>
      </c>
      <c r="M62" s="67" t="str">
        <f>IF($E62="Q42026",COUNTIF($E$3:$E62,"Q42026"),"")</f>
        <v/>
      </c>
      <c r="N62" s="67" t="str">
        <f>IF($E62="Backlog",COUNTIF($E$3:$E62,"Backlog"),"")</f>
        <v/>
      </c>
    </row>
    <row r="63" spans="1:14" ht="24.75" customHeight="1">
      <c r="A63" s="65">
        <v>61</v>
      </c>
      <c r="B63" s="16"/>
      <c r="C63" s="17"/>
      <c r="D63" s="17"/>
      <c r="E63" s="17"/>
      <c r="F63" s="17"/>
      <c r="G63" s="17"/>
      <c r="H63" s="66" t="str">
        <f>IF(C63="XXL (&gt;160h)",168,IF(C63="XL (&gt;40h)",48,IF(C63="L (20-40h)",30,IF(C63="M (10-20h)",15,IF(C63="S (&lt;10h)",5,"")))))</f>
        <v/>
      </c>
      <c r="I63" s="16"/>
      <c r="J63" s="67" t="str">
        <f>IF($E63="Q12026",COUNTIF($E$3:$E63,"Q12026"),"")</f>
        <v/>
      </c>
      <c r="K63" s="67" t="str">
        <f>IF($E63="Q22026",COUNTIF($E$3:$E63,"Q22026"),"")</f>
        <v/>
      </c>
      <c r="L63" s="67" t="str">
        <f>IF($E63="Q32026",COUNTIF($E$3:$E63,"Q32026"),"")</f>
        <v/>
      </c>
      <c r="M63" s="67" t="str">
        <f>IF($E63="Q42026",COUNTIF($E$3:$E63,"Q42026"),"")</f>
        <v/>
      </c>
      <c r="N63" s="67" t="str">
        <f>IF($E63="Backlog",COUNTIF($E$3:$E63,"Backlog"),"")</f>
        <v/>
      </c>
    </row>
    <row r="64" spans="1:14" ht="24.75" customHeight="1">
      <c r="A64" s="68">
        <v>62</v>
      </c>
      <c r="B64" s="18"/>
      <c r="C64" s="19"/>
      <c r="D64" s="19"/>
      <c r="E64" s="19"/>
      <c r="F64" s="19"/>
      <c r="G64" s="19"/>
      <c r="H64" s="69" t="str">
        <f>IF(C64="XXL (&gt;160h)",168,IF(C64="XL (&gt;40h)",48,IF(C64="L (20-40h)",30,IF(C64="M (10-20h)",15,IF(C64="S (&lt;10h)",5,"")))))</f>
        <v/>
      </c>
      <c r="I64" s="18"/>
      <c r="J64" s="67" t="str">
        <f>IF($E64="Q12026",COUNTIF($E$3:$E64,"Q12026"),"")</f>
        <v/>
      </c>
      <c r="K64" s="67" t="str">
        <f>IF($E64="Q22026",COUNTIF($E$3:$E64,"Q22026"),"")</f>
        <v/>
      </c>
      <c r="L64" s="67" t="str">
        <f>IF($E64="Q32026",COUNTIF($E$3:$E64,"Q32026"),"")</f>
        <v/>
      </c>
      <c r="M64" s="67" t="str">
        <f>IF($E64="Q42026",COUNTIF($E$3:$E64,"Q42026"),"")</f>
        <v/>
      </c>
      <c r="N64" s="67" t="str">
        <f>IF($E64="Backlog",COUNTIF($E$3:$E64,"Backlog"),"")</f>
        <v/>
      </c>
    </row>
    <row r="65" spans="1:14" ht="24.75" customHeight="1">
      <c r="A65" s="65">
        <v>63</v>
      </c>
      <c r="B65" s="16"/>
      <c r="C65" s="17"/>
      <c r="D65" s="17"/>
      <c r="E65" s="17"/>
      <c r="F65" s="17"/>
      <c r="G65" s="17"/>
      <c r="H65" s="66" t="str">
        <f>IF(C65="XXL (&gt;160h)",168,IF(C65="XL (&gt;40h)",48,IF(C65="L (20-40h)",30,IF(C65="M (10-20h)",15,IF(C65="S (&lt;10h)",5,"")))))</f>
        <v/>
      </c>
      <c r="I65" s="16"/>
      <c r="J65" s="67" t="str">
        <f>IF($E65="Q12026",COUNTIF($E$3:$E65,"Q12026"),"")</f>
        <v/>
      </c>
      <c r="K65" s="67" t="str">
        <f>IF($E65="Q22026",COUNTIF($E$3:$E65,"Q22026"),"")</f>
        <v/>
      </c>
      <c r="L65" s="67" t="str">
        <f>IF($E65="Q32026",COUNTIF($E$3:$E65,"Q32026"),"")</f>
        <v/>
      </c>
      <c r="M65" s="67" t="str">
        <f>IF($E65="Q42026",COUNTIF($E$3:$E65,"Q42026"),"")</f>
        <v/>
      </c>
      <c r="N65" s="67" t="str">
        <f>IF($E65="Backlog",COUNTIF($E$3:$E65,"Backlog"),"")</f>
        <v/>
      </c>
    </row>
    <row r="66" spans="1:14" ht="24.75" customHeight="1">
      <c r="A66" s="68">
        <v>64</v>
      </c>
      <c r="B66" s="18"/>
      <c r="C66" s="19"/>
      <c r="D66" s="19"/>
      <c r="E66" s="19"/>
      <c r="F66" s="19"/>
      <c r="G66" s="19"/>
      <c r="H66" s="69" t="str">
        <f>IF(C66="XXL (&gt;160h)",168,IF(C66="XL (&gt;40h)",48,IF(C66="L (20-40h)",30,IF(C66="M (10-20h)",15,IF(C66="S (&lt;10h)",5,"")))))</f>
        <v/>
      </c>
      <c r="I66" s="18"/>
      <c r="J66" s="67" t="str">
        <f>IF($E66="Q12026",COUNTIF($E$3:$E66,"Q12026"),"")</f>
        <v/>
      </c>
      <c r="K66" s="67" t="str">
        <f>IF($E66="Q22026",COUNTIF($E$3:$E66,"Q22026"),"")</f>
        <v/>
      </c>
      <c r="L66" s="67" t="str">
        <f>IF($E66="Q32026",COUNTIF($E$3:$E66,"Q32026"),"")</f>
        <v/>
      </c>
      <c r="M66" s="67" t="str">
        <f>IF($E66="Q42026",COUNTIF($E$3:$E66,"Q42026"),"")</f>
        <v/>
      </c>
      <c r="N66" s="67" t="str">
        <f>IF($E66="Backlog",COUNTIF($E$3:$E66,"Backlog"),"")</f>
        <v/>
      </c>
    </row>
    <row r="67" spans="1:14" ht="24.75" customHeight="1">
      <c r="A67" s="65">
        <v>65</v>
      </c>
      <c r="B67" s="16"/>
      <c r="C67" s="17"/>
      <c r="D67" s="17"/>
      <c r="E67" s="17"/>
      <c r="F67" s="17"/>
      <c r="G67" s="17"/>
      <c r="H67" s="66" t="str">
        <f>IF(C67="XXL (&gt;160h)",168,IF(C67="XL (&gt;40h)",48,IF(C67="L (20-40h)",30,IF(C67="M (10-20h)",15,IF(C67="S (&lt;10h)",5,"")))))</f>
        <v/>
      </c>
      <c r="I67" s="16"/>
      <c r="J67" s="67" t="str">
        <f>IF($E67="Q12026",COUNTIF($E$3:$E67,"Q12026"),"")</f>
        <v/>
      </c>
      <c r="K67" s="67" t="str">
        <f>IF($E67="Q22026",COUNTIF($E$3:$E67,"Q22026"),"")</f>
        <v/>
      </c>
      <c r="L67" s="67" t="str">
        <f>IF($E67="Q32026",COUNTIF($E$3:$E67,"Q32026"),"")</f>
        <v/>
      </c>
      <c r="M67" s="67" t="str">
        <f>IF($E67="Q42026",COUNTIF($E$3:$E67,"Q42026"),"")</f>
        <v/>
      </c>
      <c r="N67" s="67" t="str">
        <f>IF($E67="Backlog",COUNTIF($E$3:$E67,"Backlog"),"")</f>
        <v/>
      </c>
    </row>
    <row r="68" spans="1:14" ht="24.75" customHeight="1">
      <c r="A68" s="68">
        <v>66</v>
      </c>
      <c r="B68" s="18"/>
      <c r="C68" s="19"/>
      <c r="D68" s="19"/>
      <c r="E68" s="19"/>
      <c r="F68" s="19"/>
      <c r="G68" s="19"/>
      <c r="H68" s="69" t="str">
        <f>IF(C68="XXL (&gt;160h)",168,IF(C68="XL (&gt;40h)",48,IF(C68="L (20-40h)",30,IF(C68="M (10-20h)",15,IF(C68="S (&lt;10h)",5,"")))))</f>
        <v/>
      </c>
      <c r="I68" s="18"/>
      <c r="J68" s="67" t="str">
        <f>IF($E68="Q12026",COUNTIF($E$3:$E68,"Q12026"),"")</f>
        <v/>
      </c>
      <c r="K68" s="67" t="str">
        <f>IF($E68="Q22026",COUNTIF($E$3:$E68,"Q22026"),"")</f>
        <v/>
      </c>
      <c r="L68" s="67" t="str">
        <f>IF($E68="Q32026",COUNTIF($E$3:$E68,"Q32026"),"")</f>
        <v/>
      </c>
      <c r="M68" s="67" t="str">
        <f>IF($E68="Q42026",COUNTIF($E$3:$E68,"Q42026"),"")</f>
        <v/>
      </c>
      <c r="N68" s="67" t="str">
        <f>IF($E68="Backlog",COUNTIF($E$3:$E68,"Backlog"),"")</f>
        <v/>
      </c>
    </row>
    <row r="69" spans="1:14" ht="24.75" customHeight="1">
      <c r="A69" s="65">
        <v>67</v>
      </c>
      <c r="B69" s="16"/>
      <c r="C69" s="17"/>
      <c r="D69" s="17"/>
      <c r="E69" s="17"/>
      <c r="F69" s="17"/>
      <c r="G69" s="17"/>
      <c r="H69" s="66" t="str">
        <f>IF(C69="XXL (&gt;160h)",168,IF(C69="XL (&gt;40h)",48,IF(C69="L (20-40h)",30,IF(C69="M (10-20h)",15,IF(C69="S (&lt;10h)",5,"")))))</f>
        <v/>
      </c>
      <c r="I69" s="16"/>
      <c r="J69" s="67" t="str">
        <f>IF($E69="Q12026",COUNTIF($E$3:$E69,"Q12026"),"")</f>
        <v/>
      </c>
      <c r="K69" s="67" t="str">
        <f>IF($E69="Q22026",COUNTIF($E$3:$E69,"Q22026"),"")</f>
        <v/>
      </c>
      <c r="L69" s="67" t="str">
        <f>IF($E69="Q32026",COUNTIF($E$3:$E69,"Q32026"),"")</f>
        <v/>
      </c>
      <c r="M69" s="67" t="str">
        <f>IF($E69="Q42026",COUNTIF($E$3:$E69,"Q42026"),"")</f>
        <v/>
      </c>
      <c r="N69" s="67" t="str">
        <f>IF($E69="Backlog",COUNTIF($E$3:$E69,"Backlog"),"")</f>
        <v/>
      </c>
    </row>
    <row r="70" spans="1:14" ht="24.75" customHeight="1">
      <c r="A70" s="68">
        <v>68</v>
      </c>
      <c r="B70" s="18"/>
      <c r="C70" s="19"/>
      <c r="D70" s="19"/>
      <c r="E70" s="19"/>
      <c r="F70" s="19"/>
      <c r="G70" s="19"/>
      <c r="H70" s="69" t="str">
        <f>IF(C70="XXL (&gt;160h)",168,IF(C70="XL (&gt;40h)",48,IF(C70="L (20-40h)",30,IF(C70="M (10-20h)",15,IF(C70="S (&lt;10h)",5,"")))))</f>
        <v/>
      </c>
      <c r="I70" s="18"/>
      <c r="J70" s="67" t="str">
        <f>IF($E70="Q12026",COUNTIF($E$3:$E70,"Q12026"),"")</f>
        <v/>
      </c>
      <c r="K70" s="67" t="str">
        <f>IF($E70="Q22026",COUNTIF($E$3:$E70,"Q22026"),"")</f>
        <v/>
      </c>
      <c r="L70" s="67" t="str">
        <f>IF($E70="Q32026",COUNTIF($E$3:$E70,"Q32026"),"")</f>
        <v/>
      </c>
      <c r="M70" s="67" t="str">
        <f>IF($E70="Q42026",COUNTIF($E$3:$E70,"Q42026"),"")</f>
        <v/>
      </c>
      <c r="N70" s="67" t="str">
        <f>IF($E70="Backlog",COUNTIF($E$3:$E70,"Backlog"),"")</f>
        <v/>
      </c>
    </row>
    <row r="71" spans="1:14" ht="24.75" customHeight="1">
      <c r="A71" s="65">
        <v>69</v>
      </c>
      <c r="B71" s="16"/>
      <c r="C71" s="17"/>
      <c r="D71" s="17"/>
      <c r="E71" s="17"/>
      <c r="F71" s="17"/>
      <c r="G71" s="17"/>
      <c r="H71" s="66" t="str">
        <f>IF(C71="XXL (&gt;160h)",168,IF(C71="XL (&gt;40h)",48,IF(C71="L (20-40h)",30,IF(C71="M (10-20h)",15,IF(C71="S (&lt;10h)",5,"")))))</f>
        <v/>
      </c>
      <c r="I71" s="16"/>
      <c r="J71" s="67" t="str">
        <f>IF($E71="Q12026",COUNTIF($E$3:$E71,"Q12026"),"")</f>
        <v/>
      </c>
      <c r="K71" s="67" t="str">
        <f>IF($E71="Q22026",COUNTIF($E$3:$E71,"Q22026"),"")</f>
        <v/>
      </c>
      <c r="L71" s="67" t="str">
        <f>IF($E71="Q32026",COUNTIF($E$3:$E71,"Q32026"),"")</f>
        <v/>
      </c>
      <c r="M71" s="67" t="str">
        <f>IF($E71="Q42026",COUNTIF($E$3:$E71,"Q42026"),"")</f>
        <v/>
      </c>
      <c r="N71" s="67" t="str">
        <f>IF($E71="Backlog",COUNTIF($E$3:$E71,"Backlog"),"")</f>
        <v/>
      </c>
    </row>
    <row r="72" spans="1:14" ht="24.75" customHeight="1">
      <c r="A72" s="68">
        <v>70</v>
      </c>
      <c r="B72" s="18"/>
      <c r="C72" s="19"/>
      <c r="D72" s="19"/>
      <c r="E72" s="19"/>
      <c r="F72" s="19"/>
      <c r="G72" s="19"/>
      <c r="H72" s="69" t="str">
        <f>IF(C72="XXL (&gt;160h)",168,IF(C72="XL (&gt;40h)",48,IF(C72="L (20-40h)",30,IF(C72="M (10-20h)",15,IF(C72="S (&lt;10h)",5,"")))))</f>
        <v/>
      </c>
      <c r="I72" s="18"/>
      <c r="J72" s="67" t="str">
        <f>IF($E72="Q12026",COUNTIF($E$3:$E72,"Q12026"),"")</f>
        <v/>
      </c>
      <c r="K72" s="67" t="str">
        <f>IF($E72="Q22026",COUNTIF($E$3:$E72,"Q22026"),"")</f>
        <v/>
      </c>
      <c r="L72" s="67" t="str">
        <f>IF($E72="Q32026",COUNTIF($E$3:$E72,"Q32026"),"")</f>
        <v/>
      </c>
      <c r="M72" s="67" t="str">
        <f>IF($E72="Q42026",COUNTIF($E$3:$E72,"Q42026"),"")</f>
        <v/>
      </c>
      <c r="N72" s="67" t="str">
        <f>IF($E72="Backlog",COUNTIF($E$3:$E72,"Backlog"),"")</f>
        <v/>
      </c>
    </row>
    <row r="73" spans="1:14" ht="24.75" customHeight="1">
      <c r="A73" s="65">
        <v>71</v>
      </c>
      <c r="B73" s="16"/>
      <c r="C73" s="17"/>
      <c r="D73" s="17"/>
      <c r="E73" s="17"/>
      <c r="F73" s="17"/>
      <c r="G73" s="17"/>
      <c r="H73" s="66" t="str">
        <f>IF(C73="XXL (&gt;160h)",168,IF(C73="XL (&gt;40h)",48,IF(C73="L (20-40h)",30,IF(C73="M (10-20h)",15,IF(C73="S (&lt;10h)",5,"")))))</f>
        <v/>
      </c>
      <c r="I73" s="16"/>
      <c r="J73" s="67" t="str">
        <f>IF($E73="Q12026",COUNTIF($E$3:$E73,"Q12026"),"")</f>
        <v/>
      </c>
      <c r="K73" s="67" t="str">
        <f>IF($E73="Q22026",COUNTIF($E$3:$E73,"Q22026"),"")</f>
        <v/>
      </c>
      <c r="L73" s="67" t="str">
        <f>IF($E73="Q32026",COUNTIF($E$3:$E73,"Q32026"),"")</f>
        <v/>
      </c>
      <c r="M73" s="67" t="str">
        <f>IF($E73="Q42026",COUNTIF($E$3:$E73,"Q42026"),"")</f>
        <v/>
      </c>
      <c r="N73" s="67" t="str">
        <f>IF($E73="Backlog",COUNTIF($E$3:$E73,"Backlog"),"")</f>
        <v/>
      </c>
    </row>
    <row r="74" spans="1:14" ht="24.75" customHeight="1">
      <c r="A74" s="68">
        <v>72</v>
      </c>
      <c r="B74" s="18"/>
      <c r="C74" s="19"/>
      <c r="D74" s="19"/>
      <c r="E74" s="19"/>
      <c r="F74" s="19"/>
      <c r="G74" s="19"/>
      <c r="H74" s="69" t="str">
        <f>IF(C74="XXL (&gt;160h)",168,IF(C74="XL (&gt;40h)",48,IF(C74="L (20-40h)",30,IF(C74="M (10-20h)",15,IF(C74="S (&lt;10h)",5,"")))))</f>
        <v/>
      </c>
      <c r="I74" s="18"/>
      <c r="J74" s="67" t="str">
        <f>IF($E74="Q12026",COUNTIF($E$3:$E74,"Q12026"),"")</f>
        <v/>
      </c>
      <c r="K74" s="67" t="str">
        <f>IF($E74="Q22026",COUNTIF($E$3:$E74,"Q22026"),"")</f>
        <v/>
      </c>
      <c r="L74" s="67" t="str">
        <f>IF($E74="Q32026",COUNTIF($E$3:$E74,"Q32026"),"")</f>
        <v/>
      </c>
      <c r="M74" s="67" t="str">
        <f>IF($E74="Q42026",COUNTIF($E$3:$E74,"Q42026"),"")</f>
        <v/>
      </c>
      <c r="N74" s="67" t="str">
        <f>IF($E74="Backlog",COUNTIF($E$3:$E74,"Backlog"),"")</f>
        <v/>
      </c>
    </row>
    <row r="75" spans="1:14" ht="24.75" customHeight="1">
      <c r="A75" s="65">
        <v>73</v>
      </c>
      <c r="B75" s="16"/>
      <c r="C75" s="17"/>
      <c r="D75" s="17"/>
      <c r="E75" s="17"/>
      <c r="F75" s="17"/>
      <c r="G75" s="17"/>
      <c r="H75" s="66" t="str">
        <f>IF(C75="XXL (&gt;160h)",168,IF(C75="XL (&gt;40h)",48,IF(C75="L (20-40h)",30,IF(C75="M (10-20h)",15,IF(C75="S (&lt;10h)",5,"")))))</f>
        <v/>
      </c>
      <c r="I75" s="16"/>
      <c r="J75" s="67" t="str">
        <f>IF($E75="Q12026",COUNTIF($E$3:$E75,"Q12026"),"")</f>
        <v/>
      </c>
      <c r="K75" s="67" t="str">
        <f>IF($E75="Q22026",COUNTIF($E$3:$E75,"Q22026"),"")</f>
        <v/>
      </c>
      <c r="L75" s="67" t="str">
        <f>IF($E75="Q32026",COUNTIF($E$3:$E75,"Q32026"),"")</f>
        <v/>
      </c>
      <c r="M75" s="67" t="str">
        <f>IF($E75="Q42026",COUNTIF($E$3:$E75,"Q42026"),"")</f>
        <v/>
      </c>
      <c r="N75" s="67" t="str">
        <f>IF($E75="Backlog",COUNTIF($E$3:$E75,"Backlog"),"")</f>
        <v/>
      </c>
    </row>
    <row r="76" spans="1:14" ht="24.75" customHeight="1">
      <c r="A76" s="68">
        <v>74</v>
      </c>
      <c r="B76" s="18"/>
      <c r="C76" s="19"/>
      <c r="D76" s="19"/>
      <c r="E76" s="19"/>
      <c r="F76" s="19"/>
      <c r="G76" s="19"/>
      <c r="H76" s="69" t="str">
        <f>IF(C76="XXL (&gt;160h)",168,IF(C76="XL (&gt;40h)",48,IF(C76="L (20-40h)",30,IF(C76="M (10-20h)",15,IF(C76="S (&lt;10h)",5,"")))))</f>
        <v/>
      </c>
      <c r="I76" s="18"/>
      <c r="J76" s="67" t="str">
        <f>IF($E76="Q12026",COUNTIF($E$3:$E76,"Q12026"),"")</f>
        <v/>
      </c>
      <c r="K76" s="67" t="str">
        <f>IF($E76="Q22026",COUNTIF($E$3:$E76,"Q22026"),"")</f>
        <v/>
      </c>
      <c r="L76" s="67" t="str">
        <f>IF($E76="Q32026",COUNTIF($E$3:$E76,"Q32026"),"")</f>
        <v/>
      </c>
      <c r="M76" s="67" t="str">
        <f>IF($E76="Q42026",COUNTIF($E$3:$E76,"Q42026"),"")</f>
        <v/>
      </c>
      <c r="N76" s="67" t="str">
        <f>IF($E76="Backlog",COUNTIF($E$3:$E76,"Backlog"),"")</f>
        <v/>
      </c>
    </row>
    <row r="77" spans="1:14" ht="24.75" customHeight="1">
      <c r="A77" s="65">
        <v>75</v>
      </c>
      <c r="B77" s="16"/>
      <c r="C77" s="17"/>
      <c r="D77" s="17"/>
      <c r="E77" s="17"/>
      <c r="F77" s="17"/>
      <c r="G77" s="17"/>
      <c r="H77" s="66" t="str">
        <f>IF(C77="XXL (&gt;160h)",168,IF(C77="XL (&gt;40h)",48,IF(C77="L (20-40h)",30,IF(C77="M (10-20h)",15,IF(C77="S (&lt;10h)",5,"")))))</f>
        <v/>
      </c>
      <c r="I77" s="16"/>
      <c r="J77" s="67" t="str">
        <f>IF($E77="Q12026",COUNTIF($E$3:$E77,"Q12026"),"")</f>
        <v/>
      </c>
      <c r="K77" s="67" t="str">
        <f>IF($E77="Q22026",COUNTIF($E$3:$E77,"Q22026"),"")</f>
        <v/>
      </c>
      <c r="L77" s="67" t="str">
        <f>IF($E77="Q32026",COUNTIF($E$3:$E77,"Q32026"),"")</f>
        <v/>
      </c>
      <c r="M77" s="67" t="str">
        <f>IF($E77="Q42026",COUNTIF($E$3:$E77,"Q42026"),"")</f>
        <v/>
      </c>
      <c r="N77" s="67" t="str">
        <f>IF($E77="Backlog",COUNTIF($E$3:$E77,"Backlog"),"")</f>
        <v/>
      </c>
    </row>
    <row r="78" spans="1:14" ht="24.75" customHeight="1">
      <c r="A78" s="68">
        <v>76</v>
      </c>
      <c r="B78" s="18"/>
      <c r="C78" s="19"/>
      <c r="D78" s="19"/>
      <c r="E78" s="19"/>
      <c r="F78" s="19"/>
      <c r="G78" s="19"/>
      <c r="H78" s="69" t="str">
        <f>IF(C78="XXL (&gt;160h)",168,IF(C78="XL (&gt;40h)",48,IF(C78="L (20-40h)",30,IF(C78="M (10-20h)",15,IF(C78="S (&lt;10h)",5,"")))))</f>
        <v/>
      </c>
      <c r="I78" s="18"/>
      <c r="J78" s="67" t="str">
        <f>IF($E78="Q12026",COUNTIF($E$3:$E78,"Q12026"),"")</f>
        <v/>
      </c>
      <c r="K78" s="67" t="str">
        <f>IF($E78="Q22026",COUNTIF($E$3:$E78,"Q22026"),"")</f>
        <v/>
      </c>
      <c r="L78" s="67" t="str">
        <f>IF($E78="Q32026",COUNTIF($E$3:$E78,"Q32026"),"")</f>
        <v/>
      </c>
      <c r="M78" s="67" t="str">
        <f>IF($E78="Q42026",COUNTIF($E$3:$E78,"Q42026"),"")</f>
        <v/>
      </c>
      <c r="N78" s="67" t="str">
        <f>IF($E78="Backlog",COUNTIF($E$3:$E78,"Backlog"),"")</f>
        <v/>
      </c>
    </row>
    <row r="79" spans="1:14" ht="24.75" customHeight="1">
      <c r="A79" s="65">
        <v>77</v>
      </c>
      <c r="B79" s="16"/>
      <c r="C79" s="17"/>
      <c r="D79" s="17"/>
      <c r="E79" s="17"/>
      <c r="F79" s="17"/>
      <c r="G79" s="17"/>
      <c r="H79" s="66" t="str">
        <f>IF(C79="XXL (&gt;160h)",168,IF(C79="XL (&gt;40h)",48,IF(C79="L (20-40h)",30,IF(C79="M (10-20h)",15,IF(C79="S (&lt;10h)",5,"")))))</f>
        <v/>
      </c>
      <c r="I79" s="16"/>
      <c r="J79" s="67" t="str">
        <f>IF($E79="Q12026",COUNTIF($E$3:$E79,"Q12026"),"")</f>
        <v/>
      </c>
      <c r="K79" s="67" t="str">
        <f>IF($E79="Q22026",COUNTIF($E$3:$E79,"Q22026"),"")</f>
        <v/>
      </c>
      <c r="L79" s="67" t="str">
        <f>IF($E79="Q32026",COUNTIF($E$3:$E79,"Q32026"),"")</f>
        <v/>
      </c>
      <c r="M79" s="67" t="str">
        <f>IF($E79="Q42026",COUNTIF($E$3:$E79,"Q42026"),"")</f>
        <v/>
      </c>
      <c r="N79" s="67" t="str">
        <f>IF($E79="Backlog",COUNTIF($E$3:$E79,"Backlog"),"")</f>
        <v/>
      </c>
    </row>
    <row r="80" spans="1:14" ht="24.75" customHeight="1">
      <c r="A80" s="68">
        <v>78</v>
      </c>
      <c r="B80" s="18"/>
      <c r="C80" s="19"/>
      <c r="D80" s="19"/>
      <c r="E80" s="19"/>
      <c r="F80" s="19"/>
      <c r="G80" s="19"/>
      <c r="H80" s="69" t="str">
        <f>IF(C80="XXL (&gt;160h)",168,IF(C80="XL (&gt;40h)",48,IF(C80="L (20-40h)",30,IF(C80="M (10-20h)",15,IF(C80="S (&lt;10h)",5,"")))))</f>
        <v/>
      </c>
      <c r="I80" s="18"/>
      <c r="J80" s="67" t="str">
        <f>IF($E80="Q12026",COUNTIF($E$3:$E80,"Q12026"),"")</f>
        <v/>
      </c>
      <c r="K80" s="67" t="str">
        <f>IF($E80="Q22026",COUNTIF($E$3:$E80,"Q22026"),"")</f>
        <v/>
      </c>
      <c r="L80" s="67" t="str">
        <f>IF($E80="Q32026",COUNTIF($E$3:$E80,"Q32026"),"")</f>
        <v/>
      </c>
      <c r="M80" s="67" t="str">
        <f>IF($E80="Q42026",COUNTIF($E$3:$E80,"Q42026"),"")</f>
        <v/>
      </c>
      <c r="N80" s="67" t="str">
        <f>IF($E80="Backlog",COUNTIF($E$3:$E80,"Backlog"),"")</f>
        <v/>
      </c>
    </row>
    <row r="81" spans="1:14" ht="24.75" customHeight="1">
      <c r="A81" s="65">
        <v>79</v>
      </c>
      <c r="B81" s="16"/>
      <c r="C81" s="17"/>
      <c r="D81" s="17"/>
      <c r="E81" s="17"/>
      <c r="F81" s="17"/>
      <c r="G81" s="17"/>
      <c r="H81" s="66" t="str">
        <f>IF(C81="XXL (&gt;160h)",168,IF(C81="XL (&gt;40h)",48,IF(C81="L (20-40h)",30,IF(C81="M (10-20h)",15,IF(C81="S (&lt;10h)",5,"")))))</f>
        <v/>
      </c>
      <c r="I81" s="16"/>
      <c r="J81" s="67" t="str">
        <f>IF($E81="Q12026",COUNTIF($E$3:$E81,"Q12026"),"")</f>
        <v/>
      </c>
      <c r="K81" s="67" t="str">
        <f>IF($E81="Q22026",COUNTIF($E$3:$E81,"Q22026"),"")</f>
        <v/>
      </c>
      <c r="L81" s="67" t="str">
        <f>IF($E81="Q32026",COUNTIF($E$3:$E81,"Q32026"),"")</f>
        <v/>
      </c>
      <c r="M81" s="67" t="str">
        <f>IF($E81="Q42026",COUNTIF($E$3:$E81,"Q42026"),"")</f>
        <v/>
      </c>
      <c r="N81" s="67" t="str">
        <f>IF($E81="Backlog",COUNTIF($E$3:$E81,"Backlog"),"")</f>
        <v/>
      </c>
    </row>
    <row r="82" spans="1:14" ht="24.75" customHeight="1">
      <c r="A82" s="68">
        <v>80</v>
      </c>
      <c r="B82" s="18"/>
      <c r="C82" s="19"/>
      <c r="D82" s="19"/>
      <c r="E82" s="19"/>
      <c r="F82" s="19"/>
      <c r="G82" s="19"/>
      <c r="H82" s="69" t="str">
        <f>IF(C82="XXL (&gt;160h)",168,IF(C82="XL (&gt;40h)",48,IF(C82="L (20-40h)",30,IF(C82="M (10-20h)",15,IF(C82="S (&lt;10h)",5,"")))))</f>
        <v/>
      </c>
      <c r="I82" s="18"/>
      <c r="J82" s="67" t="str">
        <f>IF($E82="Q12026",COUNTIF($E$3:$E82,"Q12026"),"")</f>
        <v/>
      </c>
      <c r="K82" s="67" t="str">
        <f>IF($E82="Q22026",COUNTIF($E$3:$E82,"Q22026"),"")</f>
        <v/>
      </c>
      <c r="L82" s="67" t="str">
        <f>IF($E82="Q32026",COUNTIF($E$3:$E82,"Q32026"),"")</f>
        <v/>
      </c>
      <c r="M82" s="67" t="str">
        <f>IF($E82="Q42026",COUNTIF($E$3:$E82,"Q42026"),"")</f>
        <v/>
      </c>
      <c r="N82" s="67" t="str">
        <f>IF($E82="Backlog",COUNTIF($E$3:$E82,"Backlog"),"")</f>
        <v/>
      </c>
    </row>
    <row r="83" spans="1:14" ht="21.75" customHeight="1">
      <c r="A83" s="110" t="s">
        <v>56</v>
      </c>
      <c r="B83" s="110"/>
      <c r="C83" s="110"/>
      <c r="D83" s="110"/>
      <c r="E83" s="110"/>
      <c r="F83" s="110"/>
      <c r="G83" s="110"/>
      <c r="H83" s="22">
        <f>SUM(H3:H82)</f>
        <v>1317</v>
      </c>
      <c r="I83" s="72"/>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21 D28:D82">
    <cfRule type="cellIs" dxfId="76" priority="11" operator="equal">
      <formula>"Strengthen"</formula>
    </cfRule>
    <cfRule type="cellIs" dxfId="75" priority="12" operator="equal">
      <formula>"Innovation"</formula>
    </cfRule>
    <cfRule type="cellIs" dxfId="74" priority="13" operator="equal">
      <formula>"Repair"</formula>
    </cfRule>
  </conditionalFormatting>
  <conditionalFormatting sqref="D22:D24">
    <cfRule type="cellIs" dxfId="73" priority="7" operator="equal">
      <formula>"Strengthen"</formula>
    </cfRule>
    <cfRule type="cellIs" dxfId="72" priority="8" operator="equal">
      <formula>"Innovation"</formula>
    </cfRule>
    <cfRule type="cellIs" dxfId="71" priority="9" operator="equal">
      <formula>"Repair"</formula>
    </cfRule>
  </conditionalFormatting>
  <conditionalFormatting sqref="D25:D26">
    <cfRule type="cellIs" dxfId="70" priority="4" operator="equal">
      <formula>"Strengthen"</formula>
    </cfRule>
    <cfRule type="cellIs" dxfId="69" priority="5" operator="equal">
      <formula>"Innovation"</formula>
    </cfRule>
    <cfRule type="cellIs" dxfId="68" priority="6" operator="equal">
      <formula>"Repair"</formula>
    </cfRule>
  </conditionalFormatting>
  <conditionalFormatting sqref="D27">
    <cfRule type="cellIs" dxfId="67" priority="1" operator="equal">
      <formula>"Strengthen"</formula>
    </cfRule>
    <cfRule type="cellIs" dxfId="66" priority="2" operator="equal">
      <formula>"Innovation"</formula>
    </cfRule>
    <cfRule type="cellIs" dxfId="65" priority="3" operator="equal">
      <formula>"Repair"</formula>
    </cfRule>
  </conditionalFormatting>
  <dataValidations count="5">
    <dataValidation type="list" allowBlank="1" sqref="D3:D82" xr:uid="{00000000-0002-0000-0400-000000000000}">
      <formula1>"Strengthen,Innovation,Repair"</formula1>
      <formula2>0</formula2>
    </dataValidation>
    <dataValidation type="list" allowBlank="1" sqref="C3:C82" xr:uid="{00000000-0002-0000-0400-000001000000}">
      <formula1>"XXL (&gt;160h),XL (&gt;40h),L (20-40h),M (10-20h),S (&lt;10h)"</formula1>
      <formula2>0</formula2>
    </dataValidation>
    <dataValidation type="list" allowBlank="1" sqref="E3:E82" xr:uid="{00000000-0002-0000-0400-000002000000}">
      <formula1>"Q12026,Q22026,Q32026,Q42026,Backlog"</formula1>
      <formula2>0</formula2>
    </dataValidation>
    <dataValidation type="list" allowBlank="1" sqref="F3:F82" xr:uid="{00000000-0002-0000-0400-000003000000}">
      <formula1>"Must,Should,Could,Won't"</formula1>
      <formula2>0</formula2>
    </dataValidation>
    <dataValidation type="list" allowBlank="1" sqref="G3:G82" xr:uid="{00000000-0002-0000-04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P87"/>
  <sheetViews>
    <sheetView showGridLines="0" zoomScaleNormal="100" workbookViewId="0">
      <pane xSplit="1" ySplit="2" topLeftCell="B3" activePane="bottomRight" state="frozen"/>
      <selection pane="bottomRight" activeCell="B8" sqref="B8"/>
      <selection pane="bottomLeft" activeCell="A3" sqref="A3"/>
      <selection pane="topRight" activeCell="B1" sqref="B1"/>
    </sheetView>
  </sheetViews>
  <sheetFormatPr defaultColWidth="8.7109375" defaultRowHeight="15"/>
  <cols>
    <col min="1" max="1" width="5" customWidth="1"/>
    <col min="2" max="2" width="64.28515625" customWidth="1"/>
    <col min="3" max="3" width="16" customWidth="1"/>
    <col min="4" max="4" width="14" customWidth="1"/>
    <col min="5" max="5" width="16" customWidth="1"/>
    <col min="6" max="7" width="12" customWidth="1"/>
    <col min="8" max="8" width="11" customWidth="1"/>
    <col min="9" max="9" width="50" customWidth="1"/>
    <col min="10" max="16" width="0.140625" hidden="1" customWidth="1"/>
  </cols>
  <sheetData>
    <row r="1" spans="1:14" ht="43.5" customHeight="1">
      <c r="A1" s="129" t="s">
        <v>22</v>
      </c>
      <c r="B1" s="129"/>
      <c r="C1" s="129"/>
      <c r="D1" s="129"/>
      <c r="E1" s="129"/>
      <c r="F1" s="129"/>
      <c r="G1" s="129"/>
      <c r="H1" s="129"/>
      <c r="I1" s="129"/>
    </row>
    <row r="2" spans="1:14" ht="24" customHeight="1">
      <c r="A2" s="24" t="s">
        <v>1</v>
      </c>
      <c r="B2" s="24" t="s">
        <v>2</v>
      </c>
      <c r="C2" s="24" t="s">
        <v>3</v>
      </c>
      <c r="D2" s="24" t="s">
        <v>4</v>
      </c>
      <c r="E2" s="24" t="s">
        <v>5</v>
      </c>
      <c r="F2" s="24" t="s">
        <v>6</v>
      </c>
      <c r="G2" s="24" t="s">
        <v>7</v>
      </c>
      <c r="H2" s="24" t="s">
        <v>8</v>
      </c>
      <c r="I2" s="24" t="s">
        <v>9</v>
      </c>
    </row>
    <row r="3" spans="1:14" ht="24.75" customHeight="1">
      <c r="A3" s="141">
        <v>1</v>
      </c>
      <c r="B3" s="16" t="s">
        <v>185</v>
      </c>
      <c r="C3" s="17"/>
      <c r="D3" s="17"/>
      <c r="E3" s="17" t="s">
        <v>22</v>
      </c>
      <c r="F3" s="17"/>
      <c r="G3" s="17"/>
      <c r="H3" s="66" t="str">
        <f>IF(C3="XXL (&gt;160h)",168,IF(C3="XL (&gt;40h)",48,IF(C3="L (20-40h)",30,IF(C3="M (10-20h)",15,IF(C3="S (&lt;10h)",5,"")))))</f>
        <v/>
      </c>
      <c r="I3" s="16"/>
      <c r="J3" s="67" t="str">
        <f>IF($E3="Q12026",COUNTIF($E$3:$E3,"Q12026"),"")</f>
        <v/>
      </c>
      <c r="K3" s="67" t="str">
        <f>IF($E3="Q22026",COUNTIF($E$3:$E3,"Q22026"),"")</f>
        <v/>
      </c>
      <c r="L3" s="67" t="str">
        <f>IF($E3="Q32026",COUNTIF($E$3:$E3,"Q32026"),"")</f>
        <v/>
      </c>
      <c r="M3" s="67">
        <f>IF($E3="Q42026",COUNTIF($E$3:$E3,"Q42026"),"")</f>
        <v>1</v>
      </c>
      <c r="N3" s="67" t="str">
        <f>IF($E3="Backlog",COUNTIF($E$3:$E3,"Backlog"),"")</f>
        <v/>
      </c>
    </row>
    <row r="4" spans="1:14" ht="24.75" customHeight="1">
      <c r="A4" s="68">
        <v>2</v>
      </c>
      <c r="B4" s="18" t="s">
        <v>186</v>
      </c>
      <c r="C4" s="19"/>
      <c r="D4" s="19"/>
      <c r="E4" s="19" t="s">
        <v>22</v>
      </c>
      <c r="F4" s="19"/>
      <c r="G4" s="19"/>
      <c r="H4" s="69" t="str">
        <f>IF(C4="XXL (&gt;160h)",168,IF(C4="XL (&gt;40h)",48,IF(C4="L (20-40h)",30,IF(C4="M (10-20h)",15,IF(C4="S (&lt;10h)",5,"")))))</f>
        <v/>
      </c>
      <c r="I4" s="18"/>
      <c r="J4" s="67" t="str">
        <f>IF($E4="Q12026",COUNTIF($E$3:$E4,"Q12026"),"")</f>
        <v/>
      </c>
      <c r="K4" s="67" t="str">
        <f>IF($E4="Q22026",COUNTIF($E$3:$E4,"Q22026"),"")</f>
        <v/>
      </c>
      <c r="L4" s="67" t="str">
        <f>IF($E4="Q32026",COUNTIF($E$3:$E4,"Q32026"),"")</f>
        <v/>
      </c>
      <c r="M4" s="67">
        <f>IF($E4="Q42026",COUNTIF($E$3:$E4,"Q42026"),"")</f>
        <v>2</v>
      </c>
      <c r="N4" s="67" t="str">
        <f>IF($E4="Backlog",COUNTIF($E$3:$E4,"Backlog"),"")</f>
        <v/>
      </c>
    </row>
    <row r="5" spans="1:14" ht="24.75" customHeight="1">
      <c r="A5" s="141">
        <v>3</v>
      </c>
      <c r="B5" s="16" t="s">
        <v>187</v>
      </c>
      <c r="C5" s="17"/>
      <c r="D5" s="17"/>
      <c r="E5" s="17" t="s">
        <v>22</v>
      </c>
      <c r="F5" s="17"/>
      <c r="G5" s="17"/>
      <c r="H5" s="66" t="str">
        <f>IF(C5="XXL (&gt;160h)",168,IF(C5="XL (&gt;40h)",48,IF(C5="L (20-40h)",30,IF(C5="M (10-20h)",15,IF(C5="S (&lt;10h)",5,"")))))</f>
        <v/>
      </c>
      <c r="I5" s="16"/>
      <c r="J5" s="67" t="str">
        <f>IF($E5="Q12026",COUNTIF($E$3:$E5,"Q12026"),"")</f>
        <v/>
      </c>
      <c r="K5" s="67" t="str">
        <f>IF($E5="Q22026",COUNTIF($E$3:$E5,"Q22026"),"")</f>
        <v/>
      </c>
      <c r="L5" s="67" t="str">
        <f>IF($E5="Q32026",COUNTIF($E$3:$E5,"Q32026"),"")</f>
        <v/>
      </c>
      <c r="M5" s="67">
        <f>IF($E5="Q42026",COUNTIF($E$3:$E5,"Q42026"),"")</f>
        <v>3</v>
      </c>
      <c r="N5" s="67" t="str">
        <f>IF($E5="Backlog",COUNTIF($E$3:$E5,"Backlog"),"")</f>
        <v/>
      </c>
    </row>
    <row r="6" spans="1:14" ht="24.75" customHeight="1">
      <c r="A6" s="142">
        <v>4</v>
      </c>
      <c r="B6" s="18" t="s">
        <v>188</v>
      </c>
      <c r="C6" s="19"/>
      <c r="D6" s="19"/>
      <c r="E6" s="19" t="s">
        <v>22</v>
      </c>
      <c r="F6" s="19"/>
      <c r="G6" s="19"/>
      <c r="H6" s="69" t="str">
        <f>IF(C6="XXL (&gt;160h)",168,IF(C6="XL (&gt;40h)",48,IF(C6="L (20-40h)",30,IF(C6="M (10-20h)",15,IF(C6="S (&lt;10h)",5,"")))))</f>
        <v/>
      </c>
      <c r="I6" s="18"/>
      <c r="J6" s="67" t="str">
        <f>IF($E6="Q12026",COUNTIF($E$3:$E6,"Q12026"),"")</f>
        <v/>
      </c>
      <c r="K6" s="67" t="str">
        <f>IF($E6="Q22026",COUNTIF($E$3:$E6,"Q22026"),"")</f>
        <v/>
      </c>
      <c r="L6" s="67" t="str">
        <f>IF($E6="Q32026",COUNTIF($E$3:$E6,"Q32026"),"")</f>
        <v/>
      </c>
      <c r="M6" s="67">
        <f>IF($E6="Q42026",COUNTIF($E$3:$E6,"Q42026"),"")</f>
        <v>4</v>
      </c>
      <c r="N6" s="67" t="str">
        <f>IF($E6="Backlog",COUNTIF($E$3:$E6,"Backlog"),"")</f>
        <v/>
      </c>
    </row>
    <row r="7" spans="1:14" ht="24.75" customHeight="1">
      <c r="A7" s="65">
        <v>5</v>
      </c>
      <c r="B7" s="16" t="s">
        <v>189</v>
      </c>
      <c r="C7" s="17"/>
      <c r="D7" s="17"/>
      <c r="E7" s="17" t="s">
        <v>22</v>
      </c>
      <c r="F7" s="17"/>
      <c r="G7" s="17"/>
      <c r="H7" s="66" t="str">
        <f>IF(C7="XXL (&gt;160h)",168,IF(C7="XL (&gt;40h)",48,IF(C7="L (20-40h)",30,IF(C7="M (10-20h)",15,IF(C7="S (&lt;10h)",5,"")))))</f>
        <v/>
      </c>
      <c r="I7" s="16"/>
      <c r="J7" s="67" t="str">
        <f>IF($E7="Q12026",COUNTIF($E$3:$E7,"Q12026"),"")</f>
        <v/>
      </c>
      <c r="K7" s="67" t="str">
        <f>IF($E7="Q22026",COUNTIF($E$3:$E7,"Q22026"),"")</f>
        <v/>
      </c>
      <c r="L7" s="67" t="str">
        <f>IF($E7="Q32026",COUNTIF($E$3:$E7,"Q32026"),"")</f>
        <v/>
      </c>
      <c r="M7" s="67">
        <f>IF($E7="Q42026",COUNTIF($E$3:$E7,"Q42026"),"")</f>
        <v>5</v>
      </c>
      <c r="N7" s="67" t="str">
        <f>IF($E7="Backlog",COUNTIF($E$3:$E7,"Backlog"),"")</f>
        <v/>
      </c>
    </row>
    <row r="8" spans="1:14" ht="24.75" customHeight="1">
      <c r="A8" s="68">
        <v>6</v>
      </c>
      <c r="B8" s="18" t="s">
        <v>190</v>
      </c>
      <c r="C8" s="19"/>
      <c r="D8" s="19"/>
      <c r="E8" s="19" t="s">
        <v>22</v>
      </c>
      <c r="F8" s="19"/>
      <c r="G8" s="19"/>
      <c r="H8" s="69" t="str">
        <f>IF(C8="XXL (&gt;160h)",168,IF(C8="XL (&gt;40h)",48,IF(C8="L (20-40h)",30,IF(C8="M (10-20h)",15,IF(C8="S (&lt;10h)",5,"")))))</f>
        <v/>
      </c>
      <c r="I8" s="18"/>
      <c r="J8" s="67" t="str">
        <f>IF($E8="Q12026",COUNTIF($E$3:$E8,"Q12026"),"")</f>
        <v/>
      </c>
      <c r="K8" s="67" t="str">
        <f>IF($E8="Q22026",COUNTIF($E$3:$E8,"Q22026"),"")</f>
        <v/>
      </c>
      <c r="L8" s="67" t="str">
        <f>IF($E8="Q32026",COUNTIF($E$3:$E8,"Q32026"),"")</f>
        <v/>
      </c>
      <c r="M8" s="67">
        <f>IF($E8="Q42026",COUNTIF($E$3:$E8,"Q42026"),"")</f>
        <v>6</v>
      </c>
      <c r="N8" s="67" t="str">
        <f>IF($E8="Backlog",COUNTIF($E$3:$E8,"Backlog"),"")</f>
        <v/>
      </c>
    </row>
    <row r="9" spans="1:14" ht="24.75" customHeight="1">
      <c r="A9" s="65">
        <v>7</v>
      </c>
      <c r="B9" s="16" t="s">
        <v>191</v>
      </c>
      <c r="C9" s="17"/>
      <c r="D9" s="17"/>
      <c r="E9" s="17" t="s">
        <v>22</v>
      </c>
      <c r="F9" s="17"/>
      <c r="G9" s="17"/>
      <c r="H9" s="66" t="str">
        <f>IF(C9="XXL (&gt;160h)",168,IF(C9="XL (&gt;40h)",48,IF(C9="L (20-40h)",30,IF(C9="M (10-20h)",15,IF(C9="S (&lt;10h)",5,"")))))</f>
        <v/>
      </c>
      <c r="I9" s="16"/>
      <c r="J9" s="67" t="str">
        <f>IF($E9="Q12026",COUNTIF($E$3:$E9,"Q12026"),"")</f>
        <v/>
      </c>
      <c r="K9" s="67" t="str">
        <f>IF($E9="Q22026",COUNTIF($E$3:$E9,"Q22026"),"")</f>
        <v/>
      </c>
      <c r="L9" s="67" t="str">
        <f>IF($E9="Q32026",COUNTIF($E$3:$E9,"Q32026"),"")</f>
        <v/>
      </c>
      <c r="M9" s="67">
        <f>IF($E9="Q42026",COUNTIF($E$3:$E9,"Q42026"),"")</f>
        <v>7</v>
      </c>
      <c r="N9" s="67" t="str">
        <f>IF($E9="Backlog",COUNTIF($E$3:$E9,"Backlog"),"")</f>
        <v/>
      </c>
    </row>
    <row r="10" spans="1:14" ht="24.75" customHeight="1">
      <c r="A10" s="68">
        <v>8</v>
      </c>
      <c r="B10" s="18" t="s">
        <v>192</v>
      </c>
      <c r="C10" s="19"/>
      <c r="D10" s="19" t="s">
        <v>127</v>
      </c>
      <c r="E10" s="19" t="s">
        <v>22</v>
      </c>
      <c r="F10" s="19" t="s">
        <v>17</v>
      </c>
      <c r="G10" s="19"/>
      <c r="H10" s="69" t="str">
        <f>IF(C10="XXL (&gt;160h)",168,IF(C10="XL (&gt;40h)",48,IF(C10="L (20-40h)",30,IF(C10="M (10-20h)",15,IF(C10="S (&lt;10h)",5,"")))))</f>
        <v/>
      </c>
      <c r="I10" s="18"/>
      <c r="J10" s="67" t="str">
        <f>IF($E10="Q12026",COUNTIF($E$3:$E10,"Q12026"),"")</f>
        <v/>
      </c>
      <c r="K10" s="67" t="str">
        <f>IF($E10="Q22026",COUNTIF($E$3:$E10,"Q22026"),"")</f>
        <v/>
      </c>
      <c r="L10" s="67" t="str">
        <f>IF($E10="Q32026",COUNTIF($E$3:$E10,"Q32026"),"")</f>
        <v/>
      </c>
      <c r="M10" s="67">
        <f>IF($E10="Q42026",COUNTIF($E$3:$E10,"Q42026"),"")</f>
        <v>8</v>
      </c>
      <c r="N10" s="67" t="str">
        <f>IF($E10="Backlog",COUNTIF($E$3:$E10,"Backlog"),"")</f>
        <v/>
      </c>
    </row>
    <row r="11" spans="1:14" ht="24.75" customHeight="1">
      <c r="A11" s="141">
        <v>9</v>
      </c>
      <c r="B11" s="16" t="s">
        <v>193</v>
      </c>
      <c r="C11" s="17"/>
      <c r="D11" s="17" t="s">
        <v>123</v>
      </c>
      <c r="E11" s="17" t="s">
        <v>22</v>
      </c>
      <c r="F11" s="17" t="s">
        <v>17</v>
      </c>
      <c r="G11" s="17"/>
      <c r="H11" s="66" t="str">
        <f>IF(C11="XXL (&gt;160h)",168,IF(C11="XL (&gt;40h)",48,IF(C11="L (20-40h)",30,IF(C11="M (10-20h)",15,IF(C11="S (&lt;10h)",5,"")))))</f>
        <v/>
      </c>
      <c r="I11" s="16"/>
      <c r="J11" s="67" t="str">
        <f>IF($E11="Q12026",COUNTIF($E$3:$E11,"Q12026"),"")</f>
        <v/>
      </c>
      <c r="K11" s="67" t="str">
        <f>IF($E11="Q22026",COUNTIF($E$3:$E11,"Q22026"),"")</f>
        <v/>
      </c>
      <c r="L11" s="67" t="str">
        <f>IF($E11="Q32026",COUNTIF($E$3:$E11,"Q32026"),"")</f>
        <v/>
      </c>
      <c r="M11" s="67">
        <f>IF($E11="Q42026",COUNTIF($E$3:$E11,"Q42026"),"")</f>
        <v>9</v>
      </c>
      <c r="N11" s="67" t="str">
        <f>IF($E11="Backlog",COUNTIF($E$3:$E11,"Backlog"),"")</f>
        <v/>
      </c>
    </row>
    <row r="12" spans="1:14" ht="24.75" customHeight="1">
      <c r="A12" s="141">
        <v>10</v>
      </c>
      <c r="B12" s="18" t="s">
        <v>194</v>
      </c>
      <c r="C12" s="19"/>
      <c r="D12" s="19" t="s">
        <v>134</v>
      </c>
      <c r="E12" s="19" t="s">
        <v>22</v>
      </c>
      <c r="F12" s="19" t="s">
        <v>17</v>
      </c>
      <c r="G12" s="19"/>
      <c r="H12" s="69" t="str">
        <f>IF(C12="XXL (&gt;160h)",168,IF(C12="XL (&gt;40h)",48,IF(C12="L (20-40h)",30,IF(C12="M (10-20h)",15,IF(C12="S (&lt;10h)",5,"")))))</f>
        <v/>
      </c>
      <c r="I12" s="18" t="s">
        <v>195</v>
      </c>
      <c r="J12" s="67" t="str">
        <f>IF($E12="Q12026",COUNTIF($E$3:$E12,"Q12026"),"")</f>
        <v/>
      </c>
      <c r="K12" s="67" t="str">
        <f>IF($E12="Q22026",COUNTIF($E$3:$E12,"Q22026"),"")</f>
        <v/>
      </c>
      <c r="L12" s="67" t="str">
        <f>IF($E12="Q32026",COUNTIF($E$3:$E12,"Q32026"),"")</f>
        <v/>
      </c>
      <c r="M12" s="67">
        <f>IF($E12="Q42026",COUNTIF($E$3:$E12,"Q42026"),"")</f>
        <v>10</v>
      </c>
      <c r="N12" s="67" t="str">
        <f>IF($E12="Backlog",COUNTIF($E$3:$E12,"Backlog"),"")</f>
        <v/>
      </c>
    </row>
    <row r="13" spans="1:14" ht="24.75" customHeight="1">
      <c r="A13" s="141">
        <v>11</v>
      </c>
      <c r="B13" s="16" t="s">
        <v>196</v>
      </c>
      <c r="C13" s="17"/>
      <c r="D13" s="17" t="s">
        <v>134</v>
      </c>
      <c r="E13" s="17" t="s">
        <v>22</v>
      </c>
      <c r="F13" s="17" t="s">
        <v>11</v>
      </c>
      <c r="G13" s="17"/>
      <c r="H13" s="66" t="str">
        <f>IF(C13="XXL (&gt;160h)",168,IF(C13="XL (&gt;40h)",48,IF(C13="L (20-40h)",30,IF(C13="M (10-20h)",15,IF(C13="S (&lt;10h)",5,"")))))</f>
        <v/>
      </c>
      <c r="I13" s="16" t="s">
        <v>197</v>
      </c>
      <c r="J13" s="67" t="str">
        <f>IF($E13="Q12026",COUNTIF($E$3:$E13,"Q12026"),"")</f>
        <v/>
      </c>
      <c r="K13" s="67" t="str">
        <f>IF($E13="Q22026",COUNTIF($E$3:$E13,"Q22026"),"")</f>
        <v/>
      </c>
      <c r="L13" s="67" t="str">
        <f>IF($E13="Q32026",COUNTIF($E$3:$E13,"Q32026"),"")</f>
        <v/>
      </c>
      <c r="M13" s="67">
        <f>IF($E13="Q42026",COUNTIF($E$3:$E13,"Q42026"),"")</f>
        <v>11</v>
      </c>
      <c r="N13" s="67" t="str">
        <f>IF($E13="Backlog",COUNTIF($E$3:$E13,"Backlog"),"")</f>
        <v/>
      </c>
    </row>
    <row r="14" spans="1:14" ht="24.75" customHeight="1">
      <c r="A14" s="68">
        <v>12</v>
      </c>
      <c r="B14" s="18" t="s">
        <v>198</v>
      </c>
      <c r="C14" s="19"/>
      <c r="D14" s="19" t="s">
        <v>127</v>
      </c>
      <c r="E14" s="19" t="s">
        <v>22</v>
      </c>
      <c r="F14" s="19"/>
      <c r="G14" s="19"/>
      <c r="H14" s="69" t="str">
        <f>IF(C14="XXL (&gt;160h)",168,IF(C14="XL (&gt;40h)",48,IF(C14="L (20-40h)",30,IF(C14="M (10-20h)",15,IF(C14="S (&lt;10h)",5,"")))))</f>
        <v/>
      </c>
      <c r="I14" s="18"/>
      <c r="J14" s="67" t="str">
        <f>IF($E14="Q12026",COUNTIF($E$3:$E14,"Q12026"),"")</f>
        <v/>
      </c>
      <c r="K14" s="67" t="str">
        <f>IF($E14="Q22026",COUNTIF($E$3:$E14,"Q22026"),"")</f>
        <v/>
      </c>
      <c r="L14" s="67" t="str">
        <f>IF($E14="Q32026",COUNTIF($E$3:$E14,"Q32026"),"")</f>
        <v/>
      </c>
      <c r="M14" s="67">
        <f>IF($E14="Q42026",COUNTIF($E$3:$E14,"Q42026"),"")</f>
        <v>12</v>
      </c>
      <c r="N14" s="67" t="str">
        <f>IF($E14="Backlog",COUNTIF($E$3:$E14,"Backlog"),"")</f>
        <v/>
      </c>
    </row>
    <row r="15" spans="1:14" ht="24.75" customHeight="1">
      <c r="A15" s="65">
        <v>13</v>
      </c>
      <c r="B15" s="16" t="s">
        <v>199</v>
      </c>
      <c r="C15" s="17"/>
      <c r="D15" s="17" t="s">
        <v>134</v>
      </c>
      <c r="E15" s="17" t="s">
        <v>22</v>
      </c>
      <c r="F15" s="17"/>
      <c r="G15" s="17"/>
      <c r="H15" s="66" t="str">
        <f>IF(C15="XXL (&gt;160h)",168,IF(C15="XL (&gt;40h)",48,IF(C15="L (20-40h)",30,IF(C15="M (10-20h)",15,IF(C15="S (&lt;10h)",5,"")))))</f>
        <v/>
      </c>
      <c r="I15" s="16"/>
      <c r="J15" s="67" t="str">
        <f>IF($E15="Q12026",COUNTIF($E$3:$E15,"Q12026"),"")</f>
        <v/>
      </c>
      <c r="K15" s="67" t="str">
        <f>IF($E15="Q22026",COUNTIF($E$3:$E15,"Q22026"),"")</f>
        <v/>
      </c>
      <c r="L15" s="67" t="str">
        <f>IF($E15="Q32026",COUNTIF($E$3:$E15,"Q32026"),"")</f>
        <v/>
      </c>
      <c r="M15" s="67">
        <f>IF($E15="Q42026",COUNTIF($E$3:$E15,"Q42026"),"")</f>
        <v>13</v>
      </c>
      <c r="N15" s="67" t="str">
        <f>IF($E15="Backlog",COUNTIF($E$3:$E15,"Backlog"),"")</f>
        <v/>
      </c>
    </row>
    <row r="16" spans="1:14" ht="24.75" customHeight="1">
      <c r="A16" s="68">
        <v>14</v>
      </c>
      <c r="B16" s="18" t="s">
        <v>200</v>
      </c>
      <c r="C16" s="19"/>
      <c r="D16" s="19" t="s">
        <v>127</v>
      </c>
      <c r="E16" s="19" t="s">
        <v>22</v>
      </c>
      <c r="F16" s="19"/>
      <c r="G16" s="19"/>
      <c r="H16" s="69" t="str">
        <f>IF(C16="XXL (&gt;160h)",168,IF(C16="XL (&gt;40h)",48,IF(C16="L (20-40h)",30,IF(C16="M (10-20h)",15,IF(C16="S (&lt;10h)",5,"")))))</f>
        <v/>
      </c>
      <c r="I16" s="18"/>
      <c r="J16" s="67" t="str">
        <f>IF($E16="Q12026",COUNTIF($E$3:$E16,"Q12026"),"")</f>
        <v/>
      </c>
      <c r="K16" s="67" t="str">
        <f>IF($E16="Q22026",COUNTIF($E$3:$E16,"Q22026"),"")</f>
        <v/>
      </c>
      <c r="L16" s="67" t="str">
        <f>IF($E16="Q32026",COUNTIF($E$3:$E16,"Q32026"),"")</f>
        <v/>
      </c>
      <c r="M16" s="67">
        <f>IF($E16="Q42026",COUNTIF($E$3:$E16,"Q42026"),"")</f>
        <v>14</v>
      </c>
      <c r="N16" s="67" t="str">
        <f>IF($E16="Backlog",COUNTIF($E$3:$E16,"Backlog"),"")</f>
        <v/>
      </c>
    </row>
    <row r="17" spans="1:14" ht="24.75" customHeight="1">
      <c r="A17" s="141">
        <v>15</v>
      </c>
      <c r="B17" s="16" t="s">
        <v>201</v>
      </c>
      <c r="C17" s="17"/>
      <c r="D17" s="19" t="s">
        <v>127</v>
      </c>
      <c r="E17" s="17" t="s">
        <v>22</v>
      </c>
      <c r="F17" s="17"/>
      <c r="G17" s="17"/>
      <c r="H17" s="66" t="str">
        <f>IF(C17="XXL (&gt;160h)",168,IF(C17="XL (&gt;40h)",48,IF(C17="L (20-40h)",30,IF(C17="M (10-20h)",15,IF(C17="S (&lt;10h)",5,"")))))</f>
        <v/>
      </c>
      <c r="I17" s="16"/>
      <c r="J17" s="67" t="str">
        <f>IF($E17="Q12026",COUNTIF($E$3:$E17,"Q12026"),"")</f>
        <v/>
      </c>
      <c r="K17" s="67" t="str">
        <f>IF($E17="Q22026",COUNTIF($E$3:$E17,"Q22026"),"")</f>
        <v/>
      </c>
      <c r="L17" s="67" t="str">
        <f>IF($E17="Q32026",COUNTIF($E$3:$E17,"Q32026"),"")</f>
        <v/>
      </c>
      <c r="M17" s="67">
        <f>IF($E17="Q42026",COUNTIF($E$3:$E17,"Q42026"),"")</f>
        <v>15</v>
      </c>
      <c r="N17" s="67" t="str">
        <f>IF($E17="Backlog",COUNTIF($E$3:$E17,"Backlog"),"")</f>
        <v/>
      </c>
    </row>
    <row r="18" spans="1:14" ht="24.75" customHeight="1">
      <c r="A18" s="68">
        <v>16</v>
      </c>
      <c r="B18" s="18" t="s">
        <v>202</v>
      </c>
      <c r="C18" s="19"/>
      <c r="D18" s="19" t="s">
        <v>127</v>
      </c>
      <c r="E18" s="19" t="s">
        <v>22</v>
      </c>
      <c r="F18" s="19"/>
      <c r="G18" s="19"/>
      <c r="H18" s="69" t="str">
        <f>IF(C18="XXL (&gt;160h)",168,IF(C18="XL (&gt;40h)",48,IF(C18="L (20-40h)",30,IF(C18="M (10-20h)",15,IF(C18="S (&lt;10h)",5,"")))))</f>
        <v/>
      </c>
      <c r="I18" s="18"/>
      <c r="J18" s="67" t="str">
        <f>IF($E18="Q12026",COUNTIF($E$3:$E18,"Q12026"),"")</f>
        <v/>
      </c>
      <c r="K18" s="67" t="str">
        <f>IF($E18="Q22026",COUNTIF($E$3:$E18,"Q22026"),"")</f>
        <v/>
      </c>
      <c r="L18" s="67" t="str">
        <f>IF($E18="Q32026",COUNTIF($E$3:$E18,"Q32026"),"")</f>
        <v/>
      </c>
      <c r="M18" s="67">
        <f>IF($E18="Q42026",COUNTIF($E$3:$E18,"Q42026"),"")</f>
        <v>16</v>
      </c>
      <c r="N18" s="67" t="str">
        <f>IF($E18="Backlog",COUNTIF($E$3:$E18,"Backlog"),"")</f>
        <v/>
      </c>
    </row>
    <row r="19" spans="1:14" ht="24.75" customHeight="1">
      <c r="A19" s="65">
        <v>17</v>
      </c>
      <c r="B19" s="16" t="s">
        <v>203</v>
      </c>
      <c r="C19" s="17"/>
      <c r="D19" s="17" t="s">
        <v>134</v>
      </c>
      <c r="E19" s="17" t="s">
        <v>22</v>
      </c>
      <c r="F19" s="17"/>
      <c r="G19" s="17"/>
      <c r="H19" s="66" t="str">
        <f>IF(C19="XXL (&gt;160h)",168,IF(C19="XL (&gt;40h)",48,IF(C19="L (20-40h)",30,IF(C19="M (10-20h)",15,IF(C19="S (&lt;10h)",5,"")))))</f>
        <v/>
      </c>
      <c r="I19" s="16" t="s">
        <v>204</v>
      </c>
      <c r="J19" s="67" t="str">
        <f>IF($E19="Q12026",COUNTIF($E$3:$E19,"Q12026"),"")</f>
        <v/>
      </c>
      <c r="K19" s="67" t="str">
        <f>IF($E19="Q22026",COUNTIF($E$3:$E19,"Q22026"),"")</f>
        <v/>
      </c>
      <c r="L19" s="67" t="str">
        <f>IF($E19="Q32026",COUNTIF($E$3:$E19,"Q32026"),"")</f>
        <v/>
      </c>
      <c r="M19" s="67">
        <f>IF($E19="Q42026",COUNTIF($E$3:$E19,"Q42026"),"")</f>
        <v>17</v>
      </c>
      <c r="N19" s="67" t="str">
        <f>IF($E19="Backlog",COUNTIF($E$3:$E19,"Backlog"),"")</f>
        <v/>
      </c>
    </row>
    <row r="20" spans="1:14" ht="24.75" customHeight="1">
      <c r="A20" s="68">
        <v>18</v>
      </c>
      <c r="B20" s="18" t="s">
        <v>205</v>
      </c>
      <c r="C20" s="19"/>
      <c r="D20" s="19" t="s">
        <v>127</v>
      </c>
      <c r="E20" s="19" t="s">
        <v>22</v>
      </c>
      <c r="F20" s="19"/>
      <c r="G20" s="19"/>
      <c r="H20" s="69" t="str">
        <f>IF(C20="XXL (&gt;160h)",168,IF(C20="XL (&gt;40h)",48,IF(C20="L (20-40h)",30,IF(C20="M (10-20h)",15,IF(C20="S (&lt;10h)",5,"")))))</f>
        <v/>
      </c>
      <c r="I20" s="18"/>
      <c r="J20" s="67" t="str">
        <f>IF($E20="Q12026",COUNTIF($E$3:$E20,"Q12026"),"")</f>
        <v/>
      </c>
      <c r="K20" s="67" t="str">
        <f>IF($E20="Q22026",COUNTIF($E$3:$E20,"Q22026"),"")</f>
        <v/>
      </c>
      <c r="L20" s="67" t="str">
        <f>IF($E20="Q32026",COUNTIF($E$3:$E20,"Q32026"),"")</f>
        <v/>
      </c>
      <c r="M20" s="67">
        <f>IF($E20="Q42026",COUNTIF($E$3:$E20,"Q42026"),"")</f>
        <v>18</v>
      </c>
      <c r="N20" s="67" t="str">
        <f>IF($E20="Backlog",COUNTIF($E$3:$E20,"Backlog"),"")</f>
        <v/>
      </c>
    </row>
    <row r="21" spans="1:14" ht="24.75" customHeight="1">
      <c r="A21" s="143">
        <v>19</v>
      </c>
      <c r="B21" s="16" t="s">
        <v>206</v>
      </c>
      <c r="C21" s="17"/>
      <c r="D21" s="19" t="s">
        <v>127</v>
      </c>
      <c r="E21" s="17" t="s">
        <v>22</v>
      </c>
      <c r="F21" s="17"/>
      <c r="G21" s="17"/>
      <c r="H21" s="66" t="str">
        <f>IF(C21="XXL (&gt;160h)",168,IF(C21="XL (&gt;40h)",48,IF(C21="L (20-40h)",30,IF(C21="M (10-20h)",15,IF(C21="S (&lt;10h)",5,"")))))</f>
        <v/>
      </c>
      <c r="I21" s="16"/>
      <c r="J21" s="67" t="str">
        <f>IF($E21="Q12026",COUNTIF($E$3:$E21,"Q12026"),"")</f>
        <v/>
      </c>
      <c r="K21" s="67" t="str">
        <f>IF($E21="Q22026",COUNTIF($E$3:$E21,"Q22026"),"")</f>
        <v/>
      </c>
      <c r="L21" s="67" t="str">
        <f>IF($E21="Q32026",COUNTIF($E$3:$E21,"Q32026"),"")</f>
        <v/>
      </c>
      <c r="M21" s="67">
        <f>IF($E21="Q42026",COUNTIF($E$3:$E21,"Q42026"),"")</f>
        <v>19</v>
      </c>
      <c r="N21" s="67" t="str">
        <f>IF($E21="Backlog",COUNTIF($E$3:$E21,"Backlog"),"")</f>
        <v/>
      </c>
    </row>
    <row r="22" spans="1:14" ht="24.75" customHeight="1">
      <c r="A22" s="68">
        <v>20</v>
      </c>
      <c r="B22" s="18" t="s">
        <v>207</v>
      </c>
      <c r="C22" s="19"/>
      <c r="D22" s="19" t="s">
        <v>127</v>
      </c>
      <c r="E22" s="19" t="s">
        <v>22</v>
      </c>
      <c r="F22" s="19"/>
      <c r="G22" s="19"/>
      <c r="H22" s="69" t="str">
        <f>IF(C22="XXL (&gt;160h)",168,IF(C22="XL (&gt;40h)",48,IF(C22="L (20-40h)",30,IF(C22="M (10-20h)",15,IF(C22="S (&lt;10h)",5,"")))))</f>
        <v/>
      </c>
      <c r="I22" s="18">
        <v>2027</v>
      </c>
      <c r="J22" s="67" t="str">
        <f>IF($E22="Q12026",COUNTIF($E$3:$E22,"Q12026"),"")</f>
        <v/>
      </c>
      <c r="K22" s="67" t="str">
        <f>IF($E22="Q22026",COUNTIF($E$3:$E22,"Q22026"),"")</f>
        <v/>
      </c>
      <c r="L22" s="67" t="str">
        <f>IF($E22="Q32026",COUNTIF($E$3:$E22,"Q32026"),"")</f>
        <v/>
      </c>
      <c r="M22" s="67">
        <f>IF($E22="Q42026",COUNTIF($E$3:$E22,"Q42026"),"")</f>
        <v>20</v>
      </c>
      <c r="N22" s="67" t="str">
        <f>IF($E22="Backlog",COUNTIF($E$3:$E22,"Backlog"),"")</f>
        <v/>
      </c>
    </row>
    <row r="23" spans="1:14" ht="24.75" customHeight="1">
      <c r="A23" s="143">
        <v>21</v>
      </c>
      <c r="B23" s="144" t="s">
        <v>208</v>
      </c>
      <c r="C23" s="145"/>
      <c r="D23" s="145" t="s">
        <v>127</v>
      </c>
      <c r="E23" s="145" t="s">
        <v>22</v>
      </c>
      <c r="F23" s="145"/>
      <c r="G23" s="145"/>
      <c r="H23" s="146" t="str">
        <f>IF(C23="XXL (&gt;160h)",168,IF(C23="XL (&gt;40h)",48,IF(C23="L (20-40h)",30,IF(C23="M (10-20h)",15,IF(C23="S (&lt;10h)",5,"")))))</f>
        <v/>
      </c>
      <c r="I23" s="144" t="s">
        <v>209</v>
      </c>
      <c r="J23" s="67" t="str">
        <f>IF($E23="Q12026",COUNTIF($E$3:$E23,"Q12026"),"")</f>
        <v/>
      </c>
      <c r="K23" s="67" t="str">
        <f>IF($E23="Q22026",COUNTIF($E$3:$E23,"Q22026"),"")</f>
        <v/>
      </c>
      <c r="L23" s="67" t="str">
        <f>IF($E23="Q32026",COUNTIF($E$3:$E23,"Q32026"),"")</f>
        <v/>
      </c>
      <c r="M23" s="67">
        <f>IF($E23="Q42026",COUNTIF($E$3:$E23,"Q42026"),"")</f>
        <v>21</v>
      </c>
      <c r="N23" s="67" t="str">
        <f>IF($E23="Backlog",COUNTIF($E$3:$E23,"Backlog"),"")</f>
        <v/>
      </c>
    </row>
    <row r="24" spans="1:14" ht="24.75" customHeight="1">
      <c r="A24" s="141">
        <v>22</v>
      </c>
      <c r="B24" s="18" t="s">
        <v>210</v>
      </c>
      <c r="C24" s="19"/>
      <c r="D24" s="19" t="s">
        <v>134</v>
      </c>
      <c r="E24" s="19" t="s">
        <v>22</v>
      </c>
      <c r="F24" s="19"/>
      <c r="G24" s="19"/>
      <c r="H24" s="69" t="str">
        <f>IF(C24="XXL (&gt;160h)",168,IF(C24="XL (&gt;40h)",48,IF(C24="L (20-40h)",30,IF(C24="M (10-20h)",15,IF(C24="S (&lt;10h)",5,"")))))</f>
        <v/>
      </c>
      <c r="I24" s="18" t="s">
        <v>195</v>
      </c>
      <c r="J24" s="67" t="str">
        <f>IF($E24="Q12026",COUNTIF($E$3:$E24,"Q12026"),"")</f>
        <v/>
      </c>
      <c r="K24" s="67" t="str">
        <f>IF($E24="Q22026",COUNTIF($E$3:$E24,"Q22026"),"")</f>
        <v/>
      </c>
      <c r="L24" s="67" t="str">
        <f>IF($E24="Q32026",COUNTIF($E$3:$E24,"Q32026"),"")</f>
        <v/>
      </c>
      <c r="M24" s="67">
        <f>IF($E24="Q42026",COUNTIF($E$3:$E24,"Q42026"),"")</f>
        <v>22</v>
      </c>
      <c r="N24" s="67" t="str">
        <f>IF($E24="Backlog",COUNTIF($E$3:$E24,"Backlog"),"")</f>
        <v/>
      </c>
    </row>
    <row r="25" spans="1:14" ht="24.75" customHeight="1">
      <c r="A25" s="65">
        <v>23</v>
      </c>
      <c r="B25" s="16" t="s">
        <v>211</v>
      </c>
      <c r="C25" s="17"/>
      <c r="D25" s="17" t="s">
        <v>127</v>
      </c>
      <c r="E25" s="17" t="s">
        <v>22</v>
      </c>
      <c r="F25" s="17"/>
      <c r="G25" s="17"/>
      <c r="H25" s="66" t="str">
        <f>IF(C25="XXL (&gt;160h)",168,IF(C25="XL (&gt;40h)",48,IF(C25="L (20-40h)",30,IF(C25="M (10-20h)",15,IF(C25="S (&lt;10h)",5,"")))))</f>
        <v/>
      </c>
      <c r="I25" s="16" t="s">
        <v>212</v>
      </c>
      <c r="J25" s="67" t="str">
        <f>IF($E25="Q12026",COUNTIF($E$3:$E25,"Q12026"),"")</f>
        <v/>
      </c>
      <c r="K25" s="67" t="str">
        <f>IF($E25="Q22026",COUNTIF($E$3:$E25,"Q22026"),"")</f>
        <v/>
      </c>
      <c r="L25" s="67" t="str">
        <f>IF($E25="Q32026",COUNTIF($E$3:$E25,"Q32026"),"")</f>
        <v/>
      </c>
      <c r="M25" s="67">
        <f>IF($E25="Q42026",COUNTIF($E$3:$E25,"Q42026"),"")</f>
        <v>23</v>
      </c>
      <c r="N25" s="67" t="str">
        <f>IF($E25="Backlog",COUNTIF($E$3:$E25,"Backlog"),"")</f>
        <v/>
      </c>
    </row>
    <row r="26" spans="1:14" ht="24.75" customHeight="1">
      <c r="A26" s="141">
        <v>24</v>
      </c>
      <c r="B26" s="18" t="s">
        <v>213</v>
      </c>
      <c r="C26" s="19"/>
      <c r="D26" s="19" t="s">
        <v>127</v>
      </c>
      <c r="E26" s="19" t="s">
        <v>22</v>
      </c>
      <c r="F26" s="19"/>
      <c r="G26" s="19"/>
      <c r="H26" s="69" t="str">
        <f>IF(C26="XXL (&gt;160h)",168,IF(C26="XL (&gt;40h)",48,IF(C26="L (20-40h)",30,IF(C26="M (10-20h)",15,IF(C26="S (&lt;10h)",5,"")))))</f>
        <v/>
      </c>
      <c r="I26" s="18" t="s">
        <v>214</v>
      </c>
      <c r="J26" s="67" t="str">
        <f>IF($E26="Q12026",COUNTIF($E$3:$E26,"Q12026"),"")</f>
        <v/>
      </c>
      <c r="K26" s="67" t="str">
        <f>IF($E26="Q22026",COUNTIF($E$3:$E26,"Q22026"),"")</f>
        <v/>
      </c>
      <c r="L26" s="67" t="str">
        <f>IF($E26="Q32026",COUNTIF($E$3:$E26,"Q32026"),"")</f>
        <v/>
      </c>
      <c r="M26" s="67">
        <f>IF($E26="Q42026",COUNTIF($E$3:$E26,"Q42026"),"")</f>
        <v>24</v>
      </c>
      <c r="N26" s="67" t="str">
        <f>IF($E26="Backlog",COUNTIF($E$3:$E26,"Backlog"),"")</f>
        <v/>
      </c>
    </row>
    <row r="27" spans="1:14" ht="24.75" customHeight="1">
      <c r="A27" s="65">
        <v>25</v>
      </c>
      <c r="B27" s="16" t="s">
        <v>215</v>
      </c>
      <c r="C27" s="17"/>
      <c r="D27" s="17"/>
      <c r="E27" s="17"/>
      <c r="F27" s="17"/>
      <c r="G27" s="17"/>
      <c r="H27" s="66" t="str">
        <f>IF(C27="XXL (&gt;160h)",168,IF(C27="XL (&gt;40h)",48,IF(C27="L (20-40h)",30,IF(C27="M (10-20h)",15,IF(C27="S (&lt;10h)",5,"")))))</f>
        <v/>
      </c>
      <c r="I27" s="16" t="s">
        <v>204</v>
      </c>
      <c r="J27" s="67" t="str">
        <f>IF($E27="Q12026",COUNTIF($E$3:$E27,"Q12026"),"")</f>
        <v/>
      </c>
      <c r="K27" s="67" t="str">
        <f>IF($E27="Q22026",COUNTIF($E$3:$E27,"Q22026"),"")</f>
        <v/>
      </c>
      <c r="L27" s="67" t="str">
        <f>IF($E27="Q32026",COUNTIF($E$3:$E27,"Q32026"),"")</f>
        <v/>
      </c>
      <c r="M27" s="67" t="str">
        <f>IF($E27="Q42026",COUNTIF($E$3:$E27,"Q42026"),"")</f>
        <v/>
      </c>
      <c r="N27" s="67" t="str">
        <f>IF($E27="Backlog",COUNTIF($E$3:$E27,"Backlog"),"")</f>
        <v/>
      </c>
    </row>
    <row r="28" spans="1:14" ht="24.75" customHeight="1">
      <c r="A28" s="143">
        <v>26</v>
      </c>
      <c r="B28" s="144" t="s">
        <v>216</v>
      </c>
      <c r="C28" s="145"/>
      <c r="D28" s="145"/>
      <c r="E28" s="145"/>
      <c r="F28" s="145"/>
      <c r="G28" s="145"/>
      <c r="H28" s="146" t="str">
        <f>IF(C28="XXL (&gt;160h)",168,IF(C28="XL (&gt;40h)",48,IF(C28="L (20-40h)",30,IF(C28="M (10-20h)",15,IF(C28="S (&lt;10h)",5,"")))))</f>
        <v/>
      </c>
      <c r="I28" s="144" t="s">
        <v>217</v>
      </c>
      <c r="J28" s="67" t="str">
        <f>IF($E28="Q12026",COUNTIF($E$3:$E28,"Q12026"),"")</f>
        <v/>
      </c>
      <c r="K28" s="67" t="str">
        <f>IF($E28="Q22026",COUNTIF($E$3:$E28,"Q22026"),"")</f>
        <v/>
      </c>
      <c r="L28" s="67" t="str">
        <f>IF($E28="Q32026",COUNTIF($E$3:$E28,"Q32026"),"")</f>
        <v/>
      </c>
      <c r="M28" s="67" t="str">
        <f>IF($E28="Q42026",COUNTIF($E$3:$E28,"Q42026"),"")</f>
        <v/>
      </c>
      <c r="N28" s="67" t="str">
        <f>IF($E28="Backlog",COUNTIF($E$3:$E28,"Backlog"),"")</f>
        <v/>
      </c>
    </row>
    <row r="29" spans="1:14" ht="24.75" customHeight="1">
      <c r="A29" s="65">
        <v>27</v>
      </c>
      <c r="B29" s="16" t="s">
        <v>218</v>
      </c>
      <c r="C29" s="17"/>
      <c r="D29" s="17"/>
      <c r="E29" s="17" t="s">
        <v>22</v>
      </c>
      <c r="F29" s="17"/>
      <c r="G29" s="17"/>
      <c r="H29" s="66" t="str">
        <f>IF(C29="XXL (&gt;160h)",168,IF(C29="XL (&gt;40h)",48,IF(C29="L (20-40h)",30,IF(C29="M (10-20h)",15,IF(C29="S (&lt;10h)",5,"")))))</f>
        <v/>
      </c>
      <c r="I29" s="16"/>
      <c r="J29" s="67" t="str">
        <f>IF($E29="Q12026",COUNTIF($E$3:$E29,"Q12026"),"")</f>
        <v/>
      </c>
      <c r="K29" s="67" t="str">
        <f>IF($E29="Q22026",COUNTIF($E$3:$E29,"Q22026"),"")</f>
        <v/>
      </c>
      <c r="L29" s="67" t="str">
        <f>IF($E29="Q32026",COUNTIF($E$3:$E29,"Q32026"),"")</f>
        <v/>
      </c>
      <c r="M29" s="67">
        <f>IF($E29="Q42026",COUNTIF($E$3:$E29,"Q42026"),"")</f>
        <v>25</v>
      </c>
      <c r="N29" s="67" t="str">
        <f>IF($E29="Backlog",COUNTIF($E$3:$E29,"Backlog"),"")</f>
        <v/>
      </c>
    </row>
    <row r="30" spans="1:14" ht="24.75" customHeight="1">
      <c r="A30" s="68">
        <v>28</v>
      </c>
      <c r="B30" s="18"/>
      <c r="C30" s="19"/>
      <c r="D30" s="19"/>
      <c r="E30" s="19"/>
      <c r="F30" s="19"/>
      <c r="G30" s="19"/>
      <c r="H30" s="69" t="str">
        <f>IF(C30="XXL (&gt;160h)",168,IF(C30="XL (&gt;40h)",48,IF(C30="L (20-40h)",30,IF(C30="M (10-20h)",15,IF(C30="S (&lt;10h)",5,"")))))</f>
        <v/>
      </c>
      <c r="I30" s="18"/>
      <c r="J30" s="67" t="str">
        <f>IF($E30="Q12026",COUNTIF($E$3:$E30,"Q12026"),"")</f>
        <v/>
      </c>
      <c r="K30" s="67" t="str">
        <f>IF($E30="Q22026",COUNTIF($E$3:$E30,"Q22026"),"")</f>
        <v/>
      </c>
      <c r="L30" s="67" t="str">
        <f>IF($E30="Q32026",COUNTIF($E$3:$E30,"Q32026"),"")</f>
        <v/>
      </c>
      <c r="M30" s="67" t="str">
        <f>IF($E30="Q42026",COUNTIF($E$3:$E30,"Q42026"),"")</f>
        <v/>
      </c>
      <c r="N30" s="67" t="str">
        <f>IF($E30="Backlog",COUNTIF($E$3:$E30,"Backlog"),"")</f>
        <v/>
      </c>
    </row>
    <row r="31" spans="1:14" ht="24.75" customHeight="1">
      <c r="A31" s="65">
        <v>29</v>
      </c>
      <c r="B31" s="16"/>
      <c r="C31" s="17"/>
      <c r="D31" s="17"/>
      <c r="E31" s="17"/>
      <c r="F31" s="17"/>
      <c r="G31" s="17"/>
      <c r="H31" s="66" t="str">
        <f>IF(C31="XXL (&gt;160h)",168,IF(C31="XL (&gt;40h)",48,IF(C31="L (20-40h)",30,IF(C31="M (10-20h)",15,IF(C31="S (&lt;10h)",5,"")))))</f>
        <v/>
      </c>
      <c r="I31" s="16"/>
      <c r="J31" s="67" t="str">
        <f>IF($E31="Q12026",COUNTIF($E$3:$E31,"Q12026"),"")</f>
        <v/>
      </c>
      <c r="K31" s="67" t="str">
        <f>IF($E31="Q22026",COUNTIF($E$3:$E31,"Q22026"),"")</f>
        <v/>
      </c>
      <c r="L31" s="67" t="str">
        <f>IF($E31="Q32026",COUNTIF($E$3:$E31,"Q32026"),"")</f>
        <v/>
      </c>
      <c r="M31" s="67" t="str">
        <f>IF($E31="Q42026",COUNTIF($E$3:$E31,"Q42026"),"")</f>
        <v/>
      </c>
      <c r="N31" s="67" t="str">
        <f>IF($E31="Backlog",COUNTIF($E$3:$E31,"Backlog"),"")</f>
        <v/>
      </c>
    </row>
    <row r="32" spans="1:14" ht="24.75" customHeight="1">
      <c r="A32" s="68">
        <v>30</v>
      </c>
      <c r="B32" s="18"/>
      <c r="C32" s="19"/>
      <c r="D32" s="19"/>
      <c r="E32" s="19"/>
      <c r="F32" s="19"/>
      <c r="G32" s="19"/>
      <c r="H32" s="69" t="str">
        <f>IF(C32="XXL (&gt;160h)",168,IF(C32="XL (&gt;40h)",48,IF(C32="L (20-40h)",30,IF(C32="M (10-20h)",15,IF(C32="S (&lt;10h)",5,"")))))</f>
        <v/>
      </c>
      <c r="I32" s="18"/>
      <c r="J32" s="67" t="str">
        <f>IF($E32="Q12026",COUNTIF($E$3:$E32,"Q12026"),"")</f>
        <v/>
      </c>
      <c r="K32" s="67" t="str">
        <f>IF($E32="Q22026",COUNTIF($E$3:$E32,"Q22026"),"")</f>
        <v/>
      </c>
      <c r="L32" s="67" t="str">
        <f>IF($E32="Q32026",COUNTIF($E$3:$E32,"Q32026"),"")</f>
        <v/>
      </c>
      <c r="M32" s="67" t="str">
        <f>IF($E32="Q42026",COUNTIF($E$3:$E32,"Q42026"),"")</f>
        <v/>
      </c>
      <c r="N32" s="67" t="str">
        <f>IF($E32="Backlog",COUNTIF($E$3:$E32,"Backlog"),"")</f>
        <v/>
      </c>
    </row>
    <row r="33" spans="1:14" ht="24.75" customHeight="1">
      <c r="A33" s="65">
        <v>31</v>
      </c>
      <c r="B33" s="16"/>
      <c r="C33" s="17"/>
      <c r="D33" s="17"/>
      <c r="E33" s="17"/>
      <c r="F33" s="17"/>
      <c r="G33" s="17"/>
      <c r="H33" s="66" t="str">
        <f>IF(C33="XXL (&gt;160h)",168,IF(C33="XL (&gt;40h)",48,IF(C33="L (20-40h)",30,IF(C33="M (10-20h)",15,IF(C33="S (&lt;10h)",5,"")))))</f>
        <v/>
      </c>
      <c r="I33" s="16"/>
      <c r="J33" s="67" t="str">
        <f>IF($E33="Q12026",COUNTIF($E$3:$E33,"Q12026"),"")</f>
        <v/>
      </c>
      <c r="K33" s="67" t="str">
        <f>IF($E33="Q22026",COUNTIF($E$3:$E33,"Q22026"),"")</f>
        <v/>
      </c>
      <c r="L33" s="67" t="str">
        <f>IF($E33="Q32026",COUNTIF($E$3:$E33,"Q32026"),"")</f>
        <v/>
      </c>
      <c r="M33" s="67" t="str">
        <f>IF($E33="Q42026",COUNTIF($E$3:$E33,"Q42026"),"")</f>
        <v/>
      </c>
      <c r="N33" s="67" t="str">
        <f>IF($E33="Backlog",COUNTIF($E$3:$E33,"Backlog"),"")</f>
        <v/>
      </c>
    </row>
    <row r="34" spans="1:14" ht="24.75" customHeight="1">
      <c r="A34" s="68">
        <v>32</v>
      </c>
      <c r="B34" s="18"/>
      <c r="C34" s="19"/>
      <c r="D34" s="19"/>
      <c r="E34" s="19"/>
      <c r="F34" s="19"/>
      <c r="G34" s="19"/>
      <c r="H34" s="69" t="str">
        <f>IF(C34="XXL (&gt;160h)",168,IF(C34="XL (&gt;40h)",48,IF(C34="L (20-40h)",30,IF(C34="M (10-20h)",15,IF(C34="S (&lt;10h)",5,"")))))</f>
        <v/>
      </c>
      <c r="I34" s="18"/>
      <c r="J34" s="67" t="str">
        <f>IF($E34="Q12026",COUNTIF($E$3:$E34,"Q12026"),"")</f>
        <v/>
      </c>
      <c r="K34" s="67" t="str">
        <f>IF($E34="Q22026",COUNTIF($E$3:$E34,"Q22026"),"")</f>
        <v/>
      </c>
      <c r="L34" s="67" t="str">
        <f>IF($E34="Q32026",COUNTIF($E$3:$E34,"Q32026"),"")</f>
        <v/>
      </c>
      <c r="M34" s="67" t="str">
        <f>IF($E34="Q42026",COUNTIF($E$3:$E34,"Q42026"),"")</f>
        <v/>
      </c>
      <c r="N34" s="67" t="str">
        <f>IF($E34="Backlog",COUNTIF($E$3:$E34,"Backlog"),"")</f>
        <v/>
      </c>
    </row>
    <row r="35" spans="1:14" ht="24.75" customHeight="1">
      <c r="A35" s="65">
        <v>33</v>
      </c>
      <c r="B35" s="16"/>
      <c r="C35" s="17"/>
      <c r="D35" s="17"/>
      <c r="E35" s="17"/>
      <c r="F35" s="17"/>
      <c r="G35" s="17"/>
      <c r="H35" s="66" t="str">
        <f>IF(C35="XXL (&gt;160h)",168,IF(C35="XL (&gt;40h)",48,IF(C35="L (20-40h)",30,IF(C35="M (10-20h)",15,IF(C35="S (&lt;10h)",5,"")))))</f>
        <v/>
      </c>
      <c r="I35" s="16"/>
      <c r="J35" s="67" t="str">
        <f>IF($E35="Q12026",COUNTIF($E$3:$E35,"Q12026"),"")</f>
        <v/>
      </c>
      <c r="K35" s="67" t="str">
        <f>IF($E35="Q22026",COUNTIF($E$3:$E35,"Q22026"),"")</f>
        <v/>
      </c>
      <c r="L35" s="67" t="str">
        <f>IF($E35="Q32026",COUNTIF($E$3:$E35,"Q32026"),"")</f>
        <v/>
      </c>
      <c r="M35" s="67" t="str">
        <f>IF($E35="Q42026",COUNTIF($E$3:$E35,"Q42026"),"")</f>
        <v/>
      </c>
      <c r="N35" s="67" t="str">
        <f>IF($E35="Backlog",COUNTIF($E$3:$E35,"Backlog"),"")</f>
        <v/>
      </c>
    </row>
    <row r="36" spans="1:14" ht="24.75" customHeight="1">
      <c r="A36" s="68">
        <v>34</v>
      </c>
      <c r="B36" s="18"/>
      <c r="C36" s="19"/>
      <c r="D36" s="19"/>
      <c r="E36" s="19"/>
      <c r="F36" s="19"/>
      <c r="G36" s="19"/>
      <c r="H36" s="69" t="str">
        <f>IF(C36="XXL (&gt;160h)",168,IF(C36="XL (&gt;40h)",48,IF(C36="L (20-40h)",30,IF(C36="M (10-20h)",15,IF(C36="S (&lt;10h)",5,"")))))</f>
        <v/>
      </c>
      <c r="I36" s="18"/>
      <c r="J36" s="67" t="str">
        <f>IF($E36="Q12026",COUNTIF($E$3:$E36,"Q12026"),"")</f>
        <v/>
      </c>
      <c r="K36" s="67" t="str">
        <f>IF($E36="Q22026",COUNTIF($E$3:$E36,"Q22026"),"")</f>
        <v/>
      </c>
      <c r="L36" s="67" t="str">
        <f>IF($E36="Q32026",COUNTIF($E$3:$E36,"Q32026"),"")</f>
        <v/>
      </c>
      <c r="M36" s="67" t="str">
        <f>IF($E36="Q42026",COUNTIF($E$3:$E36,"Q42026"),"")</f>
        <v/>
      </c>
      <c r="N36" s="67" t="str">
        <f>IF($E36="Backlog",COUNTIF($E$3:$E36,"Backlog"),"")</f>
        <v/>
      </c>
    </row>
    <row r="37" spans="1:14" ht="24.75" customHeight="1">
      <c r="A37" s="65">
        <v>35</v>
      </c>
      <c r="B37" s="16"/>
      <c r="C37" s="17"/>
      <c r="D37" s="17"/>
      <c r="E37" s="17"/>
      <c r="F37" s="17"/>
      <c r="G37" s="17"/>
      <c r="H37" s="66" t="str">
        <f>IF(C37="XXL (&gt;160h)",168,IF(C37="XL (&gt;40h)",48,IF(C37="L (20-40h)",30,IF(C37="M (10-20h)",15,IF(C37="S (&lt;10h)",5,"")))))</f>
        <v/>
      </c>
      <c r="I37" s="16"/>
      <c r="J37" s="67" t="str">
        <f>IF($E37="Q12026",COUNTIF($E$3:$E37,"Q12026"),"")</f>
        <v/>
      </c>
      <c r="K37" s="67" t="str">
        <f>IF($E37="Q22026",COUNTIF($E$3:$E37,"Q22026"),"")</f>
        <v/>
      </c>
      <c r="L37" s="67" t="str">
        <f>IF($E37="Q32026",COUNTIF($E$3:$E37,"Q32026"),"")</f>
        <v/>
      </c>
      <c r="M37" s="67" t="str">
        <f>IF($E37="Q42026",COUNTIF($E$3:$E37,"Q42026"),"")</f>
        <v/>
      </c>
      <c r="N37" s="67" t="str">
        <f>IF($E37="Backlog",COUNTIF($E$3:$E37,"Backlog"),"")</f>
        <v/>
      </c>
    </row>
    <row r="38" spans="1:14" ht="24.75" customHeight="1">
      <c r="A38" s="68">
        <v>36</v>
      </c>
      <c r="B38" s="18"/>
      <c r="C38" s="19"/>
      <c r="D38" s="19"/>
      <c r="E38" s="19"/>
      <c r="F38" s="19"/>
      <c r="G38" s="19"/>
      <c r="H38" s="69" t="str">
        <f>IF(C38="XXL (&gt;160h)",168,IF(C38="XL (&gt;40h)",48,IF(C38="L (20-40h)",30,IF(C38="M (10-20h)",15,IF(C38="S (&lt;10h)",5,"")))))</f>
        <v/>
      </c>
      <c r="I38" s="18"/>
      <c r="J38" s="67" t="str">
        <f>IF($E38="Q12026",COUNTIF($E$3:$E38,"Q12026"),"")</f>
        <v/>
      </c>
      <c r="K38" s="67" t="str">
        <f>IF($E38="Q22026",COUNTIF($E$3:$E38,"Q22026"),"")</f>
        <v/>
      </c>
      <c r="L38" s="67" t="str">
        <f>IF($E38="Q32026",COUNTIF($E$3:$E38,"Q32026"),"")</f>
        <v/>
      </c>
      <c r="M38" s="67" t="str">
        <f>IF($E38="Q42026",COUNTIF($E$3:$E38,"Q42026"),"")</f>
        <v/>
      </c>
      <c r="N38" s="67" t="str">
        <f>IF($E38="Backlog",COUNTIF($E$3:$E38,"Backlog"),"")</f>
        <v/>
      </c>
    </row>
    <row r="39" spans="1:14" ht="24.75" customHeight="1">
      <c r="A39" s="65">
        <v>37</v>
      </c>
      <c r="B39" s="16"/>
      <c r="C39" s="17"/>
      <c r="D39" s="17"/>
      <c r="E39" s="17"/>
      <c r="F39" s="17"/>
      <c r="G39" s="17"/>
      <c r="H39" s="66" t="str">
        <f>IF(C39="XXL (&gt;160h)",168,IF(C39="XL (&gt;40h)",48,IF(C39="L (20-40h)",30,IF(C39="M (10-20h)",15,IF(C39="S (&lt;10h)",5,"")))))</f>
        <v/>
      </c>
      <c r="I39" s="16"/>
      <c r="J39" s="67" t="str">
        <f>IF($E39="Q12026",COUNTIF($E$3:$E39,"Q12026"),"")</f>
        <v/>
      </c>
      <c r="K39" s="67" t="str">
        <f>IF($E39="Q22026",COUNTIF($E$3:$E39,"Q22026"),"")</f>
        <v/>
      </c>
      <c r="L39" s="67" t="str">
        <f>IF($E39="Q32026",COUNTIF($E$3:$E39,"Q32026"),"")</f>
        <v/>
      </c>
      <c r="M39" s="67" t="str">
        <f>IF($E39="Q42026",COUNTIF($E$3:$E39,"Q42026"),"")</f>
        <v/>
      </c>
      <c r="N39" s="67" t="str">
        <f>IF($E39="Backlog",COUNTIF($E$3:$E39,"Backlog"),"")</f>
        <v/>
      </c>
    </row>
    <row r="40" spans="1:14" ht="24.75" customHeight="1">
      <c r="A40" s="68">
        <v>38</v>
      </c>
      <c r="B40" s="18"/>
      <c r="C40" s="19"/>
      <c r="D40" s="19"/>
      <c r="E40" s="19"/>
      <c r="F40" s="19"/>
      <c r="G40" s="19"/>
      <c r="H40" s="69" t="str">
        <f>IF(C40="XXL (&gt;160h)",168,IF(C40="XL (&gt;40h)",48,IF(C40="L (20-40h)",30,IF(C40="M (10-20h)",15,IF(C40="S (&lt;10h)",5,"")))))</f>
        <v/>
      </c>
      <c r="I40" s="18"/>
      <c r="J40" s="67" t="str">
        <f>IF($E40="Q12026",COUNTIF($E$3:$E40,"Q12026"),"")</f>
        <v/>
      </c>
      <c r="K40" s="67" t="str">
        <f>IF($E40="Q22026",COUNTIF($E$3:$E40,"Q22026"),"")</f>
        <v/>
      </c>
      <c r="L40" s="67" t="str">
        <f>IF($E40="Q32026",COUNTIF($E$3:$E40,"Q32026"),"")</f>
        <v/>
      </c>
      <c r="M40" s="67" t="str">
        <f>IF($E40="Q42026",COUNTIF($E$3:$E40,"Q42026"),"")</f>
        <v/>
      </c>
      <c r="N40" s="67" t="str">
        <f>IF($E40="Backlog",COUNTIF($E$3:$E40,"Backlog"),"")</f>
        <v/>
      </c>
    </row>
    <row r="41" spans="1:14" ht="24.75" customHeight="1">
      <c r="A41" s="65">
        <v>39</v>
      </c>
      <c r="B41" s="16"/>
      <c r="C41" s="17"/>
      <c r="D41" s="17"/>
      <c r="E41" s="17"/>
      <c r="F41" s="17"/>
      <c r="G41" s="17"/>
      <c r="H41" s="66" t="str">
        <f>IF(C41="XXL (&gt;160h)",168,IF(C41="XL (&gt;40h)",48,IF(C41="L (20-40h)",30,IF(C41="M (10-20h)",15,IF(C41="S (&lt;10h)",5,"")))))</f>
        <v/>
      </c>
      <c r="I41" s="16"/>
      <c r="J41" s="67" t="str">
        <f>IF($E41="Q12026",COUNTIF($E$3:$E41,"Q12026"),"")</f>
        <v/>
      </c>
      <c r="K41" s="67" t="str">
        <f>IF($E41="Q22026",COUNTIF($E$3:$E41,"Q22026"),"")</f>
        <v/>
      </c>
      <c r="L41" s="67" t="str">
        <f>IF($E41="Q32026",COUNTIF($E$3:$E41,"Q32026"),"")</f>
        <v/>
      </c>
      <c r="M41" s="67" t="str">
        <f>IF($E41="Q42026",COUNTIF($E$3:$E41,"Q42026"),"")</f>
        <v/>
      </c>
      <c r="N41" s="67" t="str">
        <f>IF($E41="Backlog",COUNTIF($E$3:$E41,"Backlog"),"")</f>
        <v/>
      </c>
    </row>
    <row r="42" spans="1:14" ht="24.75" customHeight="1">
      <c r="A42" s="68">
        <v>40</v>
      </c>
      <c r="B42" s="18"/>
      <c r="C42" s="19"/>
      <c r="D42" s="19"/>
      <c r="E42" s="19"/>
      <c r="F42" s="19"/>
      <c r="G42" s="19"/>
      <c r="H42" s="69" t="str">
        <f>IF(C42="XXL (&gt;160h)",168,IF(C42="XL (&gt;40h)",48,IF(C42="L (20-40h)",30,IF(C42="M (10-20h)",15,IF(C42="S (&lt;10h)",5,"")))))</f>
        <v/>
      </c>
      <c r="I42" s="18"/>
      <c r="J42" s="67" t="str">
        <f>IF($E42="Q12026",COUNTIF($E$3:$E42,"Q12026"),"")</f>
        <v/>
      </c>
      <c r="K42" s="67" t="str">
        <f>IF($E42="Q22026",COUNTIF($E$3:$E42,"Q22026"),"")</f>
        <v/>
      </c>
      <c r="L42" s="67" t="str">
        <f>IF($E42="Q32026",COUNTIF($E$3:$E42,"Q32026"),"")</f>
        <v/>
      </c>
      <c r="M42" s="67" t="str">
        <f>IF($E42="Q42026",COUNTIF($E$3:$E42,"Q42026"),"")</f>
        <v/>
      </c>
      <c r="N42" s="67" t="str">
        <f>IF($E42="Backlog",COUNTIF($E$3:$E42,"Backlog"),"")</f>
        <v/>
      </c>
    </row>
    <row r="43" spans="1:14" ht="24.75" customHeight="1">
      <c r="A43" s="65">
        <v>41</v>
      </c>
      <c r="B43" s="16"/>
      <c r="C43" s="17"/>
      <c r="D43" s="17"/>
      <c r="E43" s="17"/>
      <c r="F43" s="17"/>
      <c r="G43" s="17"/>
      <c r="H43" s="66" t="str">
        <f>IF(C43="XXL (&gt;160h)",168,IF(C43="XL (&gt;40h)",48,IF(C43="L (20-40h)",30,IF(C43="M (10-20h)",15,IF(C43="S (&lt;10h)",5,"")))))</f>
        <v/>
      </c>
      <c r="I43" s="16"/>
      <c r="J43" s="67" t="str">
        <f>IF($E43="Q12026",COUNTIF($E$3:$E43,"Q12026"),"")</f>
        <v/>
      </c>
      <c r="K43" s="67" t="str">
        <f>IF($E43="Q22026",COUNTIF($E$3:$E43,"Q22026"),"")</f>
        <v/>
      </c>
      <c r="L43" s="67" t="str">
        <f>IF($E43="Q32026",COUNTIF($E$3:$E43,"Q32026"),"")</f>
        <v/>
      </c>
      <c r="M43" s="67" t="str">
        <f>IF($E43="Q42026",COUNTIF($E$3:$E43,"Q42026"),"")</f>
        <v/>
      </c>
      <c r="N43" s="67" t="str">
        <f>IF($E43="Backlog",COUNTIF($E$3:$E43,"Backlog"),"")</f>
        <v/>
      </c>
    </row>
    <row r="44" spans="1:14" ht="24.75" customHeight="1">
      <c r="A44" s="68">
        <v>42</v>
      </c>
      <c r="B44" s="18"/>
      <c r="C44" s="19"/>
      <c r="D44" s="19"/>
      <c r="E44" s="19"/>
      <c r="F44" s="19"/>
      <c r="G44" s="19"/>
      <c r="H44" s="69" t="str">
        <f>IF(C44="XXL (&gt;160h)",168,IF(C44="XL (&gt;40h)",48,IF(C44="L (20-40h)",30,IF(C44="M (10-20h)",15,IF(C44="S (&lt;10h)",5,"")))))</f>
        <v/>
      </c>
      <c r="I44" s="18"/>
      <c r="J44" s="67" t="str">
        <f>IF($E44="Q12026",COUNTIF($E$3:$E44,"Q12026"),"")</f>
        <v/>
      </c>
      <c r="K44" s="67" t="str">
        <f>IF($E44="Q22026",COUNTIF($E$3:$E44,"Q22026"),"")</f>
        <v/>
      </c>
      <c r="L44" s="67" t="str">
        <f>IF($E44="Q32026",COUNTIF($E$3:$E44,"Q32026"),"")</f>
        <v/>
      </c>
      <c r="M44" s="67" t="str">
        <f>IF($E44="Q42026",COUNTIF($E$3:$E44,"Q42026"),"")</f>
        <v/>
      </c>
      <c r="N44" s="67" t="str">
        <f>IF($E44="Backlog",COUNTIF($E$3:$E44,"Backlog"),"")</f>
        <v/>
      </c>
    </row>
    <row r="45" spans="1:14" ht="24.75" customHeight="1">
      <c r="A45" s="65">
        <v>43</v>
      </c>
      <c r="B45" s="16"/>
      <c r="C45" s="17"/>
      <c r="D45" s="17"/>
      <c r="E45" s="17"/>
      <c r="F45" s="17"/>
      <c r="G45" s="17"/>
      <c r="H45" s="66" t="str">
        <f>IF(C45="XXL (&gt;160h)",168,IF(C45="XL (&gt;40h)",48,IF(C45="L (20-40h)",30,IF(C45="M (10-20h)",15,IF(C45="S (&lt;10h)",5,"")))))</f>
        <v/>
      </c>
      <c r="I45" s="16"/>
      <c r="J45" s="67" t="str">
        <f>IF($E45="Q12026",COUNTIF($E$3:$E45,"Q12026"),"")</f>
        <v/>
      </c>
      <c r="K45" s="67" t="str">
        <f>IF($E45="Q22026",COUNTIF($E$3:$E45,"Q22026"),"")</f>
        <v/>
      </c>
      <c r="L45" s="67" t="str">
        <f>IF($E45="Q32026",COUNTIF($E$3:$E45,"Q32026"),"")</f>
        <v/>
      </c>
      <c r="M45" s="67" t="str">
        <f>IF($E45="Q42026",COUNTIF($E$3:$E45,"Q42026"),"")</f>
        <v/>
      </c>
      <c r="N45" s="67" t="str">
        <f>IF($E45="Backlog",COUNTIF($E$3:$E45,"Backlog"),"")</f>
        <v/>
      </c>
    </row>
    <row r="46" spans="1:14" ht="24.75" customHeight="1">
      <c r="A46" s="68">
        <v>44</v>
      </c>
      <c r="B46" s="18"/>
      <c r="C46" s="19"/>
      <c r="D46" s="19"/>
      <c r="E46" s="19"/>
      <c r="F46" s="19"/>
      <c r="G46" s="19"/>
      <c r="H46" s="69" t="str">
        <f>IF(C46="XXL (&gt;160h)",168,IF(C46="XL (&gt;40h)",48,IF(C46="L (20-40h)",30,IF(C46="M (10-20h)",15,IF(C46="S (&lt;10h)",5,"")))))</f>
        <v/>
      </c>
      <c r="I46" s="18"/>
      <c r="J46" s="67" t="str">
        <f>IF($E46="Q12026",COUNTIF($E$3:$E46,"Q12026"),"")</f>
        <v/>
      </c>
      <c r="K46" s="67" t="str">
        <f>IF($E46="Q22026",COUNTIF($E$3:$E46,"Q22026"),"")</f>
        <v/>
      </c>
      <c r="L46" s="67" t="str">
        <f>IF($E46="Q32026",COUNTIF($E$3:$E46,"Q32026"),"")</f>
        <v/>
      </c>
      <c r="M46" s="67" t="str">
        <f>IF($E46="Q42026",COUNTIF($E$3:$E46,"Q42026"),"")</f>
        <v/>
      </c>
      <c r="N46" s="67" t="str">
        <f>IF($E46="Backlog",COUNTIF($E$3:$E46,"Backlog"),"")</f>
        <v/>
      </c>
    </row>
    <row r="47" spans="1:14" ht="24.75" customHeight="1">
      <c r="A47" s="65">
        <v>45</v>
      </c>
      <c r="B47" s="16"/>
      <c r="C47" s="17"/>
      <c r="D47" s="17"/>
      <c r="E47" s="17"/>
      <c r="F47" s="17"/>
      <c r="G47" s="17"/>
      <c r="H47" s="66" t="str">
        <f>IF(C47="XXL (&gt;160h)",168,IF(C47="XL (&gt;40h)",48,IF(C47="L (20-40h)",30,IF(C47="M (10-20h)",15,IF(C47="S (&lt;10h)",5,"")))))</f>
        <v/>
      </c>
      <c r="I47" s="16"/>
      <c r="J47" s="67" t="str">
        <f>IF($E47="Q12026",COUNTIF($E$3:$E47,"Q12026"),"")</f>
        <v/>
      </c>
      <c r="K47" s="67" t="str">
        <f>IF($E47="Q22026",COUNTIF($E$3:$E47,"Q22026"),"")</f>
        <v/>
      </c>
      <c r="L47" s="67" t="str">
        <f>IF($E47="Q32026",COUNTIF($E$3:$E47,"Q32026"),"")</f>
        <v/>
      </c>
      <c r="M47" s="67" t="str">
        <f>IF($E47="Q42026",COUNTIF($E$3:$E47,"Q42026"),"")</f>
        <v/>
      </c>
      <c r="N47" s="67" t="str">
        <f>IF($E47="Backlog",COUNTIF($E$3:$E47,"Backlog"),"")</f>
        <v/>
      </c>
    </row>
    <row r="48" spans="1:14" ht="24.75" customHeight="1">
      <c r="A48" s="68">
        <v>46</v>
      </c>
      <c r="B48" s="18"/>
      <c r="C48" s="19"/>
      <c r="D48" s="19"/>
      <c r="E48" s="19"/>
      <c r="F48" s="19"/>
      <c r="G48" s="19"/>
      <c r="H48" s="69" t="str">
        <f>IF(C48="XXL (&gt;160h)",168,IF(C48="XL (&gt;40h)",48,IF(C48="L (20-40h)",30,IF(C48="M (10-20h)",15,IF(C48="S (&lt;10h)",5,"")))))</f>
        <v/>
      </c>
      <c r="I48" s="18"/>
      <c r="J48" s="67" t="str">
        <f>IF($E48="Q12026",COUNTIF($E$3:$E48,"Q12026"),"")</f>
        <v/>
      </c>
      <c r="K48" s="67" t="str">
        <f>IF($E48="Q22026",COUNTIF($E$3:$E48,"Q22026"),"")</f>
        <v/>
      </c>
      <c r="L48" s="67" t="str">
        <f>IF($E48="Q32026",COUNTIF($E$3:$E48,"Q32026"),"")</f>
        <v/>
      </c>
      <c r="M48" s="67" t="str">
        <f>IF($E48="Q42026",COUNTIF($E$3:$E48,"Q42026"),"")</f>
        <v/>
      </c>
      <c r="N48" s="67" t="str">
        <f>IF($E48="Backlog",COUNTIF($E$3:$E48,"Backlog"),"")</f>
        <v/>
      </c>
    </row>
    <row r="49" spans="1:14" ht="24.75" customHeight="1">
      <c r="A49" s="65">
        <v>47</v>
      </c>
      <c r="B49" s="16"/>
      <c r="C49" s="17"/>
      <c r="D49" s="17"/>
      <c r="E49" s="17"/>
      <c r="F49" s="17"/>
      <c r="G49" s="17"/>
      <c r="H49" s="66" t="str">
        <f>IF(C49="XXL (&gt;160h)",168,IF(C49="XL (&gt;40h)",48,IF(C49="L (20-40h)",30,IF(C49="M (10-20h)",15,IF(C49="S (&lt;10h)",5,"")))))</f>
        <v/>
      </c>
      <c r="I49" s="16"/>
      <c r="J49" s="67" t="str">
        <f>IF($E49="Q12026",COUNTIF($E$3:$E49,"Q12026"),"")</f>
        <v/>
      </c>
      <c r="K49" s="67" t="str">
        <f>IF($E49="Q22026",COUNTIF($E$3:$E49,"Q22026"),"")</f>
        <v/>
      </c>
      <c r="L49" s="67" t="str">
        <f>IF($E49="Q32026",COUNTIF($E$3:$E49,"Q32026"),"")</f>
        <v/>
      </c>
      <c r="M49" s="67" t="str">
        <f>IF($E49="Q42026",COUNTIF($E$3:$E49,"Q42026"),"")</f>
        <v/>
      </c>
      <c r="N49" s="67" t="str">
        <f>IF($E49="Backlog",COUNTIF($E$3:$E49,"Backlog"),"")</f>
        <v/>
      </c>
    </row>
    <row r="50" spans="1:14" ht="24.75" customHeight="1">
      <c r="A50" s="68">
        <v>48</v>
      </c>
      <c r="B50" s="18"/>
      <c r="C50" s="19"/>
      <c r="D50" s="19"/>
      <c r="E50" s="19"/>
      <c r="F50" s="19"/>
      <c r="G50" s="19"/>
      <c r="H50" s="69" t="str">
        <f>IF(C50="XXL (&gt;160h)",168,IF(C50="XL (&gt;40h)",48,IF(C50="L (20-40h)",30,IF(C50="M (10-20h)",15,IF(C50="S (&lt;10h)",5,"")))))</f>
        <v/>
      </c>
      <c r="I50" s="18"/>
      <c r="J50" s="67" t="str">
        <f>IF($E50="Q12026",COUNTIF($E$3:$E50,"Q12026"),"")</f>
        <v/>
      </c>
      <c r="K50" s="67" t="str">
        <f>IF($E50="Q22026",COUNTIF($E$3:$E50,"Q22026"),"")</f>
        <v/>
      </c>
      <c r="L50" s="67" t="str">
        <f>IF($E50="Q32026",COUNTIF($E$3:$E50,"Q32026"),"")</f>
        <v/>
      </c>
      <c r="M50" s="67" t="str">
        <f>IF($E50="Q42026",COUNTIF($E$3:$E50,"Q42026"),"")</f>
        <v/>
      </c>
      <c r="N50" s="67" t="str">
        <f>IF($E50="Backlog",COUNTIF($E$3:$E50,"Backlog"),"")</f>
        <v/>
      </c>
    </row>
    <row r="51" spans="1:14" ht="24.75" customHeight="1">
      <c r="A51" s="65">
        <v>49</v>
      </c>
      <c r="B51" s="16"/>
      <c r="C51" s="17"/>
      <c r="D51" s="17"/>
      <c r="E51" s="17"/>
      <c r="F51" s="17"/>
      <c r="G51" s="17"/>
      <c r="H51" s="66" t="str">
        <f>IF(C51="XXL (&gt;160h)",168,IF(C51="XL (&gt;40h)",48,IF(C51="L (20-40h)",30,IF(C51="M (10-20h)",15,IF(C51="S (&lt;10h)",5,"")))))</f>
        <v/>
      </c>
      <c r="I51" s="16"/>
      <c r="J51" s="67" t="str">
        <f>IF($E51="Q12026",COUNTIF($E$3:$E51,"Q12026"),"")</f>
        <v/>
      </c>
      <c r="K51" s="67" t="str">
        <f>IF($E51="Q22026",COUNTIF($E$3:$E51,"Q22026"),"")</f>
        <v/>
      </c>
      <c r="L51" s="67" t="str">
        <f>IF($E51="Q32026",COUNTIF($E$3:$E51,"Q32026"),"")</f>
        <v/>
      </c>
      <c r="M51" s="67" t="str">
        <f>IF($E51="Q42026",COUNTIF($E$3:$E51,"Q42026"),"")</f>
        <v/>
      </c>
      <c r="N51" s="67" t="str">
        <f>IF($E51="Backlog",COUNTIF($E$3:$E51,"Backlog"),"")</f>
        <v/>
      </c>
    </row>
    <row r="52" spans="1:14" ht="24.75" customHeight="1">
      <c r="A52" s="68">
        <v>50</v>
      </c>
      <c r="B52" s="18"/>
      <c r="C52" s="19"/>
      <c r="D52" s="19"/>
      <c r="E52" s="19"/>
      <c r="F52" s="19"/>
      <c r="G52" s="19"/>
      <c r="H52" s="69" t="str">
        <f>IF(C52="XXL (&gt;160h)",168,IF(C52="XL (&gt;40h)",48,IF(C52="L (20-40h)",30,IF(C52="M (10-20h)",15,IF(C52="S (&lt;10h)",5,"")))))</f>
        <v/>
      </c>
      <c r="I52" s="18"/>
      <c r="J52" s="67" t="str">
        <f>IF($E52="Q12026",COUNTIF($E$3:$E52,"Q12026"),"")</f>
        <v/>
      </c>
      <c r="K52" s="67" t="str">
        <f>IF($E52="Q22026",COUNTIF($E$3:$E52,"Q22026"),"")</f>
        <v/>
      </c>
      <c r="L52" s="67" t="str">
        <f>IF($E52="Q32026",COUNTIF($E$3:$E52,"Q32026"),"")</f>
        <v/>
      </c>
      <c r="M52" s="67" t="str">
        <f>IF($E52="Q42026",COUNTIF($E$3:$E52,"Q42026"),"")</f>
        <v/>
      </c>
      <c r="N52" s="67" t="str">
        <f>IF($E52="Backlog",COUNTIF($E$3:$E52,"Backlog"),"")</f>
        <v/>
      </c>
    </row>
    <row r="53" spans="1:14" ht="24.75" customHeight="1">
      <c r="A53" s="65">
        <v>51</v>
      </c>
      <c r="B53" s="16"/>
      <c r="C53" s="17"/>
      <c r="D53" s="17"/>
      <c r="E53" s="17"/>
      <c r="F53" s="17"/>
      <c r="G53" s="17"/>
      <c r="H53" s="66" t="str">
        <f>IF(C53="XXL (&gt;160h)",168,IF(C53="XL (&gt;40h)",48,IF(C53="L (20-40h)",30,IF(C53="M (10-20h)",15,IF(C53="S (&lt;10h)",5,"")))))</f>
        <v/>
      </c>
      <c r="I53" s="16"/>
      <c r="J53" s="67" t="str">
        <f>IF($E53="Q12026",COUNTIF($E$3:$E53,"Q12026"),"")</f>
        <v/>
      </c>
      <c r="K53" s="67" t="str">
        <f>IF($E53="Q22026",COUNTIF($E$3:$E53,"Q22026"),"")</f>
        <v/>
      </c>
      <c r="L53" s="67" t="str">
        <f>IF($E53="Q32026",COUNTIF($E$3:$E53,"Q32026"),"")</f>
        <v/>
      </c>
      <c r="M53" s="67" t="str">
        <f>IF($E53="Q42026",COUNTIF($E$3:$E53,"Q42026"),"")</f>
        <v/>
      </c>
      <c r="N53" s="67" t="str">
        <f>IF($E53="Backlog",COUNTIF($E$3:$E53,"Backlog"),"")</f>
        <v/>
      </c>
    </row>
    <row r="54" spans="1:14" ht="24.75" customHeight="1">
      <c r="A54" s="68">
        <v>52</v>
      </c>
      <c r="B54" s="18"/>
      <c r="C54" s="19"/>
      <c r="D54" s="19"/>
      <c r="E54" s="19"/>
      <c r="F54" s="19"/>
      <c r="G54" s="19"/>
      <c r="H54" s="69" t="str">
        <f>IF(C54="XXL (&gt;160h)",168,IF(C54="XL (&gt;40h)",48,IF(C54="L (20-40h)",30,IF(C54="M (10-20h)",15,IF(C54="S (&lt;10h)",5,"")))))</f>
        <v/>
      </c>
      <c r="I54" s="18"/>
      <c r="J54" s="67" t="str">
        <f>IF($E54="Q12026",COUNTIF($E$3:$E54,"Q12026"),"")</f>
        <v/>
      </c>
      <c r="K54" s="67" t="str">
        <f>IF($E54="Q22026",COUNTIF($E$3:$E54,"Q22026"),"")</f>
        <v/>
      </c>
      <c r="L54" s="67" t="str">
        <f>IF($E54="Q32026",COUNTIF($E$3:$E54,"Q32026"),"")</f>
        <v/>
      </c>
      <c r="M54" s="67" t="str">
        <f>IF($E54="Q42026",COUNTIF($E$3:$E54,"Q42026"),"")</f>
        <v/>
      </c>
      <c r="N54" s="67" t="str">
        <f>IF($E54="Backlog",COUNTIF($E$3:$E54,"Backlog"),"")</f>
        <v/>
      </c>
    </row>
    <row r="55" spans="1:14" ht="24.75" customHeight="1">
      <c r="A55" s="65">
        <v>53</v>
      </c>
      <c r="B55" s="16"/>
      <c r="C55" s="17"/>
      <c r="D55" s="17"/>
      <c r="E55" s="17"/>
      <c r="F55" s="17"/>
      <c r="G55" s="17"/>
      <c r="H55" s="66" t="str">
        <f>IF(C55="XXL (&gt;160h)",168,IF(C55="XL (&gt;40h)",48,IF(C55="L (20-40h)",30,IF(C55="M (10-20h)",15,IF(C55="S (&lt;10h)",5,"")))))</f>
        <v/>
      </c>
      <c r="I55" s="16"/>
      <c r="J55" s="67" t="str">
        <f>IF($E55="Q12026",COUNTIF($E$3:$E55,"Q12026"),"")</f>
        <v/>
      </c>
      <c r="K55" s="67" t="str">
        <f>IF($E55="Q22026",COUNTIF($E$3:$E55,"Q22026"),"")</f>
        <v/>
      </c>
      <c r="L55" s="67" t="str">
        <f>IF($E55="Q32026",COUNTIF($E$3:$E55,"Q32026"),"")</f>
        <v/>
      </c>
      <c r="M55" s="67" t="str">
        <f>IF($E55="Q42026",COUNTIF($E$3:$E55,"Q42026"),"")</f>
        <v/>
      </c>
      <c r="N55" s="67" t="str">
        <f>IF($E55="Backlog",COUNTIF($E$3:$E55,"Backlog"),"")</f>
        <v/>
      </c>
    </row>
    <row r="56" spans="1:14" ht="24.75" customHeight="1">
      <c r="A56" s="68">
        <v>54</v>
      </c>
      <c r="B56" s="18"/>
      <c r="C56" s="19"/>
      <c r="D56" s="19"/>
      <c r="E56" s="19"/>
      <c r="F56" s="19"/>
      <c r="G56" s="19"/>
      <c r="H56" s="69" t="str">
        <f>IF(C56="XXL (&gt;160h)",168,IF(C56="XL (&gt;40h)",48,IF(C56="L (20-40h)",30,IF(C56="M (10-20h)",15,IF(C56="S (&lt;10h)",5,"")))))</f>
        <v/>
      </c>
      <c r="I56" s="18"/>
      <c r="J56" s="67" t="str">
        <f>IF($E56="Q12026",COUNTIF($E$3:$E56,"Q12026"),"")</f>
        <v/>
      </c>
      <c r="K56" s="67" t="str">
        <f>IF($E56="Q22026",COUNTIF($E$3:$E56,"Q22026"),"")</f>
        <v/>
      </c>
      <c r="L56" s="67" t="str">
        <f>IF($E56="Q32026",COUNTIF($E$3:$E56,"Q32026"),"")</f>
        <v/>
      </c>
      <c r="M56" s="67" t="str">
        <f>IF($E56="Q42026",COUNTIF($E$3:$E56,"Q42026"),"")</f>
        <v/>
      </c>
      <c r="N56" s="67" t="str">
        <f>IF($E56="Backlog",COUNTIF($E$3:$E56,"Backlog"),"")</f>
        <v/>
      </c>
    </row>
    <row r="57" spans="1:14" ht="24.75" customHeight="1">
      <c r="A57" s="65">
        <v>55</v>
      </c>
      <c r="B57" s="16"/>
      <c r="C57" s="17"/>
      <c r="D57" s="17"/>
      <c r="E57" s="17"/>
      <c r="F57" s="17"/>
      <c r="G57" s="17"/>
      <c r="H57" s="66" t="str">
        <f>IF(C57="XXL (&gt;160h)",168,IF(C57="XL (&gt;40h)",48,IF(C57="L (20-40h)",30,IF(C57="M (10-20h)",15,IF(C57="S (&lt;10h)",5,"")))))</f>
        <v/>
      </c>
      <c r="I57" s="16"/>
      <c r="J57" s="67" t="str">
        <f>IF($E57="Q12026",COUNTIF($E$3:$E57,"Q12026"),"")</f>
        <v/>
      </c>
      <c r="K57" s="67" t="str">
        <f>IF($E57="Q22026",COUNTIF($E$3:$E57,"Q22026"),"")</f>
        <v/>
      </c>
      <c r="L57" s="67" t="str">
        <f>IF($E57="Q32026",COUNTIF($E$3:$E57,"Q32026"),"")</f>
        <v/>
      </c>
      <c r="M57" s="67" t="str">
        <f>IF($E57="Q42026",COUNTIF($E$3:$E57,"Q42026"),"")</f>
        <v/>
      </c>
      <c r="N57" s="67" t="str">
        <f>IF($E57="Backlog",COUNTIF($E$3:$E57,"Backlog"),"")</f>
        <v/>
      </c>
    </row>
    <row r="58" spans="1:14" ht="24.75" customHeight="1">
      <c r="A58" s="68">
        <v>56</v>
      </c>
      <c r="B58" s="18"/>
      <c r="C58" s="19"/>
      <c r="D58" s="19"/>
      <c r="E58" s="19"/>
      <c r="F58" s="19"/>
      <c r="G58" s="19"/>
      <c r="H58" s="69" t="str">
        <f>IF(C58="XXL (&gt;160h)",168,IF(C58="XL (&gt;40h)",48,IF(C58="L (20-40h)",30,IF(C58="M (10-20h)",15,IF(C58="S (&lt;10h)",5,"")))))</f>
        <v/>
      </c>
      <c r="I58" s="18"/>
      <c r="J58" s="67" t="str">
        <f>IF($E58="Q12026",COUNTIF($E$3:$E58,"Q12026"),"")</f>
        <v/>
      </c>
      <c r="K58" s="67" t="str">
        <f>IF($E58="Q22026",COUNTIF($E$3:$E58,"Q22026"),"")</f>
        <v/>
      </c>
      <c r="L58" s="67" t="str">
        <f>IF($E58="Q32026",COUNTIF($E$3:$E58,"Q32026"),"")</f>
        <v/>
      </c>
      <c r="M58" s="67" t="str">
        <f>IF($E58="Q42026",COUNTIF($E$3:$E58,"Q42026"),"")</f>
        <v/>
      </c>
      <c r="N58" s="67" t="str">
        <f>IF($E58="Backlog",COUNTIF($E$3:$E58,"Backlog"),"")</f>
        <v/>
      </c>
    </row>
    <row r="59" spans="1:14" ht="24.75" customHeight="1">
      <c r="A59" s="65">
        <v>57</v>
      </c>
      <c r="B59" s="16"/>
      <c r="C59" s="17"/>
      <c r="D59" s="17"/>
      <c r="E59" s="17"/>
      <c r="F59" s="17"/>
      <c r="G59" s="17"/>
      <c r="H59" s="66" t="str">
        <f>IF(C59="XXL (&gt;160h)",168,IF(C59="XL (&gt;40h)",48,IF(C59="L (20-40h)",30,IF(C59="M (10-20h)",15,IF(C59="S (&lt;10h)",5,"")))))</f>
        <v/>
      </c>
      <c r="I59" s="16"/>
      <c r="J59" s="67" t="str">
        <f>IF($E59="Q12026",COUNTIF($E$3:$E59,"Q12026"),"")</f>
        <v/>
      </c>
      <c r="K59" s="67" t="str">
        <f>IF($E59="Q22026",COUNTIF($E$3:$E59,"Q22026"),"")</f>
        <v/>
      </c>
      <c r="L59" s="67" t="str">
        <f>IF($E59="Q32026",COUNTIF($E$3:$E59,"Q32026"),"")</f>
        <v/>
      </c>
      <c r="M59" s="67" t="str">
        <f>IF($E59="Q42026",COUNTIF($E$3:$E59,"Q42026"),"")</f>
        <v/>
      </c>
      <c r="N59" s="67" t="str">
        <f>IF($E59="Backlog",COUNTIF($E$3:$E59,"Backlog"),"")</f>
        <v/>
      </c>
    </row>
    <row r="60" spans="1:14" ht="24.75" customHeight="1">
      <c r="A60" s="68">
        <v>58</v>
      </c>
      <c r="B60" s="18"/>
      <c r="C60" s="19"/>
      <c r="D60" s="19"/>
      <c r="E60" s="19"/>
      <c r="F60" s="19"/>
      <c r="G60" s="19"/>
      <c r="H60" s="69" t="str">
        <f>IF(C60="XXL (&gt;160h)",168,IF(C60="XL (&gt;40h)",48,IF(C60="L (20-40h)",30,IF(C60="M (10-20h)",15,IF(C60="S (&lt;10h)",5,"")))))</f>
        <v/>
      </c>
      <c r="I60" s="18"/>
      <c r="J60" s="67" t="str">
        <f>IF($E60="Q12026",COUNTIF($E$3:$E60,"Q12026"),"")</f>
        <v/>
      </c>
      <c r="K60" s="67" t="str">
        <f>IF($E60="Q22026",COUNTIF($E$3:$E60,"Q22026"),"")</f>
        <v/>
      </c>
      <c r="L60" s="67" t="str">
        <f>IF($E60="Q32026",COUNTIF($E$3:$E60,"Q32026"),"")</f>
        <v/>
      </c>
      <c r="M60" s="67" t="str">
        <f>IF($E60="Q42026",COUNTIF($E$3:$E60,"Q42026"),"")</f>
        <v/>
      </c>
      <c r="N60" s="67" t="str">
        <f>IF($E60="Backlog",COUNTIF($E$3:$E60,"Backlog"),"")</f>
        <v/>
      </c>
    </row>
    <row r="61" spans="1:14" ht="24.75" customHeight="1">
      <c r="A61" s="65">
        <v>59</v>
      </c>
      <c r="B61" s="16"/>
      <c r="C61" s="17"/>
      <c r="D61" s="17"/>
      <c r="E61" s="17"/>
      <c r="F61" s="17"/>
      <c r="G61" s="17"/>
      <c r="H61" s="66" t="str">
        <f>IF(C61="XXL (&gt;160h)",168,IF(C61="XL (&gt;40h)",48,IF(C61="L (20-40h)",30,IF(C61="M (10-20h)",15,IF(C61="S (&lt;10h)",5,"")))))</f>
        <v/>
      </c>
      <c r="I61" s="16"/>
      <c r="J61" s="67" t="str">
        <f>IF($E61="Q12026",COUNTIF($E$3:$E61,"Q12026"),"")</f>
        <v/>
      </c>
      <c r="K61" s="67" t="str">
        <f>IF($E61="Q22026",COUNTIF($E$3:$E61,"Q22026"),"")</f>
        <v/>
      </c>
      <c r="L61" s="67" t="str">
        <f>IF($E61="Q32026",COUNTIF($E$3:$E61,"Q32026"),"")</f>
        <v/>
      </c>
      <c r="M61" s="67" t="str">
        <f>IF($E61="Q42026",COUNTIF($E$3:$E61,"Q42026"),"")</f>
        <v/>
      </c>
      <c r="N61" s="67" t="str">
        <f>IF($E61="Backlog",COUNTIF($E$3:$E61,"Backlog"),"")</f>
        <v/>
      </c>
    </row>
    <row r="62" spans="1:14" ht="24.75" customHeight="1">
      <c r="A62" s="68">
        <v>60</v>
      </c>
      <c r="B62" s="18"/>
      <c r="C62" s="19"/>
      <c r="D62" s="19"/>
      <c r="E62" s="19"/>
      <c r="F62" s="19"/>
      <c r="G62" s="19"/>
      <c r="H62" s="69" t="str">
        <f>IF(C62="XXL (&gt;160h)",168,IF(C62="XL (&gt;40h)",48,IF(C62="L (20-40h)",30,IF(C62="M (10-20h)",15,IF(C62="S (&lt;10h)",5,"")))))</f>
        <v/>
      </c>
      <c r="I62" s="18"/>
      <c r="J62" s="67" t="str">
        <f>IF($E62="Q12026",COUNTIF($E$3:$E62,"Q12026"),"")</f>
        <v/>
      </c>
      <c r="K62" s="67" t="str">
        <f>IF($E62="Q22026",COUNTIF($E$3:$E62,"Q22026"),"")</f>
        <v/>
      </c>
      <c r="L62" s="67" t="str">
        <f>IF($E62="Q32026",COUNTIF($E$3:$E62,"Q32026"),"")</f>
        <v/>
      </c>
      <c r="M62" s="67" t="str">
        <f>IF($E62="Q42026",COUNTIF($E$3:$E62,"Q42026"),"")</f>
        <v/>
      </c>
      <c r="N62" s="67" t="str">
        <f>IF($E62="Backlog",COUNTIF($E$3:$E62,"Backlog"),"")</f>
        <v/>
      </c>
    </row>
    <row r="63" spans="1:14" ht="24.75" customHeight="1">
      <c r="A63" s="65">
        <v>61</v>
      </c>
      <c r="B63" s="16"/>
      <c r="C63" s="17"/>
      <c r="D63" s="17"/>
      <c r="E63" s="17"/>
      <c r="F63" s="17"/>
      <c r="G63" s="17"/>
      <c r="H63" s="66" t="str">
        <f>IF(C63="XXL (&gt;160h)",168,IF(C63="XL (&gt;40h)",48,IF(C63="L (20-40h)",30,IF(C63="M (10-20h)",15,IF(C63="S (&lt;10h)",5,"")))))</f>
        <v/>
      </c>
      <c r="I63" s="16"/>
      <c r="J63" s="67" t="str">
        <f>IF($E63="Q12026",COUNTIF($E$3:$E63,"Q12026"),"")</f>
        <v/>
      </c>
      <c r="K63" s="67" t="str">
        <f>IF($E63="Q22026",COUNTIF($E$3:$E63,"Q22026"),"")</f>
        <v/>
      </c>
      <c r="L63" s="67" t="str">
        <f>IF($E63="Q32026",COUNTIF($E$3:$E63,"Q32026"),"")</f>
        <v/>
      </c>
      <c r="M63" s="67" t="str">
        <f>IF($E63="Q42026",COUNTIF($E$3:$E63,"Q42026"),"")</f>
        <v/>
      </c>
      <c r="N63" s="67" t="str">
        <f>IF($E63="Backlog",COUNTIF($E$3:$E63,"Backlog"),"")</f>
        <v/>
      </c>
    </row>
    <row r="64" spans="1:14" ht="24.75" customHeight="1">
      <c r="A64" s="68">
        <v>62</v>
      </c>
      <c r="B64" s="18"/>
      <c r="C64" s="19"/>
      <c r="D64" s="19"/>
      <c r="E64" s="19"/>
      <c r="F64" s="19"/>
      <c r="G64" s="19"/>
      <c r="H64" s="69" t="str">
        <f>IF(C64="XXL (&gt;160h)",168,IF(C64="XL (&gt;40h)",48,IF(C64="L (20-40h)",30,IF(C64="M (10-20h)",15,IF(C64="S (&lt;10h)",5,"")))))</f>
        <v/>
      </c>
      <c r="I64" s="18"/>
      <c r="J64" s="67" t="str">
        <f>IF($E64="Q12026",COUNTIF($E$3:$E64,"Q12026"),"")</f>
        <v/>
      </c>
      <c r="K64" s="67" t="str">
        <f>IF($E64="Q22026",COUNTIF($E$3:$E64,"Q22026"),"")</f>
        <v/>
      </c>
      <c r="L64" s="67" t="str">
        <f>IF($E64="Q32026",COUNTIF($E$3:$E64,"Q32026"),"")</f>
        <v/>
      </c>
      <c r="M64" s="67" t="str">
        <f>IF($E64="Q42026",COUNTIF($E$3:$E64,"Q42026"),"")</f>
        <v/>
      </c>
      <c r="N64" s="67" t="str">
        <f>IF($E64="Backlog",COUNTIF($E$3:$E64,"Backlog"),"")</f>
        <v/>
      </c>
    </row>
    <row r="65" spans="1:14" ht="24.75" customHeight="1">
      <c r="A65" s="65">
        <v>63</v>
      </c>
      <c r="B65" s="16"/>
      <c r="C65" s="17"/>
      <c r="D65" s="17"/>
      <c r="E65" s="17"/>
      <c r="F65" s="17"/>
      <c r="G65" s="17"/>
      <c r="H65" s="66" t="str">
        <f>IF(C65="XXL (&gt;160h)",168,IF(C65="XL (&gt;40h)",48,IF(C65="L (20-40h)",30,IF(C65="M (10-20h)",15,IF(C65="S (&lt;10h)",5,"")))))</f>
        <v/>
      </c>
      <c r="I65" s="16"/>
      <c r="J65" s="67" t="str">
        <f>IF($E65="Q12026",COUNTIF($E$3:$E65,"Q12026"),"")</f>
        <v/>
      </c>
      <c r="K65" s="67" t="str">
        <f>IF($E65="Q22026",COUNTIF($E$3:$E65,"Q22026"),"")</f>
        <v/>
      </c>
      <c r="L65" s="67" t="str">
        <f>IF($E65="Q32026",COUNTIF($E$3:$E65,"Q32026"),"")</f>
        <v/>
      </c>
      <c r="M65" s="67" t="str">
        <f>IF($E65="Q42026",COUNTIF($E$3:$E65,"Q42026"),"")</f>
        <v/>
      </c>
      <c r="N65" s="67" t="str">
        <f>IF($E65="Backlog",COUNTIF($E$3:$E65,"Backlog"),"")</f>
        <v/>
      </c>
    </row>
    <row r="66" spans="1:14" ht="24.75" customHeight="1">
      <c r="A66" s="68">
        <v>64</v>
      </c>
      <c r="B66" s="18"/>
      <c r="C66" s="19"/>
      <c r="D66" s="19"/>
      <c r="E66" s="19"/>
      <c r="F66" s="19"/>
      <c r="G66" s="19"/>
      <c r="H66" s="69" t="str">
        <f>IF(C66="XXL (&gt;160h)",168,IF(C66="XL (&gt;40h)",48,IF(C66="L (20-40h)",30,IF(C66="M (10-20h)",15,IF(C66="S (&lt;10h)",5,"")))))</f>
        <v/>
      </c>
      <c r="I66" s="18"/>
      <c r="J66" s="67" t="str">
        <f>IF($E66="Q12026",COUNTIF($E$3:$E66,"Q12026"),"")</f>
        <v/>
      </c>
      <c r="K66" s="67" t="str">
        <f>IF($E66="Q22026",COUNTIF($E$3:$E66,"Q22026"),"")</f>
        <v/>
      </c>
      <c r="L66" s="67" t="str">
        <f>IF($E66="Q32026",COUNTIF($E$3:$E66,"Q32026"),"")</f>
        <v/>
      </c>
      <c r="M66" s="67" t="str">
        <f>IF($E66="Q42026",COUNTIF($E$3:$E66,"Q42026"),"")</f>
        <v/>
      </c>
      <c r="N66" s="67" t="str">
        <f>IF($E66="Backlog",COUNTIF($E$3:$E66,"Backlog"),"")</f>
        <v/>
      </c>
    </row>
    <row r="67" spans="1:14" ht="24.75" customHeight="1">
      <c r="A67" s="65">
        <v>65</v>
      </c>
      <c r="B67" s="16"/>
      <c r="C67" s="17"/>
      <c r="D67" s="17"/>
      <c r="E67" s="17"/>
      <c r="F67" s="17"/>
      <c r="G67" s="17"/>
      <c r="H67" s="66" t="str">
        <f>IF(C67="XXL (&gt;160h)",168,IF(C67="XL (&gt;40h)",48,IF(C67="L (20-40h)",30,IF(C67="M (10-20h)",15,IF(C67="S (&lt;10h)",5,"")))))</f>
        <v/>
      </c>
      <c r="I67" s="16"/>
      <c r="J67" s="67" t="str">
        <f>IF($E67="Q12026",COUNTIF($E$3:$E67,"Q12026"),"")</f>
        <v/>
      </c>
      <c r="K67" s="67" t="str">
        <f>IF($E67="Q22026",COUNTIF($E$3:$E67,"Q22026"),"")</f>
        <v/>
      </c>
      <c r="L67" s="67" t="str">
        <f>IF($E67="Q32026",COUNTIF($E$3:$E67,"Q32026"),"")</f>
        <v/>
      </c>
      <c r="M67" s="67" t="str">
        <f>IF($E67="Q42026",COUNTIF($E$3:$E67,"Q42026"),"")</f>
        <v/>
      </c>
      <c r="N67" s="67" t="str">
        <f>IF($E67="Backlog",COUNTIF($E$3:$E67,"Backlog"),"")</f>
        <v/>
      </c>
    </row>
    <row r="68" spans="1:14" ht="24.75" customHeight="1">
      <c r="A68" s="68">
        <v>66</v>
      </c>
      <c r="B68" s="18"/>
      <c r="C68" s="19"/>
      <c r="D68" s="19"/>
      <c r="E68" s="19"/>
      <c r="F68" s="19"/>
      <c r="G68" s="19"/>
      <c r="H68" s="69" t="str">
        <f>IF(C68="XXL (&gt;160h)",168,IF(C68="XL (&gt;40h)",48,IF(C68="L (20-40h)",30,IF(C68="M (10-20h)",15,IF(C68="S (&lt;10h)",5,"")))))</f>
        <v/>
      </c>
      <c r="I68" s="18"/>
      <c r="J68" s="67" t="str">
        <f>IF($E68="Q12026",COUNTIF($E$3:$E68,"Q12026"),"")</f>
        <v/>
      </c>
      <c r="K68" s="67" t="str">
        <f>IF($E68="Q22026",COUNTIF($E$3:$E68,"Q22026"),"")</f>
        <v/>
      </c>
      <c r="L68" s="67" t="str">
        <f>IF($E68="Q32026",COUNTIF($E$3:$E68,"Q32026"),"")</f>
        <v/>
      </c>
      <c r="M68" s="67" t="str">
        <f>IF($E68="Q42026",COUNTIF($E$3:$E68,"Q42026"),"")</f>
        <v/>
      </c>
      <c r="N68" s="67" t="str">
        <f>IF($E68="Backlog",COUNTIF($E$3:$E68,"Backlog"),"")</f>
        <v/>
      </c>
    </row>
    <row r="69" spans="1:14" ht="24.75" customHeight="1">
      <c r="A69" s="65">
        <v>67</v>
      </c>
      <c r="B69" s="16"/>
      <c r="C69" s="17"/>
      <c r="D69" s="17"/>
      <c r="E69" s="17"/>
      <c r="F69" s="17"/>
      <c r="G69" s="17"/>
      <c r="H69" s="66" t="str">
        <f>IF(C69="XXL (&gt;160h)",168,IF(C69="XL (&gt;40h)",48,IF(C69="L (20-40h)",30,IF(C69="M (10-20h)",15,IF(C69="S (&lt;10h)",5,"")))))</f>
        <v/>
      </c>
      <c r="I69" s="16"/>
      <c r="J69" s="67" t="str">
        <f>IF($E69="Q12026",COUNTIF($E$3:$E69,"Q12026"),"")</f>
        <v/>
      </c>
      <c r="K69" s="67" t="str">
        <f>IF($E69="Q22026",COUNTIF($E$3:$E69,"Q22026"),"")</f>
        <v/>
      </c>
      <c r="L69" s="67" t="str">
        <f>IF($E69="Q32026",COUNTIF($E$3:$E69,"Q32026"),"")</f>
        <v/>
      </c>
      <c r="M69" s="67" t="str">
        <f>IF($E69="Q42026",COUNTIF($E$3:$E69,"Q42026"),"")</f>
        <v/>
      </c>
      <c r="N69" s="67" t="str">
        <f>IF($E69="Backlog",COUNTIF($E$3:$E69,"Backlog"),"")</f>
        <v/>
      </c>
    </row>
    <row r="70" spans="1:14" ht="24.75" customHeight="1">
      <c r="A70" s="68">
        <v>68</v>
      </c>
      <c r="B70" s="18"/>
      <c r="C70" s="19"/>
      <c r="D70" s="19"/>
      <c r="E70" s="19"/>
      <c r="F70" s="19"/>
      <c r="G70" s="19"/>
      <c r="H70" s="69" t="str">
        <f>IF(C70="XXL (&gt;160h)",168,IF(C70="XL (&gt;40h)",48,IF(C70="L (20-40h)",30,IF(C70="M (10-20h)",15,IF(C70="S (&lt;10h)",5,"")))))</f>
        <v/>
      </c>
      <c r="I70" s="18"/>
      <c r="J70" s="67" t="str">
        <f>IF($E70="Q12026",COUNTIF($E$3:$E70,"Q12026"),"")</f>
        <v/>
      </c>
      <c r="K70" s="67" t="str">
        <f>IF($E70="Q22026",COUNTIF($E$3:$E70,"Q22026"),"")</f>
        <v/>
      </c>
      <c r="L70" s="67" t="str">
        <f>IF($E70="Q32026",COUNTIF($E$3:$E70,"Q32026"),"")</f>
        <v/>
      </c>
      <c r="M70" s="67" t="str">
        <f>IF($E70="Q42026",COUNTIF($E$3:$E70,"Q42026"),"")</f>
        <v/>
      </c>
      <c r="N70" s="67" t="str">
        <f>IF($E70="Backlog",COUNTIF($E$3:$E70,"Backlog"),"")</f>
        <v/>
      </c>
    </row>
    <row r="71" spans="1:14" ht="24.75" customHeight="1">
      <c r="A71" s="65">
        <v>69</v>
      </c>
      <c r="B71" s="16"/>
      <c r="C71" s="17"/>
      <c r="D71" s="17"/>
      <c r="E71" s="17"/>
      <c r="F71" s="17"/>
      <c r="G71" s="17"/>
      <c r="H71" s="66" t="str">
        <f>IF(C71="XXL (&gt;160h)",168,IF(C71="XL (&gt;40h)",48,IF(C71="L (20-40h)",30,IF(C71="M (10-20h)",15,IF(C71="S (&lt;10h)",5,"")))))</f>
        <v/>
      </c>
      <c r="I71" s="16"/>
      <c r="J71" s="67" t="str">
        <f>IF($E71="Q12026",COUNTIF($E$3:$E71,"Q12026"),"")</f>
        <v/>
      </c>
      <c r="K71" s="67" t="str">
        <f>IF($E71="Q22026",COUNTIF($E$3:$E71,"Q22026"),"")</f>
        <v/>
      </c>
      <c r="L71" s="67" t="str">
        <f>IF($E71="Q32026",COUNTIF($E$3:$E71,"Q32026"),"")</f>
        <v/>
      </c>
      <c r="M71" s="67" t="str">
        <f>IF($E71="Q42026",COUNTIF($E$3:$E71,"Q42026"),"")</f>
        <v/>
      </c>
      <c r="N71" s="67" t="str">
        <f>IF($E71="Backlog",COUNTIF($E$3:$E71,"Backlog"),"")</f>
        <v/>
      </c>
    </row>
    <row r="72" spans="1:14" ht="24.75" customHeight="1">
      <c r="A72" s="68">
        <v>70</v>
      </c>
      <c r="B72" s="18"/>
      <c r="C72" s="19"/>
      <c r="D72" s="19"/>
      <c r="E72" s="19"/>
      <c r="F72" s="19"/>
      <c r="G72" s="19"/>
      <c r="H72" s="69" t="str">
        <f>IF(C72="XXL (&gt;160h)",168,IF(C72="XL (&gt;40h)",48,IF(C72="L (20-40h)",30,IF(C72="M (10-20h)",15,IF(C72="S (&lt;10h)",5,"")))))</f>
        <v/>
      </c>
      <c r="I72" s="18"/>
      <c r="J72" s="67" t="str">
        <f>IF($E72="Q12026",COUNTIF($E$3:$E72,"Q12026"),"")</f>
        <v/>
      </c>
      <c r="K72" s="67" t="str">
        <f>IF($E72="Q22026",COUNTIF($E$3:$E72,"Q22026"),"")</f>
        <v/>
      </c>
      <c r="L72" s="67" t="str">
        <f>IF($E72="Q32026",COUNTIF($E$3:$E72,"Q32026"),"")</f>
        <v/>
      </c>
      <c r="M72" s="67" t="str">
        <f>IF($E72="Q42026",COUNTIF($E$3:$E72,"Q42026"),"")</f>
        <v/>
      </c>
      <c r="N72" s="67" t="str">
        <f>IF($E72="Backlog",COUNTIF($E$3:$E72,"Backlog"),"")</f>
        <v/>
      </c>
    </row>
    <row r="73" spans="1:14" ht="24.75" customHeight="1">
      <c r="A73" s="65">
        <v>71</v>
      </c>
      <c r="B73" s="16"/>
      <c r="C73" s="17"/>
      <c r="D73" s="17"/>
      <c r="E73" s="17"/>
      <c r="F73" s="17"/>
      <c r="G73" s="17"/>
      <c r="H73" s="66" t="str">
        <f>IF(C73="XXL (&gt;160h)",168,IF(C73="XL (&gt;40h)",48,IF(C73="L (20-40h)",30,IF(C73="M (10-20h)",15,IF(C73="S (&lt;10h)",5,"")))))</f>
        <v/>
      </c>
      <c r="I73" s="16"/>
      <c r="J73" s="67" t="str">
        <f>IF($E73="Q12026",COUNTIF($E$3:$E73,"Q12026"),"")</f>
        <v/>
      </c>
      <c r="K73" s="67" t="str">
        <f>IF($E73="Q22026",COUNTIF($E$3:$E73,"Q22026"),"")</f>
        <v/>
      </c>
      <c r="L73" s="67" t="str">
        <f>IF($E73="Q32026",COUNTIF($E$3:$E73,"Q32026"),"")</f>
        <v/>
      </c>
      <c r="M73" s="67" t="str">
        <f>IF($E73="Q42026",COUNTIF($E$3:$E73,"Q42026"),"")</f>
        <v/>
      </c>
      <c r="N73" s="67" t="str">
        <f>IF($E73="Backlog",COUNTIF($E$3:$E73,"Backlog"),"")</f>
        <v/>
      </c>
    </row>
    <row r="74" spans="1:14" ht="24.75" customHeight="1">
      <c r="A74" s="68">
        <v>72</v>
      </c>
      <c r="B74" s="18"/>
      <c r="C74" s="19"/>
      <c r="D74" s="19"/>
      <c r="E74" s="19"/>
      <c r="F74" s="19"/>
      <c r="G74" s="19"/>
      <c r="H74" s="69" t="str">
        <f>IF(C74="XXL (&gt;160h)",168,IF(C74="XL (&gt;40h)",48,IF(C74="L (20-40h)",30,IF(C74="M (10-20h)",15,IF(C74="S (&lt;10h)",5,"")))))</f>
        <v/>
      </c>
      <c r="I74" s="18"/>
      <c r="J74" s="67" t="str">
        <f>IF($E74="Q12026",COUNTIF($E$3:$E74,"Q12026"),"")</f>
        <v/>
      </c>
      <c r="K74" s="67" t="str">
        <f>IF($E74="Q22026",COUNTIF($E$3:$E74,"Q22026"),"")</f>
        <v/>
      </c>
      <c r="L74" s="67" t="str">
        <f>IF($E74="Q32026",COUNTIF($E$3:$E74,"Q32026"),"")</f>
        <v/>
      </c>
      <c r="M74" s="67" t="str">
        <f>IF($E74="Q42026",COUNTIF($E$3:$E74,"Q42026"),"")</f>
        <v/>
      </c>
      <c r="N74" s="67" t="str">
        <f>IF($E74="Backlog",COUNTIF($E$3:$E74,"Backlog"),"")</f>
        <v/>
      </c>
    </row>
    <row r="75" spans="1:14" ht="24.75" customHeight="1">
      <c r="A75" s="65">
        <v>73</v>
      </c>
      <c r="B75" s="16"/>
      <c r="C75" s="17"/>
      <c r="D75" s="17"/>
      <c r="E75" s="17"/>
      <c r="F75" s="17"/>
      <c r="G75" s="17"/>
      <c r="H75" s="66" t="str">
        <f>IF(C75="XXL (&gt;160h)",168,IF(C75="XL (&gt;40h)",48,IF(C75="L (20-40h)",30,IF(C75="M (10-20h)",15,IF(C75="S (&lt;10h)",5,"")))))</f>
        <v/>
      </c>
      <c r="I75" s="16"/>
      <c r="J75" s="67" t="str">
        <f>IF($E75="Q12026",COUNTIF($E$3:$E75,"Q12026"),"")</f>
        <v/>
      </c>
      <c r="K75" s="67" t="str">
        <f>IF($E75="Q22026",COUNTIF($E$3:$E75,"Q22026"),"")</f>
        <v/>
      </c>
      <c r="L75" s="67" t="str">
        <f>IF($E75="Q32026",COUNTIF($E$3:$E75,"Q32026"),"")</f>
        <v/>
      </c>
      <c r="M75" s="67" t="str">
        <f>IF($E75="Q42026",COUNTIF($E$3:$E75,"Q42026"),"")</f>
        <v/>
      </c>
      <c r="N75" s="67" t="str">
        <f>IF($E75="Backlog",COUNTIF($E$3:$E75,"Backlog"),"")</f>
        <v/>
      </c>
    </row>
    <row r="76" spans="1:14" ht="24.75" customHeight="1">
      <c r="A76" s="68">
        <v>74</v>
      </c>
      <c r="B76" s="18"/>
      <c r="C76" s="19"/>
      <c r="D76" s="19"/>
      <c r="E76" s="19"/>
      <c r="F76" s="19"/>
      <c r="G76" s="19"/>
      <c r="H76" s="69" t="str">
        <f>IF(C76="XXL (&gt;160h)",168,IF(C76="XL (&gt;40h)",48,IF(C76="L (20-40h)",30,IF(C76="M (10-20h)",15,IF(C76="S (&lt;10h)",5,"")))))</f>
        <v/>
      </c>
      <c r="I76" s="18"/>
      <c r="J76" s="67" t="str">
        <f>IF($E76="Q12026",COUNTIF($E$3:$E76,"Q12026"),"")</f>
        <v/>
      </c>
      <c r="K76" s="67" t="str">
        <f>IF($E76="Q22026",COUNTIF($E$3:$E76,"Q22026"),"")</f>
        <v/>
      </c>
      <c r="L76" s="67" t="str">
        <f>IF($E76="Q32026",COUNTIF($E$3:$E76,"Q32026"),"")</f>
        <v/>
      </c>
      <c r="M76" s="67" t="str">
        <f>IF($E76="Q42026",COUNTIF($E$3:$E76,"Q42026"),"")</f>
        <v/>
      </c>
      <c r="N76" s="67" t="str">
        <f>IF($E76="Backlog",COUNTIF($E$3:$E76,"Backlog"),"")</f>
        <v/>
      </c>
    </row>
    <row r="77" spans="1:14" ht="24.75" customHeight="1">
      <c r="A77" s="65">
        <v>75</v>
      </c>
      <c r="B77" s="16"/>
      <c r="C77" s="17"/>
      <c r="D77" s="17"/>
      <c r="E77" s="17"/>
      <c r="F77" s="17"/>
      <c r="G77" s="17"/>
      <c r="H77" s="66" t="str">
        <f>IF(C77="XXL (&gt;160h)",168,IF(C77="XL (&gt;40h)",48,IF(C77="L (20-40h)",30,IF(C77="M (10-20h)",15,IF(C77="S (&lt;10h)",5,"")))))</f>
        <v/>
      </c>
      <c r="I77" s="16"/>
      <c r="J77" s="67" t="str">
        <f>IF($E77="Q12026",COUNTIF($E$3:$E77,"Q12026"),"")</f>
        <v/>
      </c>
      <c r="K77" s="67" t="str">
        <f>IF($E77="Q22026",COUNTIF($E$3:$E77,"Q22026"),"")</f>
        <v/>
      </c>
      <c r="L77" s="67" t="str">
        <f>IF($E77="Q32026",COUNTIF($E$3:$E77,"Q32026"),"")</f>
        <v/>
      </c>
      <c r="M77" s="67" t="str">
        <f>IF($E77="Q42026",COUNTIF($E$3:$E77,"Q42026"),"")</f>
        <v/>
      </c>
      <c r="N77" s="67" t="str">
        <f>IF($E77="Backlog",COUNTIF($E$3:$E77,"Backlog"),"")</f>
        <v/>
      </c>
    </row>
    <row r="78" spans="1:14" ht="24.75" customHeight="1">
      <c r="A78" s="68">
        <v>76</v>
      </c>
      <c r="B78" s="18"/>
      <c r="C78" s="19"/>
      <c r="D78" s="19"/>
      <c r="E78" s="19"/>
      <c r="F78" s="19"/>
      <c r="G78" s="19"/>
      <c r="H78" s="69" t="str">
        <f>IF(C78="XXL (&gt;160h)",168,IF(C78="XL (&gt;40h)",48,IF(C78="L (20-40h)",30,IF(C78="M (10-20h)",15,IF(C78="S (&lt;10h)",5,"")))))</f>
        <v/>
      </c>
      <c r="I78" s="18"/>
      <c r="J78" s="67" t="str">
        <f>IF($E78="Q12026",COUNTIF($E$3:$E78,"Q12026"),"")</f>
        <v/>
      </c>
      <c r="K78" s="67" t="str">
        <f>IF($E78="Q22026",COUNTIF($E$3:$E78,"Q22026"),"")</f>
        <v/>
      </c>
      <c r="L78" s="67" t="str">
        <f>IF($E78="Q32026",COUNTIF($E$3:$E78,"Q32026"),"")</f>
        <v/>
      </c>
      <c r="M78" s="67" t="str">
        <f>IF($E78="Q42026",COUNTIF($E$3:$E78,"Q42026"),"")</f>
        <v/>
      </c>
      <c r="N78" s="67" t="str">
        <f>IF($E78="Backlog",COUNTIF($E$3:$E78,"Backlog"),"")</f>
        <v/>
      </c>
    </row>
    <row r="79" spans="1:14" ht="24.75" customHeight="1">
      <c r="A79" s="65">
        <v>77</v>
      </c>
      <c r="B79" s="16"/>
      <c r="C79" s="17"/>
      <c r="D79" s="17"/>
      <c r="E79" s="17"/>
      <c r="F79" s="17"/>
      <c r="G79" s="17"/>
      <c r="H79" s="66" t="str">
        <f>IF(C79="XXL (&gt;160h)",168,IF(C79="XL (&gt;40h)",48,IF(C79="L (20-40h)",30,IF(C79="M (10-20h)",15,IF(C79="S (&lt;10h)",5,"")))))</f>
        <v/>
      </c>
      <c r="I79" s="16"/>
      <c r="J79" s="67" t="str">
        <f>IF($E79="Q12026",COUNTIF($E$3:$E79,"Q12026"),"")</f>
        <v/>
      </c>
      <c r="K79" s="67" t="str">
        <f>IF($E79="Q22026",COUNTIF($E$3:$E79,"Q22026"),"")</f>
        <v/>
      </c>
      <c r="L79" s="67" t="str">
        <f>IF($E79="Q32026",COUNTIF($E$3:$E79,"Q32026"),"")</f>
        <v/>
      </c>
      <c r="M79" s="67" t="str">
        <f>IF($E79="Q42026",COUNTIF($E$3:$E79,"Q42026"),"")</f>
        <v/>
      </c>
      <c r="N79" s="67" t="str">
        <f>IF($E79="Backlog",COUNTIF($E$3:$E79,"Backlog"),"")</f>
        <v/>
      </c>
    </row>
    <row r="80" spans="1:14" ht="24.75" customHeight="1">
      <c r="A80" s="68">
        <v>78</v>
      </c>
      <c r="B80" s="18"/>
      <c r="C80" s="19"/>
      <c r="D80" s="19"/>
      <c r="E80" s="19"/>
      <c r="F80" s="19"/>
      <c r="G80" s="19"/>
      <c r="H80" s="69" t="str">
        <f>IF(C80="XXL (&gt;160h)",168,IF(C80="XL (&gt;40h)",48,IF(C80="L (20-40h)",30,IF(C80="M (10-20h)",15,IF(C80="S (&lt;10h)",5,"")))))</f>
        <v/>
      </c>
      <c r="I80" s="18"/>
      <c r="J80" s="67" t="str">
        <f>IF($E80="Q12026",COUNTIF($E$3:$E80,"Q12026"),"")</f>
        <v/>
      </c>
      <c r="K80" s="67" t="str">
        <f>IF($E80="Q22026",COUNTIF($E$3:$E80,"Q22026"),"")</f>
        <v/>
      </c>
      <c r="L80" s="67" t="str">
        <f>IF($E80="Q32026",COUNTIF($E$3:$E80,"Q32026"),"")</f>
        <v/>
      </c>
      <c r="M80" s="67" t="str">
        <f>IF($E80="Q42026",COUNTIF($E$3:$E80,"Q42026"),"")</f>
        <v/>
      </c>
      <c r="N80" s="67" t="str">
        <f>IF($E80="Backlog",COUNTIF($E$3:$E80,"Backlog"),"")</f>
        <v/>
      </c>
    </row>
    <row r="81" spans="1:14" ht="24.75" customHeight="1">
      <c r="A81" s="65">
        <v>79</v>
      </c>
      <c r="B81" s="16"/>
      <c r="C81" s="17"/>
      <c r="D81" s="17"/>
      <c r="E81" s="17"/>
      <c r="F81" s="17"/>
      <c r="G81" s="17"/>
      <c r="H81" s="66" t="str">
        <f>IF(C81="XXL (&gt;160h)",168,IF(C81="XL (&gt;40h)",48,IF(C81="L (20-40h)",30,IF(C81="M (10-20h)",15,IF(C81="S (&lt;10h)",5,"")))))</f>
        <v/>
      </c>
      <c r="I81" s="16"/>
      <c r="J81" s="67" t="str">
        <f>IF($E81="Q12026",COUNTIF($E$3:$E81,"Q12026"),"")</f>
        <v/>
      </c>
      <c r="K81" s="67" t="str">
        <f>IF($E81="Q22026",COUNTIF($E$3:$E81,"Q22026"),"")</f>
        <v/>
      </c>
      <c r="L81" s="67" t="str">
        <f>IF($E81="Q32026",COUNTIF($E$3:$E81,"Q32026"),"")</f>
        <v/>
      </c>
      <c r="M81" s="67" t="str">
        <f>IF($E81="Q42026",COUNTIF($E$3:$E81,"Q42026"),"")</f>
        <v/>
      </c>
      <c r="N81" s="67" t="str">
        <f>IF($E81="Backlog",COUNTIF($E$3:$E81,"Backlog"),"")</f>
        <v/>
      </c>
    </row>
    <row r="82" spans="1:14" ht="24.75" customHeight="1">
      <c r="A82" s="68">
        <v>80</v>
      </c>
      <c r="B82" s="18"/>
      <c r="C82" s="19"/>
      <c r="D82" s="19"/>
      <c r="E82" s="19"/>
      <c r="F82" s="19"/>
      <c r="G82" s="19"/>
      <c r="H82" s="69" t="str">
        <f>IF(C82="XXL (&gt;160h)",168,IF(C82="XL (&gt;40h)",48,IF(C82="L (20-40h)",30,IF(C82="M (10-20h)",15,IF(C82="S (&lt;10h)",5,"")))))</f>
        <v/>
      </c>
      <c r="I82" s="18"/>
      <c r="J82" s="67" t="str">
        <f>IF($E82="Q12026",COUNTIF($E$3:$E82,"Q12026"),"")</f>
        <v/>
      </c>
      <c r="K82" s="67" t="str">
        <f>IF($E82="Q22026",COUNTIF($E$3:$E82,"Q22026"),"")</f>
        <v/>
      </c>
      <c r="L82" s="67" t="str">
        <f>IF($E82="Q32026",COUNTIF($E$3:$E82,"Q32026"),"")</f>
        <v/>
      </c>
      <c r="M82" s="67" t="str">
        <f>IF($E82="Q42026",COUNTIF($E$3:$E82,"Q42026"),"")</f>
        <v/>
      </c>
      <c r="N82" s="67" t="str">
        <f>IF($E82="Backlog",COUNTIF($E$3:$E82,"Backlog"),"")</f>
        <v/>
      </c>
    </row>
    <row r="83" spans="1:14" ht="21.75" customHeight="1">
      <c r="A83" s="130" t="s">
        <v>56</v>
      </c>
      <c r="B83" s="130"/>
      <c r="C83" s="130"/>
      <c r="D83" s="130"/>
      <c r="E83" s="130"/>
      <c r="F83" s="130"/>
      <c r="G83" s="130"/>
      <c r="H83" s="23">
        <f>SUM(H3:H82)</f>
        <v>0</v>
      </c>
      <c r="I83" s="73"/>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64" priority="2" operator="equal">
      <formula>"Strengthen"</formula>
    </cfRule>
    <cfRule type="cellIs" dxfId="63" priority="3" operator="equal">
      <formula>"Innovation"</formula>
    </cfRule>
    <cfRule type="cellIs" dxfId="62" priority="4" operator="equal">
      <formula>"Repair"</formula>
    </cfRule>
  </conditionalFormatting>
  <dataValidations count="5">
    <dataValidation type="list" allowBlank="1" sqref="D3:D82" xr:uid="{00000000-0002-0000-0500-000000000000}">
      <formula1>"Strengthen,Innovation,Repair"</formula1>
      <formula2>0</formula2>
    </dataValidation>
    <dataValidation type="list" allowBlank="1" sqref="C3:C82" xr:uid="{00000000-0002-0000-0500-000001000000}">
      <formula1>"XXL (&gt;160h),XL (&gt;40h),L (20-40h),M (10-20h),S (&lt;10h)"</formula1>
      <formula2>0</formula2>
    </dataValidation>
    <dataValidation type="list" allowBlank="1" sqref="E3:E82" xr:uid="{00000000-0002-0000-0500-000002000000}">
      <formula1>"Q12026,Q22026,Q32026,Q42026,Backlog"</formula1>
      <formula2>0</formula2>
    </dataValidation>
    <dataValidation type="list" allowBlank="1" sqref="F3:F82" xr:uid="{00000000-0002-0000-0500-000003000000}">
      <formula1>"Must,Should,Could,Won't"</formula1>
      <formula2>0</formula2>
    </dataValidation>
    <dataValidation type="list" allowBlank="1" sqref="G3:G82" xr:uid="{00000000-0002-0000-05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401"/>
  <sheetViews>
    <sheetView zoomScaleNormal="100" workbookViewId="0"/>
  </sheetViews>
  <sheetFormatPr defaultColWidth="8.7109375" defaultRowHeight="15"/>
  <sheetData>
    <row r="1" spans="1:13">
      <c r="A1" t="s">
        <v>5</v>
      </c>
      <c r="B1" t="s">
        <v>219</v>
      </c>
      <c r="C1" t="s">
        <v>3</v>
      </c>
      <c r="D1" t="s">
        <v>78</v>
      </c>
      <c r="E1" t="s">
        <v>64</v>
      </c>
      <c r="F1" t="s">
        <v>6</v>
      </c>
      <c r="G1" t="s">
        <v>7</v>
      </c>
      <c r="H1" t="s">
        <v>220</v>
      </c>
      <c r="I1" t="s">
        <v>221</v>
      </c>
      <c r="J1" t="s">
        <v>222</v>
      </c>
      <c r="K1" t="s">
        <v>223</v>
      </c>
      <c r="L1" t="s">
        <v>224</v>
      </c>
      <c r="M1" t="s">
        <v>225</v>
      </c>
    </row>
    <row r="2" spans="1:13">
      <c r="A2" t="str">
        <f>IF(AND('Q12026'!B3&lt;&gt;"",'Q12026'!E3&lt;&gt;""),'Q12026'!E3,"")</f>
        <v/>
      </c>
      <c r="B2" t="str">
        <f>IF(AND('Q12026'!B3&lt;&gt;"",'Q12026'!E3&lt;&gt;""),'Q12026'!B3,"")</f>
        <v/>
      </c>
      <c r="C2" t="str">
        <f>IF(AND('Q12026'!B3&lt;&gt;"",'Q12026'!E3&lt;&gt;""),'Q12026'!C3,"")</f>
        <v/>
      </c>
      <c r="D2" t="str">
        <f>IF(AND('Q12026'!B3&lt;&gt;"",'Q12026'!E3&lt;&gt;""),'Q12026'!D3,"")</f>
        <v/>
      </c>
      <c r="E2" t="str">
        <f>IF(AND('Q12026'!B3&lt;&gt;"",'Q12026'!E3&lt;&gt;""),'Q12026'!H3,"")</f>
        <v/>
      </c>
      <c r="F2" t="str">
        <f>IF(AND('Q12026'!B3&lt;&gt;"",'Q12026'!E3&lt;&gt;""),'Q12026'!F3,"")</f>
        <v/>
      </c>
      <c r="G2" t="str">
        <f>IF(AND('Q12026'!B3&lt;&gt;"",'Q12026'!E3&lt;&gt;""),'Q12026'!G3,"")</f>
        <v/>
      </c>
      <c r="H2" t="str">
        <f>IF(AND('Q12026'!B3&lt;&gt;"",'Q12026'!E3&lt;&gt;""),"Q12026","")</f>
        <v/>
      </c>
      <c r="I2" t="str">
        <f>IF(A2="Q12026",COUNTIF($A$2:$A2,"Q12026"),"")</f>
        <v/>
      </c>
      <c r="J2" t="str">
        <f>IF(A2="Q22026",COUNTIF($A$2:$A2,"Q22026"),"")</f>
        <v/>
      </c>
      <c r="K2" t="str">
        <f>IF(A2="Q32026",COUNTIF($A$2:$A2,"Q32026"),"")</f>
        <v/>
      </c>
      <c r="L2" t="str">
        <f>IF(A2="Q42026",COUNTIF($A$2:$A2,"Q42026"),"")</f>
        <v/>
      </c>
      <c r="M2" t="str">
        <f>IF(A2="Backlog",COUNTIF($A$2:$A2,"Backlog"),"")</f>
        <v/>
      </c>
    </row>
    <row r="3" spans="1:13">
      <c r="A3" t="str">
        <f>IF(AND('Q12026'!B4&lt;&gt;"",'Q12026'!E4&lt;&gt;""),'Q12026'!E4,"")</f>
        <v/>
      </c>
      <c r="B3" t="str">
        <f>IF(AND('Q12026'!B4&lt;&gt;"",'Q12026'!E4&lt;&gt;""),'Q12026'!B4,"")</f>
        <v/>
      </c>
      <c r="C3" t="str">
        <f>IF(AND('Q12026'!B4&lt;&gt;"",'Q12026'!E4&lt;&gt;""),'Q12026'!C4,"")</f>
        <v/>
      </c>
      <c r="D3" t="str">
        <f>IF(AND('Q12026'!B4&lt;&gt;"",'Q12026'!E4&lt;&gt;""),'Q12026'!D4,"")</f>
        <v/>
      </c>
      <c r="E3" t="str">
        <f>IF(AND('Q12026'!B4&lt;&gt;"",'Q12026'!E4&lt;&gt;""),'Q12026'!H4,"")</f>
        <v/>
      </c>
      <c r="F3" t="str">
        <f>IF(AND('Q12026'!B4&lt;&gt;"",'Q12026'!E4&lt;&gt;""),'Q12026'!F4,"")</f>
        <v/>
      </c>
      <c r="G3" t="str">
        <f>IF(AND('Q12026'!B4&lt;&gt;"",'Q12026'!E4&lt;&gt;""),'Q12026'!G4,"")</f>
        <v/>
      </c>
      <c r="H3" t="str">
        <f>IF(AND('Q12026'!B4&lt;&gt;"",'Q12026'!E4&lt;&gt;""),"Q12026","")</f>
        <v/>
      </c>
      <c r="I3" t="str">
        <f>IF(A3="Q12026",COUNTIF($A$2:$A3,"Q12026"),"")</f>
        <v/>
      </c>
      <c r="J3" t="str">
        <f>IF(A3="Q22026",COUNTIF($A$2:$A3,"Q22026"),"")</f>
        <v/>
      </c>
      <c r="K3" t="str">
        <f>IF(A3="Q32026",COUNTIF($A$2:$A3,"Q32026"),"")</f>
        <v/>
      </c>
      <c r="L3" t="str">
        <f>IF(A3="Q42026",COUNTIF($A$2:$A3,"Q42026"),"")</f>
        <v/>
      </c>
      <c r="M3" t="str">
        <f>IF(A3="Backlog",COUNTIF($A$2:$A3,"Backlog"),"")</f>
        <v/>
      </c>
    </row>
    <row r="4" spans="1:13">
      <c r="A4" t="str">
        <f>IF(AND('Q12026'!B5&lt;&gt;"",'Q12026'!E5&lt;&gt;""),'Q12026'!E5,"")</f>
        <v/>
      </c>
      <c r="B4" t="str">
        <f>IF(AND('Q12026'!B5&lt;&gt;"",'Q12026'!E5&lt;&gt;""),'Q12026'!B5,"")</f>
        <v/>
      </c>
      <c r="C4" t="str">
        <f>IF(AND('Q12026'!B5&lt;&gt;"",'Q12026'!E5&lt;&gt;""),'Q12026'!C5,"")</f>
        <v/>
      </c>
      <c r="D4" t="str">
        <f>IF(AND('Q12026'!B5&lt;&gt;"",'Q12026'!E5&lt;&gt;""),'Q12026'!D5,"")</f>
        <v/>
      </c>
      <c r="E4" t="str">
        <f>IF(AND('Q12026'!B5&lt;&gt;"",'Q12026'!E5&lt;&gt;""),'Q12026'!H5,"")</f>
        <v/>
      </c>
      <c r="F4" t="str">
        <f>IF(AND('Q12026'!B5&lt;&gt;"",'Q12026'!E5&lt;&gt;""),'Q12026'!F5,"")</f>
        <v/>
      </c>
      <c r="G4" t="str">
        <f>IF(AND('Q12026'!B5&lt;&gt;"",'Q12026'!E5&lt;&gt;""),'Q12026'!G5,"")</f>
        <v/>
      </c>
      <c r="H4" t="str">
        <f>IF(AND('Q12026'!B5&lt;&gt;"",'Q12026'!E5&lt;&gt;""),"Q12026","")</f>
        <v/>
      </c>
      <c r="I4" t="str">
        <f>IF(A4="Q12026",COUNTIF($A$2:$A4,"Q12026"),"")</f>
        <v/>
      </c>
      <c r="J4" t="str">
        <f>IF(A4="Q22026",COUNTIF($A$2:$A4,"Q22026"),"")</f>
        <v/>
      </c>
      <c r="K4" t="str">
        <f>IF(A4="Q32026",COUNTIF($A$2:$A4,"Q32026"),"")</f>
        <v/>
      </c>
      <c r="L4" t="str">
        <f>IF(A4="Q42026",COUNTIF($A$2:$A4,"Q42026"),"")</f>
        <v/>
      </c>
      <c r="M4" t="str">
        <f>IF(A4="Backlog",COUNTIF($A$2:$A4,"Backlog"),"")</f>
        <v/>
      </c>
    </row>
    <row r="5" spans="1:13">
      <c r="A5" t="str">
        <f>IF(AND('Q12026'!B6&lt;&gt;"",'Q12026'!E6&lt;&gt;""),'Q12026'!E6,"")</f>
        <v/>
      </c>
      <c r="B5" t="str">
        <f>IF(AND('Q12026'!B6&lt;&gt;"",'Q12026'!E6&lt;&gt;""),'Q12026'!B6,"")</f>
        <v/>
      </c>
      <c r="C5" t="str">
        <f>IF(AND('Q12026'!B6&lt;&gt;"",'Q12026'!E6&lt;&gt;""),'Q12026'!C6,"")</f>
        <v/>
      </c>
      <c r="D5" t="str">
        <f>IF(AND('Q12026'!B6&lt;&gt;"",'Q12026'!E6&lt;&gt;""),'Q12026'!D6,"")</f>
        <v/>
      </c>
      <c r="E5" t="str">
        <f>IF(AND('Q12026'!B6&lt;&gt;"",'Q12026'!E6&lt;&gt;""),'Q12026'!H6,"")</f>
        <v/>
      </c>
      <c r="F5" t="str">
        <f>IF(AND('Q12026'!B6&lt;&gt;"",'Q12026'!E6&lt;&gt;""),'Q12026'!F6,"")</f>
        <v/>
      </c>
      <c r="G5" t="str">
        <f>IF(AND('Q12026'!B6&lt;&gt;"",'Q12026'!E6&lt;&gt;""),'Q12026'!G6,"")</f>
        <v/>
      </c>
      <c r="H5" t="str">
        <f>IF(AND('Q12026'!B6&lt;&gt;"",'Q12026'!E6&lt;&gt;""),"Q12026","")</f>
        <v/>
      </c>
      <c r="I5" t="str">
        <f>IF(A5="Q12026",COUNTIF($A$2:$A5,"Q12026"),"")</f>
        <v/>
      </c>
      <c r="J5" t="str">
        <f>IF(A5="Q22026",COUNTIF($A$2:$A5,"Q22026"),"")</f>
        <v/>
      </c>
      <c r="K5" t="str">
        <f>IF(A5="Q32026",COUNTIF($A$2:$A5,"Q32026"),"")</f>
        <v/>
      </c>
      <c r="L5" t="str">
        <f>IF(A5="Q42026",COUNTIF($A$2:$A5,"Q42026"),"")</f>
        <v/>
      </c>
      <c r="M5" t="str">
        <f>IF(A5="Backlog",COUNTIF($A$2:$A5,"Backlog"),"")</f>
        <v/>
      </c>
    </row>
    <row r="6" spans="1:13">
      <c r="A6" t="str">
        <f>IF(AND('Q12026'!B7&lt;&gt;"",'Q12026'!E7&lt;&gt;""),'Q12026'!E7,"")</f>
        <v/>
      </c>
      <c r="B6" t="str">
        <f>IF(AND('Q12026'!B7&lt;&gt;"",'Q12026'!E7&lt;&gt;""),'Q12026'!B7,"")</f>
        <v/>
      </c>
      <c r="C6" t="str">
        <f>IF(AND('Q12026'!B7&lt;&gt;"",'Q12026'!E7&lt;&gt;""),'Q12026'!C7,"")</f>
        <v/>
      </c>
      <c r="D6" t="str">
        <f>IF(AND('Q12026'!B7&lt;&gt;"",'Q12026'!E7&lt;&gt;""),'Q12026'!D7,"")</f>
        <v/>
      </c>
      <c r="E6" t="str">
        <f>IF(AND('Q12026'!B7&lt;&gt;"",'Q12026'!E7&lt;&gt;""),'Q12026'!H7,"")</f>
        <v/>
      </c>
      <c r="F6" t="str">
        <f>IF(AND('Q12026'!B7&lt;&gt;"",'Q12026'!E7&lt;&gt;""),'Q12026'!F7,"")</f>
        <v/>
      </c>
      <c r="G6" t="str">
        <f>IF(AND('Q12026'!B7&lt;&gt;"",'Q12026'!E7&lt;&gt;""),'Q12026'!G7,"")</f>
        <v/>
      </c>
      <c r="H6" t="str">
        <f>IF(AND('Q12026'!B7&lt;&gt;"",'Q12026'!E7&lt;&gt;""),"Q12026","")</f>
        <v/>
      </c>
      <c r="I6" t="str">
        <f>IF(A6="Q12026",COUNTIF($A$2:$A6,"Q12026"),"")</f>
        <v/>
      </c>
      <c r="J6" t="str">
        <f>IF(A6="Q22026",COUNTIF($A$2:$A6,"Q22026"),"")</f>
        <v/>
      </c>
      <c r="K6" t="str">
        <f>IF(A6="Q32026",COUNTIF($A$2:$A6,"Q32026"),"")</f>
        <v/>
      </c>
      <c r="L6" t="str">
        <f>IF(A6="Q42026",COUNTIF($A$2:$A6,"Q42026"),"")</f>
        <v/>
      </c>
      <c r="M6" t="str">
        <f>IF(A6="Backlog",COUNTIF($A$2:$A6,"Backlog"),"")</f>
        <v/>
      </c>
    </row>
    <row r="7" spans="1:13">
      <c r="A7" t="str">
        <f>IF(AND('Q12026'!B8&lt;&gt;"",'Q12026'!E8&lt;&gt;""),'Q12026'!E8,"")</f>
        <v/>
      </c>
      <c r="B7" t="str">
        <f>IF(AND('Q12026'!B8&lt;&gt;"",'Q12026'!E8&lt;&gt;""),'Q12026'!B8,"")</f>
        <v/>
      </c>
      <c r="C7" t="str">
        <f>IF(AND('Q12026'!B8&lt;&gt;"",'Q12026'!E8&lt;&gt;""),'Q12026'!C8,"")</f>
        <v/>
      </c>
      <c r="D7" t="str">
        <f>IF(AND('Q12026'!B8&lt;&gt;"",'Q12026'!E8&lt;&gt;""),'Q12026'!D8,"")</f>
        <v/>
      </c>
      <c r="E7" t="str">
        <f>IF(AND('Q12026'!B8&lt;&gt;"",'Q12026'!E8&lt;&gt;""),'Q12026'!H8,"")</f>
        <v/>
      </c>
      <c r="F7" t="str">
        <f>IF(AND('Q12026'!B8&lt;&gt;"",'Q12026'!E8&lt;&gt;""),'Q12026'!F8,"")</f>
        <v/>
      </c>
      <c r="G7" t="str">
        <f>IF(AND('Q12026'!B8&lt;&gt;"",'Q12026'!E8&lt;&gt;""),'Q12026'!G8,"")</f>
        <v/>
      </c>
      <c r="H7" t="str">
        <f>IF(AND('Q12026'!B8&lt;&gt;"",'Q12026'!E8&lt;&gt;""),"Q12026","")</f>
        <v/>
      </c>
      <c r="I7" t="str">
        <f>IF(A7="Q12026",COUNTIF($A$2:$A7,"Q12026"),"")</f>
        <v/>
      </c>
      <c r="J7" t="str">
        <f>IF(A7="Q22026",COUNTIF($A$2:$A7,"Q22026"),"")</f>
        <v/>
      </c>
      <c r="K7" t="str">
        <f>IF(A7="Q32026",COUNTIF($A$2:$A7,"Q32026"),"")</f>
        <v/>
      </c>
      <c r="L7" t="str">
        <f>IF(A7="Q42026",COUNTIF($A$2:$A7,"Q42026"),"")</f>
        <v/>
      </c>
      <c r="M7" t="str">
        <f>IF(A7="Backlog",COUNTIF($A$2:$A7,"Backlog"),"")</f>
        <v/>
      </c>
    </row>
    <row r="8" spans="1:13">
      <c r="A8" t="str">
        <f>IF(AND('Q12026'!B9&lt;&gt;"",'Q12026'!E9&lt;&gt;""),'Q12026'!E9,"")</f>
        <v/>
      </c>
      <c r="B8" t="str">
        <f>IF(AND('Q12026'!B9&lt;&gt;"",'Q12026'!E9&lt;&gt;""),'Q12026'!B9,"")</f>
        <v/>
      </c>
      <c r="C8" t="str">
        <f>IF(AND('Q12026'!B9&lt;&gt;"",'Q12026'!E9&lt;&gt;""),'Q12026'!C9,"")</f>
        <v/>
      </c>
      <c r="D8" t="str">
        <f>IF(AND('Q12026'!B9&lt;&gt;"",'Q12026'!E9&lt;&gt;""),'Q12026'!D9,"")</f>
        <v/>
      </c>
      <c r="E8" t="str">
        <f>IF(AND('Q12026'!B9&lt;&gt;"",'Q12026'!E9&lt;&gt;""),'Q12026'!H9,"")</f>
        <v/>
      </c>
      <c r="F8" t="str">
        <f>IF(AND('Q12026'!B9&lt;&gt;"",'Q12026'!E9&lt;&gt;""),'Q12026'!F9,"")</f>
        <v/>
      </c>
      <c r="G8" t="str">
        <f>IF(AND('Q12026'!B9&lt;&gt;"",'Q12026'!E9&lt;&gt;""),'Q12026'!G9,"")</f>
        <v/>
      </c>
      <c r="H8" t="str">
        <f>IF(AND('Q12026'!B9&lt;&gt;"",'Q12026'!E9&lt;&gt;""),"Q12026","")</f>
        <v/>
      </c>
      <c r="I8" t="str">
        <f>IF(A8="Q12026",COUNTIF($A$2:$A8,"Q12026"),"")</f>
        <v/>
      </c>
      <c r="J8" t="str">
        <f>IF(A8="Q22026",COUNTIF($A$2:$A8,"Q22026"),"")</f>
        <v/>
      </c>
      <c r="K8" t="str">
        <f>IF(A8="Q32026",COUNTIF($A$2:$A8,"Q32026"),"")</f>
        <v/>
      </c>
      <c r="L8" t="str">
        <f>IF(A8="Q42026",COUNTIF($A$2:$A8,"Q42026"),"")</f>
        <v/>
      </c>
      <c r="M8" t="str">
        <f>IF(A8="Backlog",COUNTIF($A$2:$A8,"Backlog"),"")</f>
        <v/>
      </c>
    </row>
    <row r="9" spans="1:13">
      <c r="A9" t="str">
        <f>IF(AND('Q12026'!B10&lt;&gt;"",'Q12026'!E10&lt;&gt;""),'Q12026'!E10,"")</f>
        <v/>
      </c>
      <c r="B9" t="str">
        <f>IF(AND('Q12026'!B10&lt;&gt;"",'Q12026'!E10&lt;&gt;""),'Q12026'!B10,"")</f>
        <v/>
      </c>
      <c r="C9" t="str">
        <f>IF(AND('Q12026'!B10&lt;&gt;"",'Q12026'!E10&lt;&gt;""),'Q12026'!C10,"")</f>
        <v/>
      </c>
      <c r="D9" t="str">
        <f>IF(AND('Q12026'!B10&lt;&gt;"",'Q12026'!E10&lt;&gt;""),'Q12026'!D10,"")</f>
        <v/>
      </c>
      <c r="E9" t="str">
        <f>IF(AND('Q12026'!B10&lt;&gt;"",'Q12026'!E10&lt;&gt;""),'Q12026'!H10,"")</f>
        <v/>
      </c>
      <c r="F9" t="str">
        <f>IF(AND('Q12026'!B10&lt;&gt;"",'Q12026'!E10&lt;&gt;""),'Q12026'!F10,"")</f>
        <v/>
      </c>
      <c r="G9" t="str">
        <f>IF(AND('Q12026'!B10&lt;&gt;"",'Q12026'!E10&lt;&gt;""),'Q12026'!G10,"")</f>
        <v/>
      </c>
      <c r="H9" t="str">
        <f>IF(AND('Q12026'!B10&lt;&gt;"",'Q12026'!E10&lt;&gt;""),"Q12026","")</f>
        <v/>
      </c>
      <c r="I9" t="str">
        <f>IF(A9="Q12026",COUNTIF($A$2:$A9,"Q12026"),"")</f>
        <v/>
      </c>
      <c r="J9" t="str">
        <f>IF(A9="Q22026",COUNTIF($A$2:$A9,"Q22026"),"")</f>
        <v/>
      </c>
      <c r="K9" t="str">
        <f>IF(A9="Q32026",COUNTIF($A$2:$A9,"Q32026"),"")</f>
        <v/>
      </c>
      <c r="L9" t="str">
        <f>IF(A9="Q42026",COUNTIF($A$2:$A9,"Q42026"),"")</f>
        <v/>
      </c>
      <c r="M9" t="str">
        <f>IF(A9="Backlog",COUNTIF($A$2:$A9,"Backlog"),"")</f>
        <v/>
      </c>
    </row>
    <row r="10" spans="1:13">
      <c r="A10" t="str">
        <f>IF(AND('Q12026'!B11&lt;&gt;"",'Q12026'!E11&lt;&gt;""),'Q12026'!E11,"")</f>
        <v/>
      </c>
      <c r="B10" t="str">
        <f>IF(AND('Q12026'!B11&lt;&gt;"",'Q12026'!E11&lt;&gt;""),'Q12026'!B11,"")</f>
        <v/>
      </c>
      <c r="C10" t="str">
        <f>IF(AND('Q12026'!B11&lt;&gt;"",'Q12026'!E11&lt;&gt;""),'Q12026'!C11,"")</f>
        <v/>
      </c>
      <c r="D10" t="str">
        <f>IF(AND('Q12026'!B11&lt;&gt;"",'Q12026'!E11&lt;&gt;""),'Q12026'!D11,"")</f>
        <v/>
      </c>
      <c r="E10" t="str">
        <f>IF(AND('Q12026'!B11&lt;&gt;"",'Q12026'!E11&lt;&gt;""),'Q12026'!H11,"")</f>
        <v/>
      </c>
      <c r="F10" t="str">
        <f>IF(AND('Q12026'!B11&lt;&gt;"",'Q12026'!E11&lt;&gt;""),'Q12026'!F11,"")</f>
        <v/>
      </c>
      <c r="G10" t="str">
        <f>IF(AND('Q12026'!B11&lt;&gt;"",'Q12026'!E11&lt;&gt;""),'Q12026'!G11,"")</f>
        <v/>
      </c>
      <c r="H10" t="str">
        <f>IF(AND('Q12026'!B11&lt;&gt;"",'Q12026'!E11&lt;&gt;""),"Q12026","")</f>
        <v/>
      </c>
      <c r="I10" t="str">
        <f>IF(A10="Q12026",COUNTIF($A$2:$A10,"Q12026"),"")</f>
        <v/>
      </c>
      <c r="J10" t="str">
        <f>IF(A10="Q22026",COUNTIF($A$2:$A10,"Q22026"),"")</f>
        <v/>
      </c>
      <c r="K10" t="str">
        <f>IF(A10="Q32026",COUNTIF($A$2:$A10,"Q32026"),"")</f>
        <v/>
      </c>
      <c r="L10" t="str">
        <f>IF(A10="Q42026",COUNTIF($A$2:$A10,"Q42026"),"")</f>
        <v/>
      </c>
      <c r="M10" t="str">
        <f>IF(A10="Backlog",COUNTIF($A$2:$A10,"Backlog"),"")</f>
        <v/>
      </c>
    </row>
    <row r="11" spans="1:13">
      <c r="A11" t="str">
        <f>IF(AND('Q12026'!B12&lt;&gt;"",'Q12026'!E12&lt;&gt;""),'Q12026'!E12,"")</f>
        <v/>
      </c>
      <c r="B11" t="str">
        <f>IF(AND('Q12026'!B12&lt;&gt;"",'Q12026'!E12&lt;&gt;""),'Q12026'!B12,"")</f>
        <v/>
      </c>
      <c r="C11" t="str">
        <f>IF(AND('Q12026'!B12&lt;&gt;"",'Q12026'!E12&lt;&gt;""),'Q12026'!C12,"")</f>
        <v/>
      </c>
      <c r="D11" t="str">
        <f>IF(AND('Q12026'!B12&lt;&gt;"",'Q12026'!E12&lt;&gt;""),'Q12026'!D12,"")</f>
        <v/>
      </c>
      <c r="E11" t="str">
        <f>IF(AND('Q12026'!B12&lt;&gt;"",'Q12026'!E12&lt;&gt;""),'Q12026'!H12,"")</f>
        <v/>
      </c>
      <c r="F11" t="str">
        <f>IF(AND('Q12026'!B12&lt;&gt;"",'Q12026'!E12&lt;&gt;""),'Q12026'!F12,"")</f>
        <v/>
      </c>
      <c r="G11" t="str">
        <f>IF(AND('Q12026'!B12&lt;&gt;"",'Q12026'!E12&lt;&gt;""),'Q12026'!G12,"")</f>
        <v/>
      </c>
      <c r="H11" t="str">
        <f>IF(AND('Q12026'!B12&lt;&gt;"",'Q12026'!E12&lt;&gt;""),"Q12026","")</f>
        <v/>
      </c>
      <c r="I11" t="str">
        <f>IF(A11="Q12026",COUNTIF($A$2:$A11,"Q12026"),"")</f>
        <v/>
      </c>
      <c r="J11" t="str">
        <f>IF(A11="Q22026",COUNTIF($A$2:$A11,"Q22026"),"")</f>
        <v/>
      </c>
      <c r="K11" t="str">
        <f>IF(A11="Q32026",COUNTIF($A$2:$A11,"Q32026"),"")</f>
        <v/>
      </c>
      <c r="L11" t="str">
        <f>IF(A11="Q42026",COUNTIF($A$2:$A11,"Q42026"),"")</f>
        <v/>
      </c>
      <c r="M11" t="str">
        <f>IF(A11="Backlog",COUNTIF($A$2:$A11,"Backlog"),"")</f>
        <v/>
      </c>
    </row>
    <row r="12" spans="1:13">
      <c r="A12" t="str">
        <f>IF(AND('Q12026'!B13&lt;&gt;"",'Q12026'!E13&lt;&gt;""),'Q12026'!E13,"")</f>
        <v/>
      </c>
      <c r="B12" t="str">
        <f>IF(AND('Q12026'!B13&lt;&gt;"",'Q12026'!E13&lt;&gt;""),'Q12026'!B13,"")</f>
        <v/>
      </c>
      <c r="C12" t="str">
        <f>IF(AND('Q12026'!B13&lt;&gt;"",'Q12026'!E13&lt;&gt;""),'Q12026'!C13,"")</f>
        <v/>
      </c>
      <c r="D12" t="str">
        <f>IF(AND('Q12026'!B13&lt;&gt;"",'Q12026'!E13&lt;&gt;""),'Q12026'!D13,"")</f>
        <v/>
      </c>
      <c r="E12" t="str">
        <f>IF(AND('Q12026'!B13&lt;&gt;"",'Q12026'!E13&lt;&gt;""),'Q12026'!H13,"")</f>
        <v/>
      </c>
      <c r="F12" t="str">
        <f>IF(AND('Q12026'!B13&lt;&gt;"",'Q12026'!E13&lt;&gt;""),'Q12026'!F13,"")</f>
        <v/>
      </c>
      <c r="G12" t="str">
        <f>IF(AND('Q12026'!B13&lt;&gt;"",'Q12026'!E13&lt;&gt;""),'Q12026'!G13,"")</f>
        <v/>
      </c>
      <c r="H12" t="str">
        <f>IF(AND('Q12026'!B13&lt;&gt;"",'Q12026'!E13&lt;&gt;""),"Q12026","")</f>
        <v/>
      </c>
      <c r="I12" t="str">
        <f>IF(A12="Q12026",COUNTIF($A$2:$A12,"Q12026"),"")</f>
        <v/>
      </c>
      <c r="J12" t="str">
        <f>IF(A12="Q22026",COUNTIF($A$2:$A12,"Q22026"),"")</f>
        <v/>
      </c>
      <c r="K12" t="str">
        <f>IF(A12="Q32026",COUNTIF($A$2:$A12,"Q32026"),"")</f>
        <v/>
      </c>
      <c r="L12" t="str">
        <f>IF(A12="Q42026",COUNTIF($A$2:$A12,"Q42026"),"")</f>
        <v/>
      </c>
      <c r="M12" t="str">
        <f>IF(A12="Backlog",COUNTIF($A$2:$A12,"Backlog"),"")</f>
        <v/>
      </c>
    </row>
    <row r="13" spans="1:13">
      <c r="A13" t="str">
        <f>IF(AND('Q12026'!B14&lt;&gt;"",'Q12026'!E14&lt;&gt;""),'Q12026'!E14,"")</f>
        <v/>
      </c>
      <c r="B13" t="str">
        <f>IF(AND('Q12026'!B14&lt;&gt;"",'Q12026'!E14&lt;&gt;""),'Q12026'!B14,"")</f>
        <v/>
      </c>
      <c r="C13" t="str">
        <f>IF(AND('Q12026'!B14&lt;&gt;"",'Q12026'!E14&lt;&gt;""),'Q12026'!C14,"")</f>
        <v/>
      </c>
      <c r="D13" t="str">
        <f>IF(AND('Q12026'!B14&lt;&gt;"",'Q12026'!E14&lt;&gt;""),'Q12026'!D14,"")</f>
        <v/>
      </c>
      <c r="E13" t="str">
        <f>IF(AND('Q12026'!B14&lt;&gt;"",'Q12026'!E14&lt;&gt;""),'Q12026'!H14,"")</f>
        <v/>
      </c>
      <c r="F13" t="str">
        <f>IF(AND('Q12026'!B14&lt;&gt;"",'Q12026'!E14&lt;&gt;""),'Q12026'!F14,"")</f>
        <v/>
      </c>
      <c r="G13" t="str">
        <f>IF(AND('Q12026'!B14&lt;&gt;"",'Q12026'!E14&lt;&gt;""),'Q12026'!G14,"")</f>
        <v/>
      </c>
      <c r="H13" t="str">
        <f>IF(AND('Q12026'!B14&lt;&gt;"",'Q12026'!E14&lt;&gt;""),"Q12026","")</f>
        <v/>
      </c>
      <c r="I13" t="str">
        <f>IF(A13="Q12026",COUNTIF($A$2:$A13,"Q12026"),"")</f>
        <v/>
      </c>
      <c r="J13" t="str">
        <f>IF(A13="Q22026",COUNTIF($A$2:$A13,"Q22026"),"")</f>
        <v/>
      </c>
      <c r="K13" t="str">
        <f>IF(A13="Q32026",COUNTIF($A$2:$A13,"Q32026"),"")</f>
        <v/>
      </c>
      <c r="L13" t="str">
        <f>IF(A13="Q42026",COUNTIF($A$2:$A13,"Q42026"),"")</f>
        <v/>
      </c>
      <c r="M13" t="str">
        <f>IF(A13="Backlog",COUNTIF($A$2:$A13,"Backlog"),"")</f>
        <v/>
      </c>
    </row>
    <row r="14" spans="1:13">
      <c r="A14" t="str">
        <f>IF(AND('Q12026'!B15&lt;&gt;"",'Q12026'!E15&lt;&gt;""),'Q12026'!E15,"")</f>
        <v/>
      </c>
      <c r="B14" t="str">
        <f>IF(AND('Q12026'!B15&lt;&gt;"",'Q12026'!E15&lt;&gt;""),'Q12026'!B15,"")</f>
        <v/>
      </c>
      <c r="C14" t="str">
        <f>IF(AND('Q12026'!B15&lt;&gt;"",'Q12026'!E15&lt;&gt;""),'Q12026'!C15,"")</f>
        <v/>
      </c>
      <c r="D14" t="str">
        <f>IF(AND('Q12026'!B15&lt;&gt;"",'Q12026'!E15&lt;&gt;""),'Q12026'!D15,"")</f>
        <v/>
      </c>
      <c r="E14" t="str">
        <f>IF(AND('Q12026'!B15&lt;&gt;"",'Q12026'!E15&lt;&gt;""),'Q12026'!H15,"")</f>
        <v/>
      </c>
      <c r="F14" t="str">
        <f>IF(AND('Q12026'!B15&lt;&gt;"",'Q12026'!E15&lt;&gt;""),'Q12026'!F15,"")</f>
        <v/>
      </c>
      <c r="G14" t="str">
        <f>IF(AND('Q12026'!B15&lt;&gt;"",'Q12026'!E15&lt;&gt;""),'Q12026'!G15,"")</f>
        <v/>
      </c>
      <c r="H14" t="str">
        <f>IF(AND('Q12026'!B15&lt;&gt;"",'Q12026'!E15&lt;&gt;""),"Q12026","")</f>
        <v/>
      </c>
      <c r="I14" t="str">
        <f>IF(A14="Q12026",COUNTIF($A$2:$A14,"Q12026"),"")</f>
        <v/>
      </c>
      <c r="J14" t="str">
        <f>IF(A14="Q22026",COUNTIF($A$2:$A14,"Q22026"),"")</f>
        <v/>
      </c>
      <c r="K14" t="str">
        <f>IF(A14="Q32026",COUNTIF($A$2:$A14,"Q32026"),"")</f>
        <v/>
      </c>
      <c r="L14" t="str">
        <f>IF(A14="Q42026",COUNTIF($A$2:$A14,"Q42026"),"")</f>
        <v/>
      </c>
      <c r="M14" t="str">
        <f>IF(A14="Backlog",COUNTIF($A$2:$A14,"Backlog"),"")</f>
        <v/>
      </c>
    </row>
    <row r="15" spans="1:13">
      <c r="A15" t="str">
        <f>IF(AND('Q12026'!B16&lt;&gt;"",'Q12026'!E16&lt;&gt;""),'Q12026'!E16,"")</f>
        <v/>
      </c>
      <c r="B15" t="str">
        <f>IF(AND('Q12026'!B16&lt;&gt;"",'Q12026'!E16&lt;&gt;""),'Q12026'!B16,"")</f>
        <v/>
      </c>
      <c r="C15" t="str">
        <f>IF(AND('Q12026'!B16&lt;&gt;"",'Q12026'!E16&lt;&gt;""),'Q12026'!C16,"")</f>
        <v/>
      </c>
      <c r="D15" t="str">
        <f>IF(AND('Q12026'!B16&lt;&gt;"",'Q12026'!E16&lt;&gt;""),'Q12026'!D16,"")</f>
        <v/>
      </c>
      <c r="E15" t="str">
        <f>IF(AND('Q12026'!B16&lt;&gt;"",'Q12026'!E16&lt;&gt;""),'Q12026'!H16,"")</f>
        <v/>
      </c>
      <c r="F15" t="str">
        <f>IF(AND('Q12026'!B16&lt;&gt;"",'Q12026'!E16&lt;&gt;""),'Q12026'!F16,"")</f>
        <v/>
      </c>
      <c r="G15" t="str">
        <f>IF(AND('Q12026'!B16&lt;&gt;"",'Q12026'!E16&lt;&gt;""),'Q12026'!G16,"")</f>
        <v/>
      </c>
      <c r="H15" t="str">
        <f>IF(AND('Q12026'!B16&lt;&gt;"",'Q12026'!E16&lt;&gt;""),"Q12026","")</f>
        <v/>
      </c>
      <c r="I15" t="str">
        <f>IF(A15="Q12026",COUNTIF($A$2:$A15,"Q12026"),"")</f>
        <v/>
      </c>
      <c r="J15" t="str">
        <f>IF(A15="Q22026",COUNTIF($A$2:$A15,"Q22026"),"")</f>
        <v/>
      </c>
      <c r="K15" t="str">
        <f>IF(A15="Q32026",COUNTIF($A$2:$A15,"Q32026"),"")</f>
        <v/>
      </c>
      <c r="L15" t="str">
        <f>IF(A15="Q42026",COUNTIF($A$2:$A15,"Q42026"),"")</f>
        <v/>
      </c>
      <c r="M15" t="str">
        <f>IF(A15="Backlog",COUNTIF($A$2:$A15,"Backlog"),"")</f>
        <v/>
      </c>
    </row>
    <row r="16" spans="1:13">
      <c r="A16" t="str">
        <f>IF(AND('Q12026'!B17&lt;&gt;"",'Q12026'!E17&lt;&gt;""),'Q12026'!E17,"")</f>
        <v/>
      </c>
      <c r="B16" t="str">
        <f>IF(AND('Q12026'!B17&lt;&gt;"",'Q12026'!E17&lt;&gt;""),'Q12026'!B17,"")</f>
        <v/>
      </c>
      <c r="C16" t="str">
        <f>IF(AND('Q12026'!B17&lt;&gt;"",'Q12026'!E17&lt;&gt;""),'Q12026'!C17,"")</f>
        <v/>
      </c>
      <c r="D16" t="str">
        <f>IF(AND('Q12026'!B17&lt;&gt;"",'Q12026'!E17&lt;&gt;""),'Q12026'!D17,"")</f>
        <v/>
      </c>
      <c r="E16" t="str">
        <f>IF(AND('Q12026'!B17&lt;&gt;"",'Q12026'!E17&lt;&gt;""),'Q12026'!H17,"")</f>
        <v/>
      </c>
      <c r="F16" t="str">
        <f>IF(AND('Q12026'!B17&lt;&gt;"",'Q12026'!E17&lt;&gt;""),'Q12026'!F17,"")</f>
        <v/>
      </c>
      <c r="G16" t="str">
        <f>IF(AND('Q12026'!B17&lt;&gt;"",'Q12026'!E17&lt;&gt;""),'Q12026'!G17,"")</f>
        <v/>
      </c>
      <c r="H16" t="str">
        <f>IF(AND('Q12026'!B17&lt;&gt;"",'Q12026'!E17&lt;&gt;""),"Q12026","")</f>
        <v/>
      </c>
      <c r="I16" t="str">
        <f>IF(A16="Q12026",COUNTIF($A$2:$A16,"Q12026"),"")</f>
        <v/>
      </c>
      <c r="J16" t="str">
        <f>IF(A16="Q22026",COUNTIF($A$2:$A16,"Q22026"),"")</f>
        <v/>
      </c>
      <c r="K16" t="str">
        <f>IF(A16="Q32026",COUNTIF($A$2:$A16,"Q32026"),"")</f>
        <v/>
      </c>
      <c r="L16" t="str">
        <f>IF(A16="Q42026",COUNTIF($A$2:$A16,"Q42026"),"")</f>
        <v/>
      </c>
      <c r="M16" t="str">
        <f>IF(A16="Backlog",COUNTIF($A$2:$A16,"Backlog"),"")</f>
        <v/>
      </c>
    </row>
    <row r="17" spans="1:13">
      <c r="A17" t="str">
        <f>IF(AND('Q12026'!B18&lt;&gt;"",'Q12026'!E18&lt;&gt;""),'Q12026'!E18,"")</f>
        <v/>
      </c>
      <c r="B17" t="str">
        <f>IF(AND('Q12026'!B18&lt;&gt;"",'Q12026'!E18&lt;&gt;""),'Q12026'!B18,"")</f>
        <v/>
      </c>
      <c r="C17" t="str">
        <f>IF(AND('Q12026'!B18&lt;&gt;"",'Q12026'!E18&lt;&gt;""),'Q12026'!C18,"")</f>
        <v/>
      </c>
      <c r="D17" t="str">
        <f>IF(AND('Q12026'!B18&lt;&gt;"",'Q12026'!E18&lt;&gt;""),'Q12026'!D18,"")</f>
        <v/>
      </c>
      <c r="E17" t="str">
        <f>IF(AND('Q12026'!B18&lt;&gt;"",'Q12026'!E18&lt;&gt;""),'Q12026'!H18,"")</f>
        <v/>
      </c>
      <c r="F17" t="str">
        <f>IF(AND('Q12026'!B18&lt;&gt;"",'Q12026'!E18&lt;&gt;""),'Q12026'!F18,"")</f>
        <v/>
      </c>
      <c r="G17" t="str">
        <f>IF(AND('Q12026'!B18&lt;&gt;"",'Q12026'!E18&lt;&gt;""),'Q12026'!G18,"")</f>
        <v/>
      </c>
      <c r="H17" t="str">
        <f>IF(AND('Q12026'!B18&lt;&gt;"",'Q12026'!E18&lt;&gt;""),"Q12026","")</f>
        <v/>
      </c>
      <c r="I17" t="str">
        <f>IF(A17="Q12026",COUNTIF($A$2:$A17,"Q12026"),"")</f>
        <v/>
      </c>
      <c r="J17" t="str">
        <f>IF(A17="Q22026",COUNTIF($A$2:$A17,"Q22026"),"")</f>
        <v/>
      </c>
      <c r="K17" t="str">
        <f>IF(A17="Q32026",COUNTIF($A$2:$A17,"Q32026"),"")</f>
        <v/>
      </c>
      <c r="L17" t="str">
        <f>IF(A17="Q42026",COUNTIF($A$2:$A17,"Q42026"),"")</f>
        <v/>
      </c>
      <c r="M17" t="str">
        <f>IF(A17="Backlog",COUNTIF($A$2:$A17,"Backlog"),"")</f>
        <v/>
      </c>
    </row>
    <row r="18" spans="1:13">
      <c r="A18" t="str">
        <f>IF(AND('Q12026'!B19&lt;&gt;"",'Q12026'!E19&lt;&gt;""),'Q12026'!E19,"")</f>
        <v/>
      </c>
      <c r="B18" t="str">
        <f>IF(AND('Q12026'!B19&lt;&gt;"",'Q12026'!E19&lt;&gt;""),'Q12026'!B19,"")</f>
        <v/>
      </c>
      <c r="C18" t="str">
        <f>IF(AND('Q12026'!B19&lt;&gt;"",'Q12026'!E19&lt;&gt;""),'Q12026'!C19,"")</f>
        <v/>
      </c>
      <c r="D18" t="str">
        <f>IF(AND('Q12026'!B19&lt;&gt;"",'Q12026'!E19&lt;&gt;""),'Q12026'!D19,"")</f>
        <v/>
      </c>
      <c r="E18" t="str">
        <f>IF(AND('Q12026'!B19&lt;&gt;"",'Q12026'!E19&lt;&gt;""),'Q12026'!H19,"")</f>
        <v/>
      </c>
      <c r="F18" t="str">
        <f>IF(AND('Q12026'!B19&lt;&gt;"",'Q12026'!E19&lt;&gt;""),'Q12026'!F19,"")</f>
        <v/>
      </c>
      <c r="G18" t="str">
        <f>IF(AND('Q12026'!B19&lt;&gt;"",'Q12026'!E19&lt;&gt;""),'Q12026'!G19,"")</f>
        <v/>
      </c>
      <c r="H18" t="str">
        <f>IF(AND('Q12026'!B19&lt;&gt;"",'Q12026'!E19&lt;&gt;""),"Q12026","")</f>
        <v/>
      </c>
      <c r="I18" t="str">
        <f>IF(A18="Q12026",COUNTIF($A$2:$A18,"Q12026"),"")</f>
        <v/>
      </c>
      <c r="J18" t="str">
        <f>IF(A18="Q22026",COUNTIF($A$2:$A18,"Q22026"),"")</f>
        <v/>
      </c>
      <c r="K18" t="str">
        <f>IF(A18="Q32026",COUNTIF($A$2:$A18,"Q32026"),"")</f>
        <v/>
      </c>
      <c r="L18" t="str">
        <f>IF(A18="Q42026",COUNTIF($A$2:$A18,"Q42026"),"")</f>
        <v/>
      </c>
      <c r="M18" t="str">
        <f>IF(A18="Backlog",COUNTIF($A$2:$A18,"Backlog"),"")</f>
        <v/>
      </c>
    </row>
    <row r="19" spans="1:13">
      <c r="A19" t="str">
        <f>IF(AND('Q12026'!B20&lt;&gt;"",'Q12026'!E20&lt;&gt;""),'Q12026'!E20,"")</f>
        <v/>
      </c>
      <c r="B19" t="str">
        <f>IF(AND('Q12026'!B20&lt;&gt;"",'Q12026'!E20&lt;&gt;""),'Q12026'!B20,"")</f>
        <v/>
      </c>
      <c r="C19" t="str">
        <f>IF(AND('Q12026'!B20&lt;&gt;"",'Q12026'!E20&lt;&gt;""),'Q12026'!C20,"")</f>
        <v/>
      </c>
      <c r="D19" t="str">
        <f>IF(AND('Q12026'!B20&lt;&gt;"",'Q12026'!E20&lt;&gt;""),'Q12026'!D20,"")</f>
        <v/>
      </c>
      <c r="E19" t="str">
        <f>IF(AND('Q12026'!B20&lt;&gt;"",'Q12026'!E20&lt;&gt;""),'Q12026'!H20,"")</f>
        <v/>
      </c>
      <c r="F19" t="str">
        <f>IF(AND('Q12026'!B20&lt;&gt;"",'Q12026'!E20&lt;&gt;""),'Q12026'!F20,"")</f>
        <v/>
      </c>
      <c r="G19" t="str">
        <f>IF(AND('Q12026'!B20&lt;&gt;"",'Q12026'!E20&lt;&gt;""),'Q12026'!G20,"")</f>
        <v/>
      </c>
      <c r="H19" t="str">
        <f>IF(AND('Q12026'!B20&lt;&gt;"",'Q12026'!E20&lt;&gt;""),"Q12026","")</f>
        <v/>
      </c>
      <c r="I19" t="str">
        <f>IF(A19="Q12026",COUNTIF($A$2:$A19,"Q12026"),"")</f>
        <v/>
      </c>
      <c r="J19" t="str">
        <f>IF(A19="Q22026",COUNTIF($A$2:$A19,"Q22026"),"")</f>
        <v/>
      </c>
      <c r="K19" t="str">
        <f>IF(A19="Q32026",COUNTIF($A$2:$A19,"Q32026"),"")</f>
        <v/>
      </c>
      <c r="L19" t="str">
        <f>IF(A19="Q42026",COUNTIF($A$2:$A19,"Q42026"),"")</f>
        <v/>
      </c>
      <c r="M19" t="str">
        <f>IF(A19="Backlog",COUNTIF($A$2:$A19,"Backlog"),"")</f>
        <v/>
      </c>
    </row>
    <row r="20" spans="1:13">
      <c r="A20" t="str">
        <f>IF(AND('Q12026'!B21&lt;&gt;"",'Q12026'!E21&lt;&gt;""),'Q12026'!E21,"")</f>
        <v/>
      </c>
      <c r="B20" t="str">
        <f>IF(AND('Q12026'!B21&lt;&gt;"",'Q12026'!E21&lt;&gt;""),'Q12026'!B21,"")</f>
        <v/>
      </c>
      <c r="C20" t="str">
        <f>IF(AND('Q12026'!B21&lt;&gt;"",'Q12026'!E21&lt;&gt;""),'Q12026'!C21,"")</f>
        <v/>
      </c>
      <c r="D20" t="str">
        <f>IF(AND('Q12026'!B21&lt;&gt;"",'Q12026'!E21&lt;&gt;""),'Q12026'!D21,"")</f>
        <v/>
      </c>
      <c r="E20" t="str">
        <f>IF(AND('Q12026'!B21&lt;&gt;"",'Q12026'!E21&lt;&gt;""),'Q12026'!H21,"")</f>
        <v/>
      </c>
      <c r="F20" t="str">
        <f>IF(AND('Q12026'!B21&lt;&gt;"",'Q12026'!E21&lt;&gt;""),'Q12026'!F21,"")</f>
        <v/>
      </c>
      <c r="G20" t="str">
        <f>IF(AND('Q12026'!B21&lt;&gt;"",'Q12026'!E21&lt;&gt;""),'Q12026'!G21,"")</f>
        <v/>
      </c>
      <c r="H20" t="str">
        <f>IF(AND('Q12026'!B21&lt;&gt;"",'Q12026'!E21&lt;&gt;""),"Q12026","")</f>
        <v/>
      </c>
      <c r="I20" t="str">
        <f>IF(A20="Q12026",COUNTIF($A$2:$A20,"Q12026"),"")</f>
        <v/>
      </c>
      <c r="J20" t="str">
        <f>IF(A20="Q22026",COUNTIF($A$2:$A20,"Q22026"),"")</f>
        <v/>
      </c>
      <c r="K20" t="str">
        <f>IF(A20="Q32026",COUNTIF($A$2:$A20,"Q32026"),"")</f>
        <v/>
      </c>
      <c r="L20" t="str">
        <f>IF(A20="Q42026",COUNTIF($A$2:$A20,"Q42026"),"")</f>
        <v/>
      </c>
      <c r="M20" t="str">
        <f>IF(A20="Backlog",COUNTIF($A$2:$A20,"Backlog"),"")</f>
        <v/>
      </c>
    </row>
    <row r="21" spans="1:13">
      <c r="A21" t="str">
        <f>IF(AND('Q12026'!B22&lt;&gt;"",'Q12026'!E22&lt;&gt;""),'Q12026'!E22,"")</f>
        <v/>
      </c>
      <c r="B21" t="str">
        <f>IF(AND('Q12026'!B22&lt;&gt;"",'Q12026'!E22&lt;&gt;""),'Q12026'!B22,"")</f>
        <v/>
      </c>
      <c r="C21" t="str">
        <f>IF(AND('Q12026'!B22&lt;&gt;"",'Q12026'!E22&lt;&gt;""),'Q12026'!C22,"")</f>
        <v/>
      </c>
      <c r="D21" t="str">
        <f>IF(AND('Q12026'!B22&lt;&gt;"",'Q12026'!E22&lt;&gt;""),'Q12026'!D22,"")</f>
        <v/>
      </c>
      <c r="E21" t="str">
        <f>IF(AND('Q12026'!B22&lt;&gt;"",'Q12026'!E22&lt;&gt;""),'Q12026'!H22,"")</f>
        <v/>
      </c>
      <c r="F21" t="str">
        <f>IF(AND('Q12026'!B22&lt;&gt;"",'Q12026'!E22&lt;&gt;""),'Q12026'!F22,"")</f>
        <v/>
      </c>
      <c r="G21" t="str">
        <f>IF(AND('Q12026'!B22&lt;&gt;"",'Q12026'!E22&lt;&gt;""),'Q12026'!G22,"")</f>
        <v/>
      </c>
      <c r="H21" t="str">
        <f>IF(AND('Q12026'!B22&lt;&gt;"",'Q12026'!E22&lt;&gt;""),"Q12026","")</f>
        <v/>
      </c>
      <c r="I21" t="str">
        <f>IF(A21="Q12026",COUNTIF($A$2:$A21,"Q12026"),"")</f>
        <v/>
      </c>
      <c r="J21" t="str">
        <f>IF(A21="Q22026",COUNTIF($A$2:$A21,"Q22026"),"")</f>
        <v/>
      </c>
      <c r="K21" t="str">
        <f>IF(A21="Q32026",COUNTIF($A$2:$A21,"Q32026"),"")</f>
        <v/>
      </c>
      <c r="L21" t="str">
        <f>IF(A21="Q42026",COUNTIF($A$2:$A21,"Q42026"),"")</f>
        <v/>
      </c>
      <c r="M21" t="str">
        <f>IF(A21="Backlog",COUNTIF($A$2:$A21,"Backlog"),"")</f>
        <v/>
      </c>
    </row>
    <row r="22" spans="1:13">
      <c r="A22" t="str">
        <f>IF(AND('Q12026'!B23&lt;&gt;"",'Q12026'!E23&lt;&gt;""),'Q12026'!E23,"")</f>
        <v/>
      </c>
      <c r="B22" t="str">
        <f>IF(AND('Q12026'!B23&lt;&gt;"",'Q12026'!E23&lt;&gt;""),'Q12026'!B23,"")</f>
        <v/>
      </c>
      <c r="C22" t="str">
        <f>IF(AND('Q12026'!B23&lt;&gt;"",'Q12026'!E23&lt;&gt;""),'Q12026'!C23,"")</f>
        <v/>
      </c>
      <c r="D22" t="str">
        <f>IF(AND('Q12026'!B23&lt;&gt;"",'Q12026'!E23&lt;&gt;""),'Q12026'!D23,"")</f>
        <v/>
      </c>
      <c r="E22" t="str">
        <f>IF(AND('Q12026'!B23&lt;&gt;"",'Q12026'!E23&lt;&gt;""),'Q12026'!H23,"")</f>
        <v/>
      </c>
      <c r="F22" t="str">
        <f>IF(AND('Q12026'!B23&lt;&gt;"",'Q12026'!E23&lt;&gt;""),'Q12026'!F23,"")</f>
        <v/>
      </c>
      <c r="G22" t="str">
        <f>IF(AND('Q12026'!B23&lt;&gt;"",'Q12026'!E23&lt;&gt;""),'Q12026'!G23,"")</f>
        <v/>
      </c>
      <c r="H22" t="str">
        <f>IF(AND('Q12026'!B23&lt;&gt;"",'Q12026'!E23&lt;&gt;""),"Q12026","")</f>
        <v/>
      </c>
      <c r="I22" t="str">
        <f>IF(A22="Q12026",COUNTIF($A$2:$A22,"Q12026"),"")</f>
        <v/>
      </c>
      <c r="J22" t="str">
        <f>IF(A22="Q22026",COUNTIF($A$2:$A22,"Q22026"),"")</f>
        <v/>
      </c>
      <c r="K22" t="str">
        <f>IF(A22="Q32026",COUNTIF($A$2:$A22,"Q32026"),"")</f>
        <v/>
      </c>
      <c r="L22" t="str">
        <f>IF(A22="Q42026",COUNTIF($A$2:$A22,"Q42026"),"")</f>
        <v/>
      </c>
      <c r="M22" t="str">
        <f>IF(A22="Backlog",COUNTIF($A$2:$A22,"Backlog"),"")</f>
        <v/>
      </c>
    </row>
    <row r="23" spans="1:13">
      <c r="A23" t="str">
        <f>IF(AND('Q12026'!B24&lt;&gt;"",'Q12026'!E24&lt;&gt;""),'Q12026'!E24,"")</f>
        <v/>
      </c>
      <c r="B23" t="str">
        <f>IF(AND('Q12026'!B24&lt;&gt;"",'Q12026'!E24&lt;&gt;""),'Q12026'!B24,"")</f>
        <v/>
      </c>
      <c r="C23" t="str">
        <f>IF(AND('Q12026'!B24&lt;&gt;"",'Q12026'!E24&lt;&gt;""),'Q12026'!C24,"")</f>
        <v/>
      </c>
      <c r="D23" t="str">
        <f>IF(AND('Q12026'!B24&lt;&gt;"",'Q12026'!E24&lt;&gt;""),'Q12026'!D24,"")</f>
        <v/>
      </c>
      <c r="E23" t="str">
        <f>IF(AND('Q12026'!B24&lt;&gt;"",'Q12026'!E24&lt;&gt;""),'Q12026'!H24,"")</f>
        <v/>
      </c>
      <c r="F23" t="str">
        <f>IF(AND('Q12026'!B24&lt;&gt;"",'Q12026'!E24&lt;&gt;""),'Q12026'!F24,"")</f>
        <v/>
      </c>
      <c r="G23" t="str">
        <f>IF(AND('Q12026'!B24&lt;&gt;"",'Q12026'!E24&lt;&gt;""),'Q12026'!G24,"")</f>
        <v/>
      </c>
      <c r="H23" t="str">
        <f>IF(AND('Q12026'!B24&lt;&gt;"",'Q12026'!E24&lt;&gt;""),"Q12026","")</f>
        <v/>
      </c>
      <c r="I23" t="str">
        <f>IF(A23="Q12026",COUNTIF($A$2:$A23,"Q12026"),"")</f>
        <v/>
      </c>
      <c r="J23" t="str">
        <f>IF(A23="Q22026",COUNTIF($A$2:$A23,"Q22026"),"")</f>
        <v/>
      </c>
      <c r="K23" t="str">
        <f>IF(A23="Q32026",COUNTIF($A$2:$A23,"Q32026"),"")</f>
        <v/>
      </c>
      <c r="L23" t="str">
        <f>IF(A23="Q42026",COUNTIF($A$2:$A23,"Q42026"),"")</f>
        <v/>
      </c>
      <c r="M23" t="str">
        <f>IF(A23="Backlog",COUNTIF($A$2:$A23,"Backlog"),"")</f>
        <v/>
      </c>
    </row>
    <row r="24" spans="1:13">
      <c r="A24" t="str">
        <f>IF(AND('Q12026'!B25&lt;&gt;"",'Q12026'!E25&lt;&gt;""),'Q12026'!E25,"")</f>
        <v/>
      </c>
      <c r="B24" t="str">
        <f>IF(AND('Q12026'!B25&lt;&gt;"",'Q12026'!E25&lt;&gt;""),'Q12026'!B25,"")</f>
        <v/>
      </c>
      <c r="C24" t="str">
        <f>IF(AND('Q12026'!B25&lt;&gt;"",'Q12026'!E25&lt;&gt;""),'Q12026'!C25,"")</f>
        <v/>
      </c>
      <c r="D24" t="str">
        <f>IF(AND('Q12026'!B25&lt;&gt;"",'Q12026'!E25&lt;&gt;""),'Q12026'!D25,"")</f>
        <v/>
      </c>
      <c r="E24" t="str">
        <f>IF(AND('Q12026'!B25&lt;&gt;"",'Q12026'!E25&lt;&gt;""),'Q12026'!H25,"")</f>
        <v/>
      </c>
      <c r="F24" t="str">
        <f>IF(AND('Q12026'!B25&lt;&gt;"",'Q12026'!E25&lt;&gt;""),'Q12026'!F25,"")</f>
        <v/>
      </c>
      <c r="G24" t="str">
        <f>IF(AND('Q12026'!B25&lt;&gt;"",'Q12026'!E25&lt;&gt;""),'Q12026'!G25,"")</f>
        <v/>
      </c>
      <c r="H24" t="str">
        <f>IF(AND('Q12026'!B25&lt;&gt;"",'Q12026'!E25&lt;&gt;""),"Q12026","")</f>
        <v/>
      </c>
      <c r="I24" t="str">
        <f>IF(A24="Q12026",COUNTIF($A$2:$A24,"Q12026"),"")</f>
        <v/>
      </c>
      <c r="J24" t="str">
        <f>IF(A24="Q22026",COUNTIF($A$2:$A24,"Q22026"),"")</f>
        <v/>
      </c>
      <c r="K24" t="str">
        <f>IF(A24="Q32026",COUNTIF($A$2:$A24,"Q32026"),"")</f>
        <v/>
      </c>
      <c r="L24" t="str">
        <f>IF(A24="Q42026",COUNTIF($A$2:$A24,"Q42026"),"")</f>
        <v/>
      </c>
      <c r="M24" t="str">
        <f>IF(A24="Backlog",COUNTIF($A$2:$A24,"Backlog"),"")</f>
        <v/>
      </c>
    </row>
    <row r="25" spans="1:13">
      <c r="A25" t="str">
        <f>IF(AND('Q12026'!B26&lt;&gt;"",'Q12026'!E26&lt;&gt;""),'Q12026'!E26,"")</f>
        <v/>
      </c>
      <c r="B25" t="str">
        <f>IF(AND('Q12026'!B26&lt;&gt;"",'Q12026'!E26&lt;&gt;""),'Q12026'!B26,"")</f>
        <v/>
      </c>
      <c r="C25" t="str">
        <f>IF(AND('Q12026'!B26&lt;&gt;"",'Q12026'!E26&lt;&gt;""),'Q12026'!C26,"")</f>
        <v/>
      </c>
      <c r="D25" t="str">
        <f>IF(AND('Q12026'!B26&lt;&gt;"",'Q12026'!E26&lt;&gt;""),'Q12026'!D26,"")</f>
        <v/>
      </c>
      <c r="E25" t="str">
        <f>IF(AND('Q12026'!B26&lt;&gt;"",'Q12026'!E26&lt;&gt;""),'Q12026'!H26,"")</f>
        <v/>
      </c>
      <c r="F25" t="str">
        <f>IF(AND('Q12026'!B26&lt;&gt;"",'Q12026'!E26&lt;&gt;""),'Q12026'!F26,"")</f>
        <v/>
      </c>
      <c r="G25" t="str">
        <f>IF(AND('Q12026'!B26&lt;&gt;"",'Q12026'!E26&lt;&gt;""),'Q12026'!G26,"")</f>
        <v/>
      </c>
      <c r="H25" t="str">
        <f>IF(AND('Q12026'!B26&lt;&gt;"",'Q12026'!E26&lt;&gt;""),"Q12026","")</f>
        <v/>
      </c>
      <c r="I25" t="str">
        <f>IF(A25="Q12026",COUNTIF($A$2:$A25,"Q12026"),"")</f>
        <v/>
      </c>
      <c r="J25" t="str">
        <f>IF(A25="Q22026",COUNTIF($A$2:$A25,"Q22026"),"")</f>
        <v/>
      </c>
      <c r="K25" t="str">
        <f>IF(A25="Q32026",COUNTIF($A$2:$A25,"Q32026"),"")</f>
        <v/>
      </c>
      <c r="L25" t="str">
        <f>IF(A25="Q42026",COUNTIF($A$2:$A25,"Q42026"),"")</f>
        <v/>
      </c>
      <c r="M25" t="str">
        <f>IF(A25="Backlog",COUNTIF($A$2:$A25,"Backlog"),"")</f>
        <v/>
      </c>
    </row>
    <row r="26" spans="1:13">
      <c r="A26" t="str">
        <f>IF(AND('Q12026'!B27&lt;&gt;"",'Q12026'!E27&lt;&gt;""),'Q12026'!E27,"")</f>
        <v/>
      </c>
      <c r="B26" t="str">
        <f>IF(AND('Q12026'!B27&lt;&gt;"",'Q12026'!E27&lt;&gt;""),'Q12026'!B27,"")</f>
        <v/>
      </c>
      <c r="C26" t="str">
        <f>IF(AND('Q12026'!B27&lt;&gt;"",'Q12026'!E27&lt;&gt;""),'Q12026'!C27,"")</f>
        <v/>
      </c>
      <c r="D26" t="str">
        <f>IF(AND('Q12026'!B27&lt;&gt;"",'Q12026'!E27&lt;&gt;""),'Q12026'!D27,"")</f>
        <v/>
      </c>
      <c r="E26" t="str">
        <f>IF(AND('Q12026'!B27&lt;&gt;"",'Q12026'!E27&lt;&gt;""),'Q12026'!H27,"")</f>
        <v/>
      </c>
      <c r="F26" t="str">
        <f>IF(AND('Q12026'!B27&lt;&gt;"",'Q12026'!E27&lt;&gt;""),'Q12026'!F27,"")</f>
        <v/>
      </c>
      <c r="G26" t="str">
        <f>IF(AND('Q12026'!B27&lt;&gt;"",'Q12026'!E27&lt;&gt;""),'Q12026'!G27,"")</f>
        <v/>
      </c>
      <c r="H26" t="str">
        <f>IF(AND('Q12026'!B27&lt;&gt;"",'Q12026'!E27&lt;&gt;""),"Q12026","")</f>
        <v/>
      </c>
      <c r="I26" t="str">
        <f>IF(A26="Q12026",COUNTIF($A$2:$A26,"Q12026"),"")</f>
        <v/>
      </c>
      <c r="J26" t="str">
        <f>IF(A26="Q22026",COUNTIF($A$2:$A26,"Q22026"),"")</f>
        <v/>
      </c>
      <c r="K26" t="str">
        <f>IF(A26="Q32026",COUNTIF($A$2:$A26,"Q32026"),"")</f>
        <v/>
      </c>
      <c r="L26" t="str">
        <f>IF(A26="Q42026",COUNTIF($A$2:$A26,"Q42026"),"")</f>
        <v/>
      </c>
      <c r="M26" t="str">
        <f>IF(A26="Backlog",COUNTIF($A$2:$A26,"Backlog"),"")</f>
        <v/>
      </c>
    </row>
    <row r="27" spans="1:13">
      <c r="A27" t="str">
        <f>IF(AND('Q12026'!B28&lt;&gt;"",'Q12026'!E28&lt;&gt;""),'Q12026'!E28,"")</f>
        <v/>
      </c>
      <c r="B27" t="str">
        <f>IF(AND('Q12026'!B28&lt;&gt;"",'Q12026'!E28&lt;&gt;""),'Q12026'!B28,"")</f>
        <v/>
      </c>
      <c r="C27" t="str">
        <f>IF(AND('Q12026'!B28&lt;&gt;"",'Q12026'!E28&lt;&gt;""),'Q12026'!C28,"")</f>
        <v/>
      </c>
      <c r="D27" t="str">
        <f>IF(AND('Q12026'!B28&lt;&gt;"",'Q12026'!E28&lt;&gt;""),'Q12026'!D28,"")</f>
        <v/>
      </c>
      <c r="E27" t="str">
        <f>IF(AND('Q12026'!B28&lt;&gt;"",'Q12026'!E28&lt;&gt;""),'Q12026'!H28,"")</f>
        <v/>
      </c>
      <c r="F27" t="str">
        <f>IF(AND('Q12026'!B28&lt;&gt;"",'Q12026'!E28&lt;&gt;""),'Q12026'!F28,"")</f>
        <v/>
      </c>
      <c r="G27" t="str">
        <f>IF(AND('Q12026'!B28&lt;&gt;"",'Q12026'!E28&lt;&gt;""),'Q12026'!G28,"")</f>
        <v/>
      </c>
      <c r="H27" t="str">
        <f>IF(AND('Q12026'!B28&lt;&gt;"",'Q12026'!E28&lt;&gt;""),"Q12026","")</f>
        <v/>
      </c>
      <c r="I27" t="str">
        <f>IF(A27="Q12026",COUNTIF($A$2:$A27,"Q12026"),"")</f>
        <v/>
      </c>
      <c r="J27" t="str">
        <f>IF(A27="Q22026",COUNTIF($A$2:$A27,"Q22026"),"")</f>
        <v/>
      </c>
      <c r="K27" t="str">
        <f>IF(A27="Q32026",COUNTIF($A$2:$A27,"Q32026"),"")</f>
        <v/>
      </c>
      <c r="L27" t="str">
        <f>IF(A27="Q42026",COUNTIF($A$2:$A27,"Q42026"),"")</f>
        <v/>
      </c>
      <c r="M27" t="str">
        <f>IF(A27="Backlog",COUNTIF($A$2:$A27,"Backlog"),"")</f>
        <v/>
      </c>
    </row>
    <row r="28" spans="1:13">
      <c r="A28" t="str">
        <f>IF(AND('Q12026'!B29&lt;&gt;"",'Q12026'!E29&lt;&gt;""),'Q12026'!E29,"")</f>
        <v/>
      </c>
      <c r="B28" t="str">
        <f>IF(AND('Q12026'!B29&lt;&gt;"",'Q12026'!E29&lt;&gt;""),'Q12026'!B29,"")</f>
        <v/>
      </c>
      <c r="C28" t="str">
        <f>IF(AND('Q12026'!B29&lt;&gt;"",'Q12026'!E29&lt;&gt;""),'Q12026'!C29,"")</f>
        <v/>
      </c>
      <c r="D28" t="str">
        <f>IF(AND('Q12026'!B29&lt;&gt;"",'Q12026'!E29&lt;&gt;""),'Q12026'!D29,"")</f>
        <v/>
      </c>
      <c r="E28" t="str">
        <f>IF(AND('Q12026'!B29&lt;&gt;"",'Q12026'!E29&lt;&gt;""),'Q12026'!H29,"")</f>
        <v/>
      </c>
      <c r="F28" t="str">
        <f>IF(AND('Q12026'!B29&lt;&gt;"",'Q12026'!E29&lt;&gt;""),'Q12026'!F29,"")</f>
        <v/>
      </c>
      <c r="G28" t="str">
        <f>IF(AND('Q12026'!B29&lt;&gt;"",'Q12026'!E29&lt;&gt;""),'Q12026'!G29,"")</f>
        <v/>
      </c>
      <c r="H28" t="str">
        <f>IF(AND('Q12026'!B29&lt;&gt;"",'Q12026'!E29&lt;&gt;""),"Q12026","")</f>
        <v/>
      </c>
      <c r="I28" t="str">
        <f>IF(A28="Q12026",COUNTIF($A$2:$A28,"Q12026"),"")</f>
        <v/>
      </c>
      <c r="J28" t="str">
        <f>IF(A28="Q22026",COUNTIF($A$2:$A28,"Q22026"),"")</f>
        <v/>
      </c>
      <c r="K28" t="str">
        <f>IF(A28="Q32026",COUNTIF($A$2:$A28,"Q32026"),"")</f>
        <v/>
      </c>
      <c r="L28" t="str">
        <f>IF(A28="Q42026",COUNTIF($A$2:$A28,"Q42026"),"")</f>
        <v/>
      </c>
      <c r="M28" t="str">
        <f>IF(A28="Backlog",COUNTIF($A$2:$A28,"Backlog"),"")</f>
        <v/>
      </c>
    </row>
    <row r="29" spans="1:13">
      <c r="A29" t="str">
        <f>IF(AND('Q12026'!B30&lt;&gt;"",'Q12026'!E30&lt;&gt;""),'Q12026'!E30,"")</f>
        <v/>
      </c>
      <c r="B29" t="str">
        <f>IF(AND('Q12026'!B30&lt;&gt;"",'Q12026'!E30&lt;&gt;""),'Q12026'!B30,"")</f>
        <v/>
      </c>
      <c r="C29" t="str">
        <f>IF(AND('Q12026'!B30&lt;&gt;"",'Q12026'!E30&lt;&gt;""),'Q12026'!C30,"")</f>
        <v/>
      </c>
      <c r="D29" t="str">
        <f>IF(AND('Q12026'!B30&lt;&gt;"",'Q12026'!E30&lt;&gt;""),'Q12026'!D30,"")</f>
        <v/>
      </c>
      <c r="E29" t="str">
        <f>IF(AND('Q12026'!B30&lt;&gt;"",'Q12026'!E30&lt;&gt;""),'Q12026'!H30,"")</f>
        <v/>
      </c>
      <c r="F29" t="str">
        <f>IF(AND('Q12026'!B30&lt;&gt;"",'Q12026'!E30&lt;&gt;""),'Q12026'!F30,"")</f>
        <v/>
      </c>
      <c r="G29" t="str">
        <f>IF(AND('Q12026'!B30&lt;&gt;"",'Q12026'!E30&lt;&gt;""),'Q12026'!G30,"")</f>
        <v/>
      </c>
      <c r="H29" t="str">
        <f>IF(AND('Q12026'!B30&lt;&gt;"",'Q12026'!E30&lt;&gt;""),"Q12026","")</f>
        <v/>
      </c>
      <c r="I29" t="str">
        <f>IF(A29="Q12026",COUNTIF($A$2:$A29,"Q12026"),"")</f>
        <v/>
      </c>
      <c r="J29" t="str">
        <f>IF(A29="Q22026",COUNTIF($A$2:$A29,"Q22026"),"")</f>
        <v/>
      </c>
      <c r="K29" t="str">
        <f>IF(A29="Q32026",COUNTIF($A$2:$A29,"Q32026"),"")</f>
        <v/>
      </c>
      <c r="L29" t="str">
        <f>IF(A29="Q42026",COUNTIF($A$2:$A29,"Q42026"),"")</f>
        <v/>
      </c>
      <c r="M29" t="str">
        <f>IF(A29="Backlog",COUNTIF($A$2:$A29,"Backlog"),"")</f>
        <v/>
      </c>
    </row>
    <row r="30" spans="1:13">
      <c r="A30" t="str">
        <f>IF(AND('Q12026'!B31&lt;&gt;"",'Q12026'!E31&lt;&gt;""),'Q12026'!E31,"")</f>
        <v/>
      </c>
      <c r="B30" t="str">
        <f>IF(AND('Q12026'!B31&lt;&gt;"",'Q12026'!E31&lt;&gt;""),'Q12026'!B31,"")</f>
        <v/>
      </c>
      <c r="C30" t="str">
        <f>IF(AND('Q12026'!B31&lt;&gt;"",'Q12026'!E31&lt;&gt;""),'Q12026'!C31,"")</f>
        <v/>
      </c>
      <c r="D30" t="str">
        <f>IF(AND('Q12026'!B31&lt;&gt;"",'Q12026'!E31&lt;&gt;""),'Q12026'!D31,"")</f>
        <v/>
      </c>
      <c r="E30" t="str">
        <f>IF(AND('Q12026'!B31&lt;&gt;"",'Q12026'!E31&lt;&gt;""),'Q12026'!H31,"")</f>
        <v/>
      </c>
      <c r="F30" t="str">
        <f>IF(AND('Q12026'!B31&lt;&gt;"",'Q12026'!E31&lt;&gt;""),'Q12026'!F31,"")</f>
        <v/>
      </c>
      <c r="G30" t="str">
        <f>IF(AND('Q12026'!B31&lt;&gt;"",'Q12026'!E31&lt;&gt;""),'Q12026'!G31,"")</f>
        <v/>
      </c>
      <c r="H30" t="str">
        <f>IF(AND('Q12026'!B31&lt;&gt;"",'Q12026'!E31&lt;&gt;""),"Q12026","")</f>
        <v/>
      </c>
      <c r="I30" t="str">
        <f>IF(A30="Q12026",COUNTIF($A$2:$A30,"Q12026"),"")</f>
        <v/>
      </c>
      <c r="J30" t="str">
        <f>IF(A30="Q22026",COUNTIF($A$2:$A30,"Q22026"),"")</f>
        <v/>
      </c>
      <c r="K30" t="str">
        <f>IF(A30="Q32026",COUNTIF($A$2:$A30,"Q32026"),"")</f>
        <v/>
      </c>
      <c r="L30" t="str">
        <f>IF(A30="Q42026",COUNTIF($A$2:$A30,"Q42026"),"")</f>
        <v/>
      </c>
      <c r="M30" t="str">
        <f>IF(A30="Backlog",COUNTIF($A$2:$A30,"Backlog"),"")</f>
        <v/>
      </c>
    </row>
    <row r="31" spans="1:13">
      <c r="A31" t="str">
        <f>IF(AND('Q12026'!B32&lt;&gt;"",'Q12026'!E32&lt;&gt;""),'Q12026'!E32,"")</f>
        <v/>
      </c>
      <c r="B31" t="str">
        <f>IF(AND('Q12026'!B32&lt;&gt;"",'Q12026'!E32&lt;&gt;""),'Q12026'!B32,"")</f>
        <v/>
      </c>
      <c r="C31" t="str">
        <f>IF(AND('Q12026'!B32&lt;&gt;"",'Q12026'!E32&lt;&gt;""),'Q12026'!C32,"")</f>
        <v/>
      </c>
      <c r="D31" t="str">
        <f>IF(AND('Q12026'!B32&lt;&gt;"",'Q12026'!E32&lt;&gt;""),'Q12026'!D32,"")</f>
        <v/>
      </c>
      <c r="E31" t="str">
        <f>IF(AND('Q12026'!B32&lt;&gt;"",'Q12026'!E32&lt;&gt;""),'Q12026'!H32,"")</f>
        <v/>
      </c>
      <c r="F31" t="str">
        <f>IF(AND('Q12026'!B32&lt;&gt;"",'Q12026'!E32&lt;&gt;""),'Q12026'!F32,"")</f>
        <v/>
      </c>
      <c r="G31" t="str">
        <f>IF(AND('Q12026'!B32&lt;&gt;"",'Q12026'!E32&lt;&gt;""),'Q12026'!G32,"")</f>
        <v/>
      </c>
      <c r="H31" t="str">
        <f>IF(AND('Q12026'!B32&lt;&gt;"",'Q12026'!E32&lt;&gt;""),"Q12026","")</f>
        <v/>
      </c>
      <c r="I31" t="str">
        <f>IF(A31="Q12026",COUNTIF($A$2:$A31,"Q12026"),"")</f>
        <v/>
      </c>
      <c r="J31" t="str">
        <f>IF(A31="Q22026",COUNTIF($A$2:$A31,"Q22026"),"")</f>
        <v/>
      </c>
      <c r="K31" t="str">
        <f>IF(A31="Q32026",COUNTIF($A$2:$A31,"Q32026"),"")</f>
        <v/>
      </c>
      <c r="L31" t="str">
        <f>IF(A31="Q42026",COUNTIF($A$2:$A31,"Q42026"),"")</f>
        <v/>
      </c>
      <c r="M31" t="str">
        <f>IF(A31="Backlog",COUNTIF($A$2:$A31,"Backlog"),"")</f>
        <v/>
      </c>
    </row>
    <row r="32" spans="1:13">
      <c r="A32" t="str">
        <f>IF(AND('Q12026'!B33&lt;&gt;"",'Q12026'!E33&lt;&gt;""),'Q12026'!E33,"")</f>
        <v/>
      </c>
      <c r="B32" t="str">
        <f>IF(AND('Q12026'!B33&lt;&gt;"",'Q12026'!E33&lt;&gt;""),'Q12026'!B33,"")</f>
        <v/>
      </c>
      <c r="C32" t="str">
        <f>IF(AND('Q12026'!B33&lt;&gt;"",'Q12026'!E33&lt;&gt;""),'Q12026'!C33,"")</f>
        <v/>
      </c>
      <c r="D32" t="str">
        <f>IF(AND('Q12026'!B33&lt;&gt;"",'Q12026'!E33&lt;&gt;""),'Q12026'!D33,"")</f>
        <v/>
      </c>
      <c r="E32" t="str">
        <f>IF(AND('Q12026'!B33&lt;&gt;"",'Q12026'!E33&lt;&gt;""),'Q12026'!H33,"")</f>
        <v/>
      </c>
      <c r="F32" t="str">
        <f>IF(AND('Q12026'!B33&lt;&gt;"",'Q12026'!E33&lt;&gt;""),'Q12026'!F33,"")</f>
        <v/>
      </c>
      <c r="G32" t="str">
        <f>IF(AND('Q12026'!B33&lt;&gt;"",'Q12026'!E33&lt;&gt;""),'Q12026'!G33,"")</f>
        <v/>
      </c>
      <c r="H32" t="str">
        <f>IF(AND('Q12026'!B33&lt;&gt;"",'Q12026'!E33&lt;&gt;""),"Q12026","")</f>
        <v/>
      </c>
      <c r="I32" t="str">
        <f>IF(A32="Q12026",COUNTIF($A$2:$A32,"Q12026"),"")</f>
        <v/>
      </c>
      <c r="J32" t="str">
        <f>IF(A32="Q22026",COUNTIF($A$2:$A32,"Q22026"),"")</f>
        <v/>
      </c>
      <c r="K32" t="str">
        <f>IF(A32="Q32026",COUNTIF($A$2:$A32,"Q32026"),"")</f>
        <v/>
      </c>
      <c r="L32" t="str">
        <f>IF(A32="Q42026",COUNTIF($A$2:$A32,"Q42026"),"")</f>
        <v/>
      </c>
      <c r="M32" t="str">
        <f>IF(A32="Backlog",COUNTIF($A$2:$A32,"Backlog"),"")</f>
        <v/>
      </c>
    </row>
    <row r="33" spans="1:13">
      <c r="A33" t="str">
        <f>IF(AND('Q12026'!B34&lt;&gt;"",'Q12026'!E34&lt;&gt;""),'Q12026'!E34,"")</f>
        <v/>
      </c>
      <c r="B33" t="str">
        <f>IF(AND('Q12026'!B34&lt;&gt;"",'Q12026'!E34&lt;&gt;""),'Q12026'!B34,"")</f>
        <v/>
      </c>
      <c r="C33" t="str">
        <f>IF(AND('Q12026'!B34&lt;&gt;"",'Q12026'!E34&lt;&gt;""),'Q12026'!C34,"")</f>
        <v/>
      </c>
      <c r="D33" t="str">
        <f>IF(AND('Q12026'!B34&lt;&gt;"",'Q12026'!E34&lt;&gt;""),'Q12026'!D34,"")</f>
        <v/>
      </c>
      <c r="E33" t="str">
        <f>IF(AND('Q12026'!B34&lt;&gt;"",'Q12026'!E34&lt;&gt;""),'Q12026'!H34,"")</f>
        <v/>
      </c>
      <c r="F33" t="str">
        <f>IF(AND('Q12026'!B34&lt;&gt;"",'Q12026'!E34&lt;&gt;""),'Q12026'!F34,"")</f>
        <v/>
      </c>
      <c r="G33" t="str">
        <f>IF(AND('Q12026'!B34&lt;&gt;"",'Q12026'!E34&lt;&gt;""),'Q12026'!G34,"")</f>
        <v/>
      </c>
      <c r="H33" t="str">
        <f>IF(AND('Q12026'!B34&lt;&gt;"",'Q12026'!E34&lt;&gt;""),"Q12026","")</f>
        <v/>
      </c>
      <c r="I33" t="str">
        <f>IF(A33="Q12026",COUNTIF($A$2:$A33,"Q12026"),"")</f>
        <v/>
      </c>
      <c r="J33" t="str">
        <f>IF(A33="Q22026",COUNTIF($A$2:$A33,"Q22026"),"")</f>
        <v/>
      </c>
      <c r="K33" t="str">
        <f>IF(A33="Q32026",COUNTIF($A$2:$A33,"Q32026"),"")</f>
        <v/>
      </c>
      <c r="L33" t="str">
        <f>IF(A33="Q42026",COUNTIF($A$2:$A33,"Q42026"),"")</f>
        <v/>
      </c>
      <c r="M33" t="str">
        <f>IF(A33="Backlog",COUNTIF($A$2:$A33,"Backlog"),"")</f>
        <v/>
      </c>
    </row>
    <row r="34" spans="1:13">
      <c r="A34" t="str">
        <f>IF(AND('Q12026'!B35&lt;&gt;"",'Q12026'!E35&lt;&gt;""),'Q12026'!E35,"")</f>
        <v/>
      </c>
      <c r="B34" t="str">
        <f>IF(AND('Q12026'!B35&lt;&gt;"",'Q12026'!E35&lt;&gt;""),'Q12026'!B35,"")</f>
        <v/>
      </c>
      <c r="C34" t="str">
        <f>IF(AND('Q12026'!B35&lt;&gt;"",'Q12026'!E35&lt;&gt;""),'Q12026'!C35,"")</f>
        <v/>
      </c>
      <c r="D34" t="str">
        <f>IF(AND('Q12026'!B35&lt;&gt;"",'Q12026'!E35&lt;&gt;""),'Q12026'!D35,"")</f>
        <v/>
      </c>
      <c r="E34" t="str">
        <f>IF(AND('Q12026'!B35&lt;&gt;"",'Q12026'!E35&lt;&gt;""),'Q12026'!H35,"")</f>
        <v/>
      </c>
      <c r="F34" t="str">
        <f>IF(AND('Q12026'!B35&lt;&gt;"",'Q12026'!E35&lt;&gt;""),'Q12026'!F35,"")</f>
        <v/>
      </c>
      <c r="G34" t="str">
        <f>IF(AND('Q12026'!B35&lt;&gt;"",'Q12026'!E35&lt;&gt;""),'Q12026'!G35,"")</f>
        <v/>
      </c>
      <c r="H34" t="str">
        <f>IF(AND('Q12026'!B35&lt;&gt;"",'Q12026'!E35&lt;&gt;""),"Q12026","")</f>
        <v/>
      </c>
      <c r="I34" t="str">
        <f>IF(A34="Q12026",COUNTIF($A$2:$A34,"Q12026"),"")</f>
        <v/>
      </c>
      <c r="J34" t="str">
        <f>IF(A34="Q22026",COUNTIF($A$2:$A34,"Q22026"),"")</f>
        <v/>
      </c>
      <c r="K34" t="str">
        <f>IF(A34="Q32026",COUNTIF($A$2:$A34,"Q32026"),"")</f>
        <v/>
      </c>
      <c r="L34" t="str">
        <f>IF(A34="Q42026",COUNTIF($A$2:$A34,"Q42026"),"")</f>
        <v/>
      </c>
      <c r="M34" t="str">
        <f>IF(A34="Backlog",COUNTIF($A$2:$A34,"Backlog"),"")</f>
        <v/>
      </c>
    </row>
    <row r="35" spans="1:13">
      <c r="A35" t="str">
        <f>IF(AND('Q12026'!B36&lt;&gt;"",'Q12026'!E36&lt;&gt;""),'Q12026'!E36,"")</f>
        <v/>
      </c>
      <c r="B35" t="str">
        <f>IF(AND('Q12026'!B36&lt;&gt;"",'Q12026'!E36&lt;&gt;""),'Q12026'!B36,"")</f>
        <v/>
      </c>
      <c r="C35" t="str">
        <f>IF(AND('Q12026'!B36&lt;&gt;"",'Q12026'!E36&lt;&gt;""),'Q12026'!C36,"")</f>
        <v/>
      </c>
      <c r="D35" t="str">
        <f>IF(AND('Q12026'!B36&lt;&gt;"",'Q12026'!E36&lt;&gt;""),'Q12026'!D36,"")</f>
        <v/>
      </c>
      <c r="E35" t="str">
        <f>IF(AND('Q12026'!B36&lt;&gt;"",'Q12026'!E36&lt;&gt;""),'Q12026'!H36,"")</f>
        <v/>
      </c>
      <c r="F35" t="str">
        <f>IF(AND('Q12026'!B36&lt;&gt;"",'Q12026'!E36&lt;&gt;""),'Q12026'!F36,"")</f>
        <v/>
      </c>
      <c r="G35" t="str">
        <f>IF(AND('Q12026'!B36&lt;&gt;"",'Q12026'!E36&lt;&gt;""),'Q12026'!G36,"")</f>
        <v/>
      </c>
      <c r="H35" t="str">
        <f>IF(AND('Q12026'!B36&lt;&gt;"",'Q12026'!E36&lt;&gt;""),"Q12026","")</f>
        <v/>
      </c>
      <c r="I35" t="str">
        <f>IF(A35="Q12026",COUNTIF($A$2:$A35,"Q12026"),"")</f>
        <v/>
      </c>
      <c r="J35" t="str">
        <f>IF(A35="Q22026",COUNTIF($A$2:$A35,"Q22026"),"")</f>
        <v/>
      </c>
      <c r="K35" t="str">
        <f>IF(A35="Q32026",COUNTIF($A$2:$A35,"Q32026"),"")</f>
        <v/>
      </c>
      <c r="L35" t="str">
        <f>IF(A35="Q42026",COUNTIF($A$2:$A35,"Q42026"),"")</f>
        <v/>
      </c>
      <c r="M35" t="str">
        <f>IF(A35="Backlog",COUNTIF($A$2:$A35,"Backlog"),"")</f>
        <v/>
      </c>
    </row>
    <row r="36" spans="1:13">
      <c r="A36" t="str">
        <f>IF(AND('Q12026'!B37&lt;&gt;"",'Q12026'!E37&lt;&gt;""),'Q12026'!E37,"")</f>
        <v/>
      </c>
      <c r="B36" t="str">
        <f>IF(AND('Q12026'!B37&lt;&gt;"",'Q12026'!E37&lt;&gt;""),'Q12026'!B37,"")</f>
        <v/>
      </c>
      <c r="C36" t="str">
        <f>IF(AND('Q12026'!B37&lt;&gt;"",'Q12026'!E37&lt;&gt;""),'Q12026'!C37,"")</f>
        <v/>
      </c>
      <c r="D36" t="str">
        <f>IF(AND('Q12026'!B37&lt;&gt;"",'Q12026'!E37&lt;&gt;""),'Q12026'!D37,"")</f>
        <v/>
      </c>
      <c r="E36" t="str">
        <f>IF(AND('Q12026'!B37&lt;&gt;"",'Q12026'!E37&lt;&gt;""),'Q12026'!H37,"")</f>
        <v/>
      </c>
      <c r="F36" t="str">
        <f>IF(AND('Q12026'!B37&lt;&gt;"",'Q12026'!E37&lt;&gt;""),'Q12026'!F37,"")</f>
        <v/>
      </c>
      <c r="G36" t="str">
        <f>IF(AND('Q12026'!B37&lt;&gt;"",'Q12026'!E37&lt;&gt;""),'Q12026'!G37,"")</f>
        <v/>
      </c>
      <c r="H36" t="str">
        <f>IF(AND('Q12026'!B37&lt;&gt;"",'Q12026'!E37&lt;&gt;""),"Q12026","")</f>
        <v/>
      </c>
      <c r="I36" t="str">
        <f>IF(A36="Q12026",COUNTIF($A$2:$A36,"Q12026"),"")</f>
        <v/>
      </c>
      <c r="J36" t="str">
        <f>IF(A36="Q22026",COUNTIF($A$2:$A36,"Q22026"),"")</f>
        <v/>
      </c>
      <c r="K36" t="str">
        <f>IF(A36="Q32026",COUNTIF($A$2:$A36,"Q32026"),"")</f>
        <v/>
      </c>
      <c r="L36" t="str">
        <f>IF(A36="Q42026",COUNTIF($A$2:$A36,"Q42026"),"")</f>
        <v/>
      </c>
      <c r="M36" t="str">
        <f>IF(A36="Backlog",COUNTIF($A$2:$A36,"Backlog"),"")</f>
        <v/>
      </c>
    </row>
    <row r="37" spans="1:13">
      <c r="A37" t="str">
        <f>IF(AND('Q12026'!B38&lt;&gt;"",'Q12026'!E38&lt;&gt;""),'Q12026'!E38,"")</f>
        <v/>
      </c>
      <c r="B37" t="str">
        <f>IF(AND('Q12026'!B38&lt;&gt;"",'Q12026'!E38&lt;&gt;""),'Q12026'!B38,"")</f>
        <v/>
      </c>
      <c r="C37" t="str">
        <f>IF(AND('Q12026'!B38&lt;&gt;"",'Q12026'!E38&lt;&gt;""),'Q12026'!C38,"")</f>
        <v/>
      </c>
      <c r="D37" t="str">
        <f>IF(AND('Q12026'!B38&lt;&gt;"",'Q12026'!E38&lt;&gt;""),'Q12026'!D38,"")</f>
        <v/>
      </c>
      <c r="E37" t="str">
        <f>IF(AND('Q12026'!B38&lt;&gt;"",'Q12026'!E38&lt;&gt;""),'Q12026'!H38,"")</f>
        <v/>
      </c>
      <c r="F37" t="str">
        <f>IF(AND('Q12026'!B38&lt;&gt;"",'Q12026'!E38&lt;&gt;""),'Q12026'!F38,"")</f>
        <v/>
      </c>
      <c r="G37" t="str">
        <f>IF(AND('Q12026'!B38&lt;&gt;"",'Q12026'!E38&lt;&gt;""),'Q12026'!G38,"")</f>
        <v/>
      </c>
      <c r="H37" t="str">
        <f>IF(AND('Q12026'!B38&lt;&gt;"",'Q12026'!E38&lt;&gt;""),"Q12026","")</f>
        <v/>
      </c>
      <c r="I37" t="str">
        <f>IF(A37="Q12026",COUNTIF($A$2:$A37,"Q12026"),"")</f>
        <v/>
      </c>
      <c r="J37" t="str">
        <f>IF(A37="Q22026",COUNTIF($A$2:$A37,"Q22026"),"")</f>
        <v/>
      </c>
      <c r="K37" t="str">
        <f>IF(A37="Q32026",COUNTIF($A$2:$A37,"Q32026"),"")</f>
        <v/>
      </c>
      <c r="L37" t="str">
        <f>IF(A37="Q42026",COUNTIF($A$2:$A37,"Q42026"),"")</f>
        <v/>
      </c>
      <c r="M37" t="str">
        <f>IF(A37="Backlog",COUNTIF($A$2:$A37,"Backlog"),"")</f>
        <v/>
      </c>
    </row>
    <row r="38" spans="1:13">
      <c r="A38" t="str">
        <f>IF(AND('Q12026'!B39&lt;&gt;"",'Q12026'!E39&lt;&gt;""),'Q12026'!E39,"")</f>
        <v/>
      </c>
      <c r="B38" t="str">
        <f>IF(AND('Q12026'!B39&lt;&gt;"",'Q12026'!E39&lt;&gt;""),'Q12026'!B39,"")</f>
        <v/>
      </c>
      <c r="C38" t="str">
        <f>IF(AND('Q12026'!B39&lt;&gt;"",'Q12026'!E39&lt;&gt;""),'Q12026'!C39,"")</f>
        <v/>
      </c>
      <c r="D38" t="str">
        <f>IF(AND('Q12026'!B39&lt;&gt;"",'Q12026'!E39&lt;&gt;""),'Q12026'!D39,"")</f>
        <v/>
      </c>
      <c r="E38" t="str">
        <f>IF(AND('Q12026'!B39&lt;&gt;"",'Q12026'!E39&lt;&gt;""),'Q12026'!H39,"")</f>
        <v/>
      </c>
      <c r="F38" t="str">
        <f>IF(AND('Q12026'!B39&lt;&gt;"",'Q12026'!E39&lt;&gt;""),'Q12026'!F39,"")</f>
        <v/>
      </c>
      <c r="G38" t="str">
        <f>IF(AND('Q12026'!B39&lt;&gt;"",'Q12026'!E39&lt;&gt;""),'Q12026'!G39,"")</f>
        <v/>
      </c>
      <c r="H38" t="str">
        <f>IF(AND('Q12026'!B39&lt;&gt;"",'Q12026'!E39&lt;&gt;""),"Q12026","")</f>
        <v/>
      </c>
      <c r="I38" t="str">
        <f>IF(A38="Q12026",COUNTIF($A$2:$A38,"Q12026"),"")</f>
        <v/>
      </c>
      <c r="J38" t="str">
        <f>IF(A38="Q22026",COUNTIF($A$2:$A38,"Q22026"),"")</f>
        <v/>
      </c>
      <c r="K38" t="str">
        <f>IF(A38="Q32026",COUNTIF($A$2:$A38,"Q32026"),"")</f>
        <v/>
      </c>
      <c r="L38" t="str">
        <f>IF(A38="Q42026",COUNTIF($A$2:$A38,"Q42026"),"")</f>
        <v/>
      </c>
      <c r="M38" t="str">
        <f>IF(A38="Backlog",COUNTIF($A$2:$A38,"Backlog"),"")</f>
        <v/>
      </c>
    </row>
    <row r="39" spans="1:13">
      <c r="A39" t="str">
        <f>IF(AND('Q12026'!B40&lt;&gt;"",'Q12026'!E40&lt;&gt;""),'Q12026'!E40,"")</f>
        <v/>
      </c>
      <c r="B39" t="str">
        <f>IF(AND('Q12026'!B40&lt;&gt;"",'Q12026'!E40&lt;&gt;""),'Q12026'!B40,"")</f>
        <v/>
      </c>
      <c r="C39" t="str">
        <f>IF(AND('Q12026'!B40&lt;&gt;"",'Q12026'!E40&lt;&gt;""),'Q12026'!C40,"")</f>
        <v/>
      </c>
      <c r="D39" t="str">
        <f>IF(AND('Q12026'!B40&lt;&gt;"",'Q12026'!E40&lt;&gt;""),'Q12026'!D40,"")</f>
        <v/>
      </c>
      <c r="E39" t="str">
        <f>IF(AND('Q12026'!B40&lt;&gt;"",'Q12026'!E40&lt;&gt;""),'Q12026'!H40,"")</f>
        <v/>
      </c>
      <c r="F39" t="str">
        <f>IF(AND('Q12026'!B40&lt;&gt;"",'Q12026'!E40&lt;&gt;""),'Q12026'!F40,"")</f>
        <v/>
      </c>
      <c r="G39" t="str">
        <f>IF(AND('Q12026'!B40&lt;&gt;"",'Q12026'!E40&lt;&gt;""),'Q12026'!G40,"")</f>
        <v/>
      </c>
      <c r="H39" t="str">
        <f>IF(AND('Q12026'!B40&lt;&gt;"",'Q12026'!E40&lt;&gt;""),"Q12026","")</f>
        <v/>
      </c>
      <c r="I39" t="str">
        <f>IF(A39="Q12026",COUNTIF($A$2:$A39,"Q12026"),"")</f>
        <v/>
      </c>
      <c r="J39" t="str">
        <f>IF(A39="Q22026",COUNTIF($A$2:$A39,"Q22026"),"")</f>
        <v/>
      </c>
      <c r="K39" t="str">
        <f>IF(A39="Q32026",COUNTIF($A$2:$A39,"Q32026"),"")</f>
        <v/>
      </c>
      <c r="L39" t="str">
        <f>IF(A39="Q42026",COUNTIF($A$2:$A39,"Q42026"),"")</f>
        <v/>
      </c>
      <c r="M39" t="str">
        <f>IF(A39="Backlog",COUNTIF($A$2:$A39,"Backlog"),"")</f>
        <v/>
      </c>
    </row>
    <row r="40" spans="1:13">
      <c r="A40" t="str">
        <f>IF(AND('Q12026'!B41&lt;&gt;"",'Q12026'!E41&lt;&gt;""),'Q12026'!E41,"")</f>
        <v/>
      </c>
      <c r="B40" t="str">
        <f>IF(AND('Q12026'!B41&lt;&gt;"",'Q12026'!E41&lt;&gt;""),'Q12026'!B41,"")</f>
        <v/>
      </c>
      <c r="C40" t="str">
        <f>IF(AND('Q12026'!B41&lt;&gt;"",'Q12026'!E41&lt;&gt;""),'Q12026'!C41,"")</f>
        <v/>
      </c>
      <c r="D40" t="str">
        <f>IF(AND('Q12026'!B41&lt;&gt;"",'Q12026'!E41&lt;&gt;""),'Q12026'!D41,"")</f>
        <v/>
      </c>
      <c r="E40" t="str">
        <f>IF(AND('Q12026'!B41&lt;&gt;"",'Q12026'!E41&lt;&gt;""),'Q12026'!H41,"")</f>
        <v/>
      </c>
      <c r="F40" t="str">
        <f>IF(AND('Q12026'!B41&lt;&gt;"",'Q12026'!E41&lt;&gt;""),'Q12026'!F41,"")</f>
        <v/>
      </c>
      <c r="G40" t="str">
        <f>IF(AND('Q12026'!B41&lt;&gt;"",'Q12026'!E41&lt;&gt;""),'Q12026'!G41,"")</f>
        <v/>
      </c>
      <c r="H40" t="str">
        <f>IF(AND('Q12026'!B41&lt;&gt;"",'Q12026'!E41&lt;&gt;""),"Q12026","")</f>
        <v/>
      </c>
      <c r="I40" t="str">
        <f>IF(A40="Q12026",COUNTIF($A$2:$A40,"Q12026"),"")</f>
        <v/>
      </c>
      <c r="J40" t="str">
        <f>IF(A40="Q22026",COUNTIF($A$2:$A40,"Q22026"),"")</f>
        <v/>
      </c>
      <c r="K40" t="str">
        <f>IF(A40="Q32026",COUNTIF($A$2:$A40,"Q32026"),"")</f>
        <v/>
      </c>
      <c r="L40" t="str">
        <f>IF(A40="Q42026",COUNTIF($A$2:$A40,"Q42026"),"")</f>
        <v/>
      </c>
      <c r="M40" t="str">
        <f>IF(A40="Backlog",COUNTIF($A$2:$A40,"Backlog"),"")</f>
        <v/>
      </c>
    </row>
    <row r="41" spans="1:13">
      <c r="A41" t="str">
        <f>IF(AND('Q12026'!B42&lt;&gt;"",'Q12026'!E42&lt;&gt;""),'Q12026'!E42,"")</f>
        <v/>
      </c>
      <c r="B41" t="str">
        <f>IF(AND('Q12026'!B42&lt;&gt;"",'Q12026'!E42&lt;&gt;""),'Q12026'!B42,"")</f>
        <v/>
      </c>
      <c r="C41" t="str">
        <f>IF(AND('Q12026'!B42&lt;&gt;"",'Q12026'!E42&lt;&gt;""),'Q12026'!C42,"")</f>
        <v/>
      </c>
      <c r="D41" t="str">
        <f>IF(AND('Q12026'!B42&lt;&gt;"",'Q12026'!E42&lt;&gt;""),'Q12026'!D42,"")</f>
        <v/>
      </c>
      <c r="E41" t="str">
        <f>IF(AND('Q12026'!B42&lt;&gt;"",'Q12026'!E42&lt;&gt;""),'Q12026'!H42,"")</f>
        <v/>
      </c>
      <c r="F41" t="str">
        <f>IF(AND('Q12026'!B42&lt;&gt;"",'Q12026'!E42&lt;&gt;""),'Q12026'!F42,"")</f>
        <v/>
      </c>
      <c r="G41" t="str">
        <f>IF(AND('Q12026'!B42&lt;&gt;"",'Q12026'!E42&lt;&gt;""),'Q12026'!G42,"")</f>
        <v/>
      </c>
      <c r="H41" t="str">
        <f>IF(AND('Q12026'!B42&lt;&gt;"",'Q12026'!E42&lt;&gt;""),"Q12026","")</f>
        <v/>
      </c>
      <c r="I41" t="str">
        <f>IF(A41="Q12026",COUNTIF($A$2:$A41,"Q12026"),"")</f>
        <v/>
      </c>
      <c r="J41" t="str">
        <f>IF(A41="Q22026",COUNTIF($A$2:$A41,"Q22026"),"")</f>
        <v/>
      </c>
      <c r="K41" t="str">
        <f>IF(A41="Q32026",COUNTIF($A$2:$A41,"Q32026"),"")</f>
        <v/>
      </c>
      <c r="L41" t="str">
        <f>IF(A41="Q42026",COUNTIF($A$2:$A41,"Q42026"),"")</f>
        <v/>
      </c>
      <c r="M41" t="str">
        <f>IF(A41="Backlog",COUNTIF($A$2:$A41,"Backlog"),"")</f>
        <v/>
      </c>
    </row>
    <row r="42" spans="1:13">
      <c r="A42" t="str">
        <f>IF(AND('Q12026'!B43&lt;&gt;"",'Q12026'!E43&lt;&gt;""),'Q12026'!E43,"")</f>
        <v/>
      </c>
      <c r="B42" t="str">
        <f>IF(AND('Q12026'!B43&lt;&gt;"",'Q12026'!E43&lt;&gt;""),'Q12026'!B43,"")</f>
        <v/>
      </c>
      <c r="C42" t="str">
        <f>IF(AND('Q12026'!B43&lt;&gt;"",'Q12026'!E43&lt;&gt;""),'Q12026'!C43,"")</f>
        <v/>
      </c>
      <c r="D42" t="str">
        <f>IF(AND('Q12026'!B43&lt;&gt;"",'Q12026'!E43&lt;&gt;""),'Q12026'!D43,"")</f>
        <v/>
      </c>
      <c r="E42" t="str">
        <f>IF(AND('Q12026'!B43&lt;&gt;"",'Q12026'!E43&lt;&gt;""),'Q12026'!H43,"")</f>
        <v/>
      </c>
      <c r="F42" t="str">
        <f>IF(AND('Q12026'!B43&lt;&gt;"",'Q12026'!E43&lt;&gt;""),'Q12026'!F43,"")</f>
        <v/>
      </c>
      <c r="G42" t="str">
        <f>IF(AND('Q12026'!B43&lt;&gt;"",'Q12026'!E43&lt;&gt;""),'Q12026'!G43,"")</f>
        <v/>
      </c>
      <c r="H42" t="str">
        <f>IF(AND('Q12026'!B43&lt;&gt;"",'Q12026'!E43&lt;&gt;""),"Q12026","")</f>
        <v/>
      </c>
      <c r="I42" t="str">
        <f>IF(A42="Q12026",COUNTIF($A$2:$A42,"Q12026"),"")</f>
        <v/>
      </c>
      <c r="J42" t="str">
        <f>IF(A42="Q22026",COUNTIF($A$2:$A42,"Q22026"),"")</f>
        <v/>
      </c>
      <c r="K42" t="str">
        <f>IF(A42="Q32026",COUNTIF($A$2:$A42,"Q32026"),"")</f>
        <v/>
      </c>
      <c r="L42" t="str">
        <f>IF(A42="Q42026",COUNTIF($A$2:$A42,"Q42026"),"")</f>
        <v/>
      </c>
      <c r="M42" t="str">
        <f>IF(A42="Backlog",COUNTIF($A$2:$A42,"Backlog"),"")</f>
        <v/>
      </c>
    </row>
    <row r="43" spans="1:13">
      <c r="A43" t="str">
        <f>IF(AND('Q12026'!B44&lt;&gt;"",'Q12026'!E44&lt;&gt;""),'Q12026'!E44,"")</f>
        <v/>
      </c>
      <c r="B43" t="str">
        <f>IF(AND('Q12026'!B44&lt;&gt;"",'Q12026'!E44&lt;&gt;""),'Q12026'!B44,"")</f>
        <v/>
      </c>
      <c r="C43" t="str">
        <f>IF(AND('Q12026'!B44&lt;&gt;"",'Q12026'!E44&lt;&gt;""),'Q12026'!C44,"")</f>
        <v/>
      </c>
      <c r="D43" t="str">
        <f>IF(AND('Q12026'!B44&lt;&gt;"",'Q12026'!E44&lt;&gt;""),'Q12026'!D44,"")</f>
        <v/>
      </c>
      <c r="E43" t="str">
        <f>IF(AND('Q12026'!B44&lt;&gt;"",'Q12026'!E44&lt;&gt;""),'Q12026'!H44,"")</f>
        <v/>
      </c>
      <c r="F43" t="str">
        <f>IF(AND('Q12026'!B44&lt;&gt;"",'Q12026'!E44&lt;&gt;""),'Q12026'!F44,"")</f>
        <v/>
      </c>
      <c r="G43" t="str">
        <f>IF(AND('Q12026'!B44&lt;&gt;"",'Q12026'!E44&lt;&gt;""),'Q12026'!G44,"")</f>
        <v/>
      </c>
      <c r="H43" t="str">
        <f>IF(AND('Q12026'!B44&lt;&gt;"",'Q12026'!E44&lt;&gt;""),"Q12026","")</f>
        <v/>
      </c>
      <c r="I43" t="str">
        <f>IF(A43="Q12026",COUNTIF($A$2:$A43,"Q12026"),"")</f>
        <v/>
      </c>
      <c r="J43" t="str">
        <f>IF(A43="Q22026",COUNTIF($A$2:$A43,"Q22026"),"")</f>
        <v/>
      </c>
      <c r="K43" t="str">
        <f>IF(A43="Q32026",COUNTIF($A$2:$A43,"Q32026"),"")</f>
        <v/>
      </c>
      <c r="L43" t="str">
        <f>IF(A43="Q42026",COUNTIF($A$2:$A43,"Q42026"),"")</f>
        <v/>
      </c>
      <c r="M43" t="str">
        <f>IF(A43="Backlog",COUNTIF($A$2:$A43,"Backlog"),"")</f>
        <v/>
      </c>
    </row>
    <row r="44" spans="1:13">
      <c r="A44" t="str">
        <f>IF(AND('Q12026'!B45&lt;&gt;"",'Q12026'!E45&lt;&gt;""),'Q12026'!E45,"")</f>
        <v/>
      </c>
      <c r="B44" t="str">
        <f>IF(AND('Q12026'!B45&lt;&gt;"",'Q12026'!E45&lt;&gt;""),'Q12026'!B45,"")</f>
        <v/>
      </c>
      <c r="C44" t="str">
        <f>IF(AND('Q12026'!B45&lt;&gt;"",'Q12026'!E45&lt;&gt;""),'Q12026'!C45,"")</f>
        <v/>
      </c>
      <c r="D44" t="str">
        <f>IF(AND('Q12026'!B45&lt;&gt;"",'Q12026'!E45&lt;&gt;""),'Q12026'!D45,"")</f>
        <v/>
      </c>
      <c r="E44" t="str">
        <f>IF(AND('Q12026'!B45&lt;&gt;"",'Q12026'!E45&lt;&gt;""),'Q12026'!H45,"")</f>
        <v/>
      </c>
      <c r="F44" t="str">
        <f>IF(AND('Q12026'!B45&lt;&gt;"",'Q12026'!E45&lt;&gt;""),'Q12026'!F45,"")</f>
        <v/>
      </c>
      <c r="G44" t="str">
        <f>IF(AND('Q12026'!B45&lt;&gt;"",'Q12026'!E45&lt;&gt;""),'Q12026'!G45,"")</f>
        <v/>
      </c>
      <c r="H44" t="str">
        <f>IF(AND('Q12026'!B45&lt;&gt;"",'Q12026'!E45&lt;&gt;""),"Q12026","")</f>
        <v/>
      </c>
      <c r="I44" t="str">
        <f>IF(A44="Q12026",COUNTIF($A$2:$A44,"Q12026"),"")</f>
        <v/>
      </c>
      <c r="J44" t="str">
        <f>IF(A44="Q22026",COUNTIF($A$2:$A44,"Q22026"),"")</f>
        <v/>
      </c>
      <c r="K44" t="str">
        <f>IF(A44="Q32026",COUNTIF($A$2:$A44,"Q32026"),"")</f>
        <v/>
      </c>
      <c r="L44" t="str">
        <f>IF(A44="Q42026",COUNTIF($A$2:$A44,"Q42026"),"")</f>
        <v/>
      </c>
      <c r="M44" t="str">
        <f>IF(A44="Backlog",COUNTIF($A$2:$A44,"Backlog"),"")</f>
        <v/>
      </c>
    </row>
    <row r="45" spans="1:13">
      <c r="A45" t="str">
        <f>IF(AND('Q12026'!B46&lt;&gt;"",'Q12026'!E46&lt;&gt;""),'Q12026'!E46,"")</f>
        <v/>
      </c>
      <c r="B45" t="str">
        <f>IF(AND('Q12026'!B46&lt;&gt;"",'Q12026'!E46&lt;&gt;""),'Q12026'!B46,"")</f>
        <v/>
      </c>
      <c r="C45" t="str">
        <f>IF(AND('Q12026'!B46&lt;&gt;"",'Q12026'!E46&lt;&gt;""),'Q12026'!C46,"")</f>
        <v/>
      </c>
      <c r="D45" t="str">
        <f>IF(AND('Q12026'!B46&lt;&gt;"",'Q12026'!E46&lt;&gt;""),'Q12026'!D46,"")</f>
        <v/>
      </c>
      <c r="E45" t="str">
        <f>IF(AND('Q12026'!B46&lt;&gt;"",'Q12026'!E46&lt;&gt;""),'Q12026'!H46,"")</f>
        <v/>
      </c>
      <c r="F45" t="str">
        <f>IF(AND('Q12026'!B46&lt;&gt;"",'Q12026'!E46&lt;&gt;""),'Q12026'!F46,"")</f>
        <v/>
      </c>
      <c r="G45" t="str">
        <f>IF(AND('Q12026'!B46&lt;&gt;"",'Q12026'!E46&lt;&gt;""),'Q12026'!G46,"")</f>
        <v/>
      </c>
      <c r="H45" t="str">
        <f>IF(AND('Q12026'!B46&lt;&gt;"",'Q12026'!E46&lt;&gt;""),"Q12026","")</f>
        <v/>
      </c>
      <c r="I45" t="str">
        <f>IF(A45="Q12026",COUNTIF($A$2:$A45,"Q12026"),"")</f>
        <v/>
      </c>
      <c r="J45" t="str">
        <f>IF(A45="Q22026",COUNTIF($A$2:$A45,"Q22026"),"")</f>
        <v/>
      </c>
      <c r="K45" t="str">
        <f>IF(A45="Q32026",COUNTIF($A$2:$A45,"Q32026"),"")</f>
        <v/>
      </c>
      <c r="L45" t="str">
        <f>IF(A45="Q42026",COUNTIF($A$2:$A45,"Q42026"),"")</f>
        <v/>
      </c>
      <c r="M45" t="str">
        <f>IF(A45="Backlog",COUNTIF($A$2:$A45,"Backlog"),"")</f>
        <v/>
      </c>
    </row>
    <row r="46" spans="1:13">
      <c r="A46" t="str">
        <f>IF(AND('Q12026'!B47&lt;&gt;"",'Q12026'!E47&lt;&gt;""),'Q12026'!E47,"")</f>
        <v/>
      </c>
      <c r="B46" t="str">
        <f>IF(AND('Q12026'!B47&lt;&gt;"",'Q12026'!E47&lt;&gt;""),'Q12026'!B47,"")</f>
        <v/>
      </c>
      <c r="C46" t="str">
        <f>IF(AND('Q12026'!B47&lt;&gt;"",'Q12026'!E47&lt;&gt;""),'Q12026'!C47,"")</f>
        <v/>
      </c>
      <c r="D46" t="str">
        <f>IF(AND('Q12026'!B47&lt;&gt;"",'Q12026'!E47&lt;&gt;""),'Q12026'!D47,"")</f>
        <v/>
      </c>
      <c r="E46" t="str">
        <f>IF(AND('Q12026'!B47&lt;&gt;"",'Q12026'!E47&lt;&gt;""),'Q12026'!H47,"")</f>
        <v/>
      </c>
      <c r="F46" t="str">
        <f>IF(AND('Q12026'!B47&lt;&gt;"",'Q12026'!E47&lt;&gt;""),'Q12026'!F47,"")</f>
        <v/>
      </c>
      <c r="G46" t="str">
        <f>IF(AND('Q12026'!B47&lt;&gt;"",'Q12026'!E47&lt;&gt;""),'Q12026'!G47,"")</f>
        <v/>
      </c>
      <c r="H46" t="str">
        <f>IF(AND('Q12026'!B47&lt;&gt;"",'Q12026'!E47&lt;&gt;""),"Q12026","")</f>
        <v/>
      </c>
      <c r="I46" t="str">
        <f>IF(A46="Q12026",COUNTIF($A$2:$A46,"Q12026"),"")</f>
        <v/>
      </c>
      <c r="J46" t="str">
        <f>IF(A46="Q22026",COUNTIF($A$2:$A46,"Q22026"),"")</f>
        <v/>
      </c>
      <c r="K46" t="str">
        <f>IF(A46="Q32026",COUNTIF($A$2:$A46,"Q32026"),"")</f>
        <v/>
      </c>
      <c r="L46" t="str">
        <f>IF(A46="Q42026",COUNTIF($A$2:$A46,"Q42026"),"")</f>
        <v/>
      </c>
      <c r="M46" t="str">
        <f>IF(A46="Backlog",COUNTIF($A$2:$A46,"Backlog"),"")</f>
        <v/>
      </c>
    </row>
    <row r="47" spans="1:13">
      <c r="A47" t="str">
        <f>IF(AND('Q12026'!B48&lt;&gt;"",'Q12026'!E48&lt;&gt;""),'Q12026'!E48,"")</f>
        <v/>
      </c>
      <c r="B47" t="str">
        <f>IF(AND('Q12026'!B48&lt;&gt;"",'Q12026'!E48&lt;&gt;""),'Q12026'!B48,"")</f>
        <v/>
      </c>
      <c r="C47" t="str">
        <f>IF(AND('Q12026'!B48&lt;&gt;"",'Q12026'!E48&lt;&gt;""),'Q12026'!C48,"")</f>
        <v/>
      </c>
      <c r="D47" t="str">
        <f>IF(AND('Q12026'!B48&lt;&gt;"",'Q12026'!E48&lt;&gt;""),'Q12026'!D48,"")</f>
        <v/>
      </c>
      <c r="E47" t="str">
        <f>IF(AND('Q12026'!B48&lt;&gt;"",'Q12026'!E48&lt;&gt;""),'Q12026'!H48,"")</f>
        <v/>
      </c>
      <c r="F47" t="str">
        <f>IF(AND('Q12026'!B48&lt;&gt;"",'Q12026'!E48&lt;&gt;""),'Q12026'!F48,"")</f>
        <v/>
      </c>
      <c r="G47" t="str">
        <f>IF(AND('Q12026'!B48&lt;&gt;"",'Q12026'!E48&lt;&gt;""),'Q12026'!G48,"")</f>
        <v/>
      </c>
      <c r="H47" t="str">
        <f>IF(AND('Q12026'!B48&lt;&gt;"",'Q12026'!E48&lt;&gt;""),"Q12026","")</f>
        <v/>
      </c>
      <c r="I47" t="str">
        <f>IF(A47="Q12026",COUNTIF($A$2:$A47,"Q12026"),"")</f>
        <v/>
      </c>
      <c r="J47" t="str">
        <f>IF(A47="Q22026",COUNTIF($A$2:$A47,"Q22026"),"")</f>
        <v/>
      </c>
      <c r="K47" t="str">
        <f>IF(A47="Q32026",COUNTIF($A$2:$A47,"Q32026"),"")</f>
        <v/>
      </c>
      <c r="L47" t="str">
        <f>IF(A47="Q42026",COUNTIF($A$2:$A47,"Q42026"),"")</f>
        <v/>
      </c>
      <c r="M47" t="str">
        <f>IF(A47="Backlog",COUNTIF($A$2:$A47,"Backlog"),"")</f>
        <v/>
      </c>
    </row>
    <row r="48" spans="1:13">
      <c r="A48" t="str">
        <f>IF(AND('Q12026'!B49&lt;&gt;"",'Q12026'!E49&lt;&gt;""),'Q12026'!E49,"")</f>
        <v/>
      </c>
      <c r="B48" t="str">
        <f>IF(AND('Q12026'!B49&lt;&gt;"",'Q12026'!E49&lt;&gt;""),'Q12026'!B49,"")</f>
        <v/>
      </c>
      <c r="C48" t="str">
        <f>IF(AND('Q12026'!B49&lt;&gt;"",'Q12026'!E49&lt;&gt;""),'Q12026'!C49,"")</f>
        <v/>
      </c>
      <c r="D48" t="str">
        <f>IF(AND('Q12026'!B49&lt;&gt;"",'Q12026'!E49&lt;&gt;""),'Q12026'!D49,"")</f>
        <v/>
      </c>
      <c r="E48" t="str">
        <f>IF(AND('Q12026'!B49&lt;&gt;"",'Q12026'!E49&lt;&gt;""),'Q12026'!H49,"")</f>
        <v/>
      </c>
      <c r="F48" t="str">
        <f>IF(AND('Q12026'!B49&lt;&gt;"",'Q12026'!E49&lt;&gt;""),'Q12026'!F49,"")</f>
        <v/>
      </c>
      <c r="G48" t="str">
        <f>IF(AND('Q12026'!B49&lt;&gt;"",'Q12026'!E49&lt;&gt;""),'Q12026'!G49,"")</f>
        <v/>
      </c>
      <c r="H48" t="str">
        <f>IF(AND('Q12026'!B49&lt;&gt;"",'Q12026'!E49&lt;&gt;""),"Q12026","")</f>
        <v/>
      </c>
      <c r="I48" t="str">
        <f>IF(A48="Q12026",COUNTIF($A$2:$A48,"Q12026"),"")</f>
        <v/>
      </c>
      <c r="J48" t="str">
        <f>IF(A48="Q22026",COUNTIF($A$2:$A48,"Q22026"),"")</f>
        <v/>
      </c>
      <c r="K48" t="str">
        <f>IF(A48="Q32026",COUNTIF($A$2:$A48,"Q32026"),"")</f>
        <v/>
      </c>
      <c r="L48" t="str">
        <f>IF(A48="Q42026",COUNTIF($A$2:$A48,"Q42026"),"")</f>
        <v/>
      </c>
      <c r="M48" t="str">
        <f>IF(A48="Backlog",COUNTIF($A$2:$A48,"Backlog"),"")</f>
        <v/>
      </c>
    </row>
    <row r="49" spans="1:13">
      <c r="A49" t="str">
        <f>IF(AND('Q12026'!B50&lt;&gt;"",'Q12026'!E50&lt;&gt;""),'Q12026'!E50,"")</f>
        <v/>
      </c>
      <c r="B49" t="str">
        <f>IF(AND('Q12026'!B50&lt;&gt;"",'Q12026'!E50&lt;&gt;""),'Q12026'!B50,"")</f>
        <v/>
      </c>
      <c r="C49" t="str">
        <f>IF(AND('Q12026'!B50&lt;&gt;"",'Q12026'!E50&lt;&gt;""),'Q12026'!C50,"")</f>
        <v/>
      </c>
      <c r="D49" t="str">
        <f>IF(AND('Q12026'!B50&lt;&gt;"",'Q12026'!E50&lt;&gt;""),'Q12026'!D50,"")</f>
        <v/>
      </c>
      <c r="E49" t="str">
        <f>IF(AND('Q12026'!B50&lt;&gt;"",'Q12026'!E50&lt;&gt;""),'Q12026'!H50,"")</f>
        <v/>
      </c>
      <c r="F49" t="str">
        <f>IF(AND('Q12026'!B50&lt;&gt;"",'Q12026'!E50&lt;&gt;""),'Q12026'!F50,"")</f>
        <v/>
      </c>
      <c r="G49" t="str">
        <f>IF(AND('Q12026'!B50&lt;&gt;"",'Q12026'!E50&lt;&gt;""),'Q12026'!G50,"")</f>
        <v/>
      </c>
      <c r="H49" t="str">
        <f>IF(AND('Q12026'!B50&lt;&gt;"",'Q12026'!E50&lt;&gt;""),"Q12026","")</f>
        <v/>
      </c>
      <c r="I49" t="str">
        <f>IF(A49="Q12026",COUNTIF($A$2:$A49,"Q12026"),"")</f>
        <v/>
      </c>
      <c r="J49" t="str">
        <f>IF(A49="Q22026",COUNTIF($A$2:$A49,"Q22026"),"")</f>
        <v/>
      </c>
      <c r="K49" t="str">
        <f>IF(A49="Q32026",COUNTIF($A$2:$A49,"Q32026"),"")</f>
        <v/>
      </c>
      <c r="L49" t="str">
        <f>IF(A49="Q42026",COUNTIF($A$2:$A49,"Q42026"),"")</f>
        <v/>
      </c>
      <c r="M49" t="str">
        <f>IF(A49="Backlog",COUNTIF($A$2:$A49,"Backlog"),"")</f>
        <v/>
      </c>
    </row>
    <row r="50" spans="1:13">
      <c r="A50" t="str">
        <f>IF(AND('Q12026'!B51&lt;&gt;"",'Q12026'!E51&lt;&gt;""),'Q12026'!E51,"")</f>
        <v/>
      </c>
      <c r="B50" t="str">
        <f>IF(AND('Q12026'!B51&lt;&gt;"",'Q12026'!E51&lt;&gt;""),'Q12026'!B51,"")</f>
        <v/>
      </c>
      <c r="C50" t="str">
        <f>IF(AND('Q12026'!B51&lt;&gt;"",'Q12026'!E51&lt;&gt;""),'Q12026'!C51,"")</f>
        <v/>
      </c>
      <c r="D50" t="str">
        <f>IF(AND('Q12026'!B51&lt;&gt;"",'Q12026'!E51&lt;&gt;""),'Q12026'!D51,"")</f>
        <v/>
      </c>
      <c r="E50" t="str">
        <f>IF(AND('Q12026'!B51&lt;&gt;"",'Q12026'!E51&lt;&gt;""),'Q12026'!H51,"")</f>
        <v/>
      </c>
      <c r="F50" t="str">
        <f>IF(AND('Q12026'!B51&lt;&gt;"",'Q12026'!E51&lt;&gt;""),'Q12026'!F51,"")</f>
        <v/>
      </c>
      <c r="G50" t="str">
        <f>IF(AND('Q12026'!B51&lt;&gt;"",'Q12026'!E51&lt;&gt;""),'Q12026'!G51,"")</f>
        <v/>
      </c>
      <c r="H50" t="str">
        <f>IF(AND('Q12026'!B51&lt;&gt;"",'Q12026'!E51&lt;&gt;""),"Q12026","")</f>
        <v/>
      </c>
      <c r="I50" t="str">
        <f>IF(A50="Q12026",COUNTIF($A$2:$A50,"Q12026"),"")</f>
        <v/>
      </c>
      <c r="J50" t="str">
        <f>IF(A50="Q22026",COUNTIF($A$2:$A50,"Q22026"),"")</f>
        <v/>
      </c>
      <c r="K50" t="str">
        <f>IF(A50="Q32026",COUNTIF($A$2:$A50,"Q32026"),"")</f>
        <v/>
      </c>
      <c r="L50" t="str">
        <f>IF(A50="Q42026",COUNTIF($A$2:$A50,"Q42026"),"")</f>
        <v/>
      </c>
      <c r="M50" t="str">
        <f>IF(A50="Backlog",COUNTIF($A$2:$A50,"Backlog"),"")</f>
        <v/>
      </c>
    </row>
    <row r="51" spans="1:13">
      <c r="A51" t="str">
        <f>IF(AND('Q12026'!B52&lt;&gt;"",'Q12026'!E52&lt;&gt;""),'Q12026'!E52,"")</f>
        <v/>
      </c>
      <c r="B51" t="str">
        <f>IF(AND('Q12026'!B52&lt;&gt;"",'Q12026'!E52&lt;&gt;""),'Q12026'!B52,"")</f>
        <v/>
      </c>
      <c r="C51" t="str">
        <f>IF(AND('Q12026'!B52&lt;&gt;"",'Q12026'!E52&lt;&gt;""),'Q12026'!C52,"")</f>
        <v/>
      </c>
      <c r="D51" t="str">
        <f>IF(AND('Q12026'!B52&lt;&gt;"",'Q12026'!E52&lt;&gt;""),'Q12026'!D52,"")</f>
        <v/>
      </c>
      <c r="E51" t="str">
        <f>IF(AND('Q12026'!B52&lt;&gt;"",'Q12026'!E52&lt;&gt;""),'Q12026'!H52,"")</f>
        <v/>
      </c>
      <c r="F51" t="str">
        <f>IF(AND('Q12026'!B52&lt;&gt;"",'Q12026'!E52&lt;&gt;""),'Q12026'!F52,"")</f>
        <v/>
      </c>
      <c r="G51" t="str">
        <f>IF(AND('Q12026'!B52&lt;&gt;"",'Q12026'!E52&lt;&gt;""),'Q12026'!G52,"")</f>
        <v/>
      </c>
      <c r="H51" t="str">
        <f>IF(AND('Q12026'!B52&lt;&gt;"",'Q12026'!E52&lt;&gt;""),"Q12026","")</f>
        <v/>
      </c>
      <c r="I51" t="str">
        <f>IF(A51="Q12026",COUNTIF($A$2:$A51,"Q12026"),"")</f>
        <v/>
      </c>
      <c r="J51" t="str">
        <f>IF(A51="Q22026",COUNTIF($A$2:$A51,"Q22026"),"")</f>
        <v/>
      </c>
      <c r="K51" t="str">
        <f>IF(A51="Q32026",COUNTIF($A$2:$A51,"Q32026"),"")</f>
        <v/>
      </c>
      <c r="L51" t="str">
        <f>IF(A51="Q42026",COUNTIF($A$2:$A51,"Q42026"),"")</f>
        <v/>
      </c>
      <c r="M51" t="str">
        <f>IF(A51="Backlog",COUNTIF($A$2:$A51,"Backlog"),"")</f>
        <v/>
      </c>
    </row>
    <row r="52" spans="1:13">
      <c r="A52" t="str">
        <f>IF(AND('Q12026'!B53&lt;&gt;"",'Q12026'!E53&lt;&gt;""),'Q12026'!E53,"")</f>
        <v/>
      </c>
      <c r="B52" t="str">
        <f>IF(AND('Q12026'!B53&lt;&gt;"",'Q12026'!E53&lt;&gt;""),'Q12026'!B53,"")</f>
        <v/>
      </c>
      <c r="C52" t="str">
        <f>IF(AND('Q12026'!B53&lt;&gt;"",'Q12026'!E53&lt;&gt;""),'Q12026'!C53,"")</f>
        <v/>
      </c>
      <c r="D52" t="str">
        <f>IF(AND('Q12026'!B53&lt;&gt;"",'Q12026'!E53&lt;&gt;""),'Q12026'!D53,"")</f>
        <v/>
      </c>
      <c r="E52" t="str">
        <f>IF(AND('Q12026'!B53&lt;&gt;"",'Q12026'!E53&lt;&gt;""),'Q12026'!H53,"")</f>
        <v/>
      </c>
      <c r="F52" t="str">
        <f>IF(AND('Q12026'!B53&lt;&gt;"",'Q12026'!E53&lt;&gt;""),'Q12026'!F53,"")</f>
        <v/>
      </c>
      <c r="G52" t="str">
        <f>IF(AND('Q12026'!B53&lt;&gt;"",'Q12026'!E53&lt;&gt;""),'Q12026'!G53,"")</f>
        <v/>
      </c>
      <c r="H52" t="str">
        <f>IF(AND('Q12026'!B53&lt;&gt;"",'Q12026'!E53&lt;&gt;""),"Q12026","")</f>
        <v/>
      </c>
      <c r="I52" t="str">
        <f>IF(A52="Q12026",COUNTIF($A$2:$A52,"Q12026"),"")</f>
        <v/>
      </c>
      <c r="J52" t="str">
        <f>IF(A52="Q22026",COUNTIF($A$2:$A52,"Q22026"),"")</f>
        <v/>
      </c>
      <c r="K52" t="str">
        <f>IF(A52="Q32026",COUNTIF($A$2:$A52,"Q32026"),"")</f>
        <v/>
      </c>
      <c r="L52" t="str">
        <f>IF(A52="Q42026",COUNTIF($A$2:$A52,"Q42026"),"")</f>
        <v/>
      </c>
      <c r="M52" t="str">
        <f>IF(A52="Backlog",COUNTIF($A$2:$A52,"Backlog"),"")</f>
        <v/>
      </c>
    </row>
    <row r="53" spans="1:13">
      <c r="A53" t="str">
        <f>IF(AND('Q12026'!B54&lt;&gt;"",'Q12026'!E54&lt;&gt;""),'Q12026'!E54,"")</f>
        <v/>
      </c>
      <c r="B53" t="str">
        <f>IF(AND('Q12026'!B54&lt;&gt;"",'Q12026'!E54&lt;&gt;""),'Q12026'!B54,"")</f>
        <v/>
      </c>
      <c r="C53" t="str">
        <f>IF(AND('Q12026'!B54&lt;&gt;"",'Q12026'!E54&lt;&gt;""),'Q12026'!C54,"")</f>
        <v/>
      </c>
      <c r="D53" t="str">
        <f>IF(AND('Q12026'!B54&lt;&gt;"",'Q12026'!E54&lt;&gt;""),'Q12026'!D54,"")</f>
        <v/>
      </c>
      <c r="E53" t="str">
        <f>IF(AND('Q12026'!B54&lt;&gt;"",'Q12026'!E54&lt;&gt;""),'Q12026'!H54,"")</f>
        <v/>
      </c>
      <c r="F53" t="str">
        <f>IF(AND('Q12026'!B54&lt;&gt;"",'Q12026'!E54&lt;&gt;""),'Q12026'!F54,"")</f>
        <v/>
      </c>
      <c r="G53" t="str">
        <f>IF(AND('Q12026'!B54&lt;&gt;"",'Q12026'!E54&lt;&gt;""),'Q12026'!G54,"")</f>
        <v/>
      </c>
      <c r="H53" t="str">
        <f>IF(AND('Q12026'!B54&lt;&gt;"",'Q12026'!E54&lt;&gt;""),"Q12026","")</f>
        <v/>
      </c>
      <c r="I53" t="str">
        <f>IF(A53="Q12026",COUNTIF($A$2:$A53,"Q12026"),"")</f>
        <v/>
      </c>
      <c r="J53" t="str">
        <f>IF(A53="Q22026",COUNTIF($A$2:$A53,"Q22026"),"")</f>
        <v/>
      </c>
      <c r="K53" t="str">
        <f>IF(A53="Q32026",COUNTIF($A$2:$A53,"Q32026"),"")</f>
        <v/>
      </c>
      <c r="L53" t="str">
        <f>IF(A53="Q42026",COUNTIF($A$2:$A53,"Q42026"),"")</f>
        <v/>
      </c>
      <c r="M53" t="str">
        <f>IF(A53="Backlog",COUNTIF($A$2:$A53,"Backlog"),"")</f>
        <v/>
      </c>
    </row>
    <row r="54" spans="1:13">
      <c r="A54" t="str">
        <f>IF(AND('Q12026'!B55&lt;&gt;"",'Q12026'!E55&lt;&gt;""),'Q12026'!E55,"")</f>
        <v/>
      </c>
      <c r="B54" t="str">
        <f>IF(AND('Q12026'!B55&lt;&gt;"",'Q12026'!E55&lt;&gt;""),'Q12026'!B55,"")</f>
        <v/>
      </c>
      <c r="C54" t="str">
        <f>IF(AND('Q12026'!B55&lt;&gt;"",'Q12026'!E55&lt;&gt;""),'Q12026'!C55,"")</f>
        <v/>
      </c>
      <c r="D54" t="str">
        <f>IF(AND('Q12026'!B55&lt;&gt;"",'Q12026'!E55&lt;&gt;""),'Q12026'!D55,"")</f>
        <v/>
      </c>
      <c r="E54" t="str">
        <f>IF(AND('Q12026'!B55&lt;&gt;"",'Q12026'!E55&lt;&gt;""),'Q12026'!H55,"")</f>
        <v/>
      </c>
      <c r="F54" t="str">
        <f>IF(AND('Q12026'!B55&lt;&gt;"",'Q12026'!E55&lt;&gt;""),'Q12026'!F55,"")</f>
        <v/>
      </c>
      <c r="G54" t="str">
        <f>IF(AND('Q12026'!B55&lt;&gt;"",'Q12026'!E55&lt;&gt;""),'Q12026'!G55,"")</f>
        <v/>
      </c>
      <c r="H54" t="str">
        <f>IF(AND('Q12026'!B55&lt;&gt;"",'Q12026'!E55&lt;&gt;""),"Q12026","")</f>
        <v/>
      </c>
      <c r="I54" t="str">
        <f>IF(A54="Q12026",COUNTIF($A$2:$A54,"Q12026"),"")</f>
        <v/>
      </c>
      <c r="J54" t="str">
        <f>IF(A54="Q22026",COUNTIF($A$2:$A54,"Q22026"),"")</f>
        <v/>
      </c>
      <c r="K54" t="str">
        <f>IF(A54="Q32026",COUNTIF($A$2:$A54,"Q32026"),"")</f>
        <v/>
      </c>
      <c r="L54" t="str">
        <f>IF(A54="Q42026",COUNTIF($A$2:$A54,"Q42026"),"")</f>
        <v/>
      </c>
      <c r="M54" t="str">
        <f>IF(A54="Backlog",COUNTIF($A$2:$A54,"Backlog"),"")</f>
        <v/>
      </c>
    </row>
    <row r="55" spans="1:13">
      <c r="A55" t="str">
        <f>IF(AND('Q12026'!B56&lt;&gt;"",'Q12026'!E56&lt;&gt;""),'Q12026'!E56,"")</f>
        <v/>
      </c>
      <c r="B55" t="str">
        <f>IF(AND('Q12026'!B56&lt;&gt;"",'Q12026'!E56&lt;&gt;""),'Q12026'!B56,"")</f>
        <v/>
      </c>
      <c r="C55" t="str">
        <f>IF(AND('Q12026'!B56&lt;&gt;"",'Q12026'!E56&lt;&gt;""),'Q12026'!C56,"")</f>
        <v/>
      </c>
      <c r="D55" t="str">
        <f>IF(AND('Q12026'!B56&lt;&gt;"",'Q12026'!E56&lt;&gt;""),'Q12026'!D56,"")</f>
        <v/>
      </c>
      <c r="E55" t="str">
        <f>IF(AND('Q12026'!B56&lt;&gt;"",'Q12026'!E56&lt;&gt;""),'Q12026'!H56,"")</f>
        <v/>
      </c>
      <c r="F55" t="str">
        <f>IF(AND('Q12026'!B56&lt;&gt;"",'Q12026'!E56&lt;&gt;""),'Q12026'!F56,"")</f>
        <v/>
      </c>
      <c r="G55" t="str">
        <f>IF(AND('Q12026'!B56&lt;&gt;"",'Q12026'!E56&lt;&gt;""),'Q12026'!G56,"")</f>
        <v/>
      </c>
      <c r="H55" t="str">
        <f>IF(AND('Q12026'!B56&lt;&gt;"",'Q12026'!E56&lt;&gt;""),"Q12026","")</f>
        <v/>
      </c>
      <c r="I55" t="str">
        <f>IF(A55="Q12026",COUNTIF($A$2:$A55,"Q12026"),"")</f>
        <v/>
      </c>
      <c r="J55" t="str">
        <f>IF(A55="Q22026",COUNTIF($A$2:$A55,"Q22026"),"")</f>
        <v/>
      </c>
      <c r="K55" t="str">
        <f>IF(A55="Q32026",COUNTIF($A$2:$A55,"Q32026"),"")</f>
        <v/>
      </c>
      <c r="L55" t="str">
        <f>IF(A55="Q42026",COUNTIF($A$2:$A55,"Q42026"),"")</f>
        <v/>
      </c>
      <c r="M55" t="str">
        <f>IF(A55="Backlog",COUNTIF($A$2:$A55,"Backlog"),"")</f>
        <v/>
      </c>
    </row>
    <row r="56" spans="1:13">
      <c r="A56" t="str">
        <f>IF(AND('Q12026'!B57&lt;&gt;"",'Q12026'!E57&lt;&gt;""),'Q12026'!E57,"")</f>
        <v/>
      </c>
      <c r="B56" t="str">
        <f>IF(AND('Q12026'!B57&lt;&gt;"",'Q12026'!E57&lt;&gt;""),'Q12026'!B57,"")</f>
        <v/>
      </c>
      <c r="C56" t="str">
        <f>IF(AND('Q12026'!B57&lt;&gt;"",'Q12026'!E57&lt;&gt;""),'Q12026'!C57,"")</f>
        <v/>
      </c>
      <c r="D56" t="str">
        <f>IF(AND('Q12026'!B57&lt;&gt;"",'Q12026'!E57&lt;&gt;""),'Q12026'!D57,"")</f>
        <v/>
      </c>
      <c r="E56" t="str">
        <f>IF(AND('Q12026'!B57&lt;&gt;"",'Q12026'!E57&lt;&gt;""),'Q12026'!H57,"")</f>
        <v/>
      </c>
      <c r="F56" t="str">
        <f>IF(AND('Q12026'!B57&lt;&gt;"",'Q12026'!E57&lt;&gt;""),'Q12026'!F57,"")</f>
        <v/>
      </c>
      <c r="G56" t="str">
        <f>IF(AND('Q12026'!B57&lt;&gt;"",'Q12026'!E57&lt;&gt;""),'Q12026'!G57,"")</f>
        <v/>
      </c>
      <c r="H56" t="str">
        <f>IF(AND('Q12026'!B57&lt;&gt;"",'Q12026'!E57&lt;&gt;""),"Q12026","")</f>
        <v/>
      </c>
      <c r="I56" t="str">
        <f>IF(A56="Q12026",COUNTIF($A$2:$A56,"Q12026"),"")</f>
        <v/>
      </c>
      <c r="J56" t="str">
        <f>IF(A56="Q22026",COUNTIF($A$2:$A56,"Q22026"),"")</f>
        <v/>
      </c>
      <c r="K56" t="str">
        <f>IF(A56="Q32026",COUNTIF($A$2:$A56,"Q32026"),"")</f>
        <v/>
      </c>
      <c r="L56" t="str">
        <f>IF(A56="Q42026",COUNTIF($A$2:$A56,"Q42026"),"")</f>
        <v/>
      </c>
      <c r="M56" t="str">
        <f>IF(A56="Backlog",COUNTIF($A$2:$A56,"Backlog"),"")</f>
        <v/>
      </c>
    </row>
    <row r="57" spans="1:13">
      <c r="A57" t="str">
        <f>IF(AND('Q12026'!B58&lt;&gt;"",'Q12026'!E58&lt;&gt;""),'Q12026'!E58,"")</f>
        <v/>
      </c>
      <c r="B57" t="str">
        <f>IF(AND('Q12026'!B58&lt;&gt;"",'Q12026'!E58&lt;&gt;""),'Q12026'!B58,"")</f>
        <v/>
      </c>
      <c r="C57" t="str">
        <f>IF(AND('Q12026'!B58&lt;&gt;"",'Q12026'!E58&lt;&gt;""),'Q12026'!C58,"")</f>
        <v/>
      </c>
      <c r="D57" t="str">
        <f>IF(AND('Q12026'!B58&lt;&gt;"",'Q12026'!E58&lt;&gt;""),'Q12026'!D58,"")</f>
        <v/>
      </c>
      <c r="E57" t="str">
        <f>IF(AND('Q12026'!B58&lt;&gt;"",'Q12026'!E58&lt;&gt;""),'Q12026'!H58,"")</f>
        <v/>
      </c>
      <c r="F57" t="str">
        <f>IF(AND('Q12026'!B58&lt;&gt;"",'Q12026'!E58&lt;&gt;""),'Q12026'!F58,"")</f>
        <v/>
      </c>
      <c r="G57" t="str">
        <f>IF(AND('Q12026'!B58&lt;&gt;"",'Q12026'!E58&lt;&gt;""),'Q12026'!G58,"")</f>
        <v/>
      </c>
      <c r="H57" t="str">
        <f>IF(AND('Q12026'!B58&lt;&gt;"",'Q12026'!E58&lt;&gt;""),"Q12026","")</f>
        <v/>
      </c>
      <c r="I57" t="str">
        <f>IF(A57="Q12026",COUNTIF($A$2:$A57,"Q12026"),"")</f>
        <v/>
      </c>
      <c r="J57" t="str">
        <f>IF(A57="Q22026",COUNTIF($A$2:$A57,"Q22026"),"")</f>
        <v/>
      </c>
      <c r="K57" t="str">
        <f>IF(A57="Q32026",COUNTIF($A$2:$A57,"Q32026"),"")</f>
        <v/>
      </c>
      <c r="L57" t="str">
        <f>IF(A57="Q42026",COUNTIF($A$2:$A57,"Q42026"),"")</f>
        <v/>
      </c>
      <c r="M57" t="str">
        <f>IF(A57="Backlog",COUNTIF($A$2:$A57,"Backlog"),"")</f>
        <v/>
      </c>
    </row>
    <row r="58" spans="1:13">
      <c r="A58" t="str">
        <f>IF(AND('Q12026'!B59&lt;&gt;"",'Q12026'!E59&lt;&gt;""),'Q12026'!E59,"")</f>
        <v/>
      </c>
      <c r="B58" t="str">
        <f>IF(AND('Q12026'!B59&lt;&gt;"",'Q12026'!E59&lt;&gt;""),'Q12026'!B59,"")</f>
        <v/>
      </c>
      <c r="C58" t="str">
        <f>IF(AND('Q12026'!B59&lt;&gt;"",'Q12026'!E59&lt;&gt;""),'Q12026'!C59,"")</f>
        <v/>
      </c>
      <c r="D58" t="str">
        <f>IF(AND('Q12026'!B59&lt;&gt;"",'Q12026'!E59&lt;&gt;""),'Q12026'!D59,"")</f>
        <v/>
      </c>
      <c r="E58" t="str">
        <f>IF(AND('Q12026'!B59&lt;&gt;"",'Q12026'!E59&lt;&gt;""),'Q12026'!H59,"")</f>
        <v/>
      </c>
      <c r="F58" t="str">
        <f>IF(AND('Q12026'!B59&lt;&gt;"",'Q12026'!E59&lt;&gt;""),'Q12026'!F59,"")</f>
        <v/>
      </c>
      <c r="G58" t="str">
        <f>IF(AND('Q12026'!B59&lt;&gt;"",'Q12026'!E59&lt;&gt;""),'Q12026'!G59,"")</f>
        <v/>
      </c>
      <c r="H58" t="str">
        <f>IF(AND('Q12026'!B59&lt;&gt;"",'Q12026'!E59&lt;&gt;""),"Q12026","")</f>
        <v/>
      </c>
      <c r="I58" t="str">
        <f>IF(A58="Q12026",COUNTIF($A$2:$A58,"Q12026"),"")</f>
        <v/>
      </c>
      <c r="J58" t="str">
        <f>IF(A58="Q22026",COUNTIF($A$2:$A58,"Q22026"),"")</f>
        <v/>
      </c>
      <c r="K58" t="str">
        <f>IF(A58="Q32026",COUNTIF($A$2:$A58,"Q32026"),"")</f>
        <v/>
      </c>
      <c r="L58" t="str">
        <f>IF(A58="Q42026",COUNTIF($A$2:$A58,"Q42026"),"")</f>
        <v/>
      </c>
      <c r="M58" t="str">
        <f>IF(A58="Backlog",COUNTIF($A$2:$A58,"Backlog"),"")</f>
        <v/>
      </c>
    </row>
    <row r="59" spans="1:13">
      <c r="A59" t="str">
        <f>IF(AND('Q12026'!B60&lt;&gt;"",'Q12026'!E60&lt;&gt;""),'Q12026'!E60,"")</f>
        <v/>
      </c>
      <c r="B59" t="str">
        <f>IF(AND('Q12026'!B60&lt;&gt;"",'Q12026'!E60&lt;&gt;""),'Q12026'!B60,"")</f>
        <v/>
      </c>
      <c r="C59" t="str">
        <f>IF(AND('Q12026'!B60&lt;&gt;"",'Q12026'!E60&lt;&gt;""),'Q12026'!C60,"")</f>
        <v/>
      </c>
      <c r="D59" t="str">
        <f>IF(AND('Q12026'!B60&lt;&gt;"",'Q12026'!E60&lt;&gt;""),'Q12026'!D60,"")</f>
        <v/>
      </c>
      <c r="E59" t="str">
        <f>IF(AND('Q12026'!B60&lt;&gt;"",'Q12026'!E60&lt;&gt;""),'Q12026'!H60,"")</f>
        <v/>
      </c>
      <c r="F59" t="str">
        <f>IF(AND('Q12026'!B60&lt;&gt;"",'Q12026'!E60&lt;&gt;""),'Q12026'!F60,"")</f>
        <v/>
      </c>
      <c r="G59" t="str">
        <f>IF(AND('Q12026'!B60&lt;&gt;"",'Q12026'!E60&lt;&gt;""),'Q12026'!G60,"")</f>
        <v/>
      </c>
      <c r="H59" t="str">
        <f>IF(AND('Q12026'!B60&lt;&gt;"",'Q12026'!E60&lt;&gt;""),"Q12026","")</f>
        <v/>
      </c>
      <c r="I59" t="str">
        <f>IF(A59="Q12026",COUNTIF($A$2:$A59,"Q12026"),"")</f>
        <v/>
      </c>
      <c r="J59" t="str">
        <f>IF(A59="Q22026",COUNTIF($A$2:$A59,"Q22026"),"")</f>
        <v/>
      </c>
      <c r="K59" t="str">
        <f>IF(A59="Q32026",COUNTIF($A$2:$A59,"Q32026"),"")</f>
        <v/>
      </c>
      <c r="L59" t="str">
        <f>IF(A59="Q42026",COUNTIF($A$2:$A59,"Q42026"),"")</f>
        <v/>
      </c>
      <c r="M59" t="str">
        <f>IF(A59="Backlog",COUNTIF($A$2:$A59,"Backlog"),"")</f>
        <v/>
      </c>
    </row>
    <row r="60" spans="1:13">
      <c r="A60" t="str">
        <f>IF(AND('Q12026'!B61&lt;&gt;"",'Q12026'!E61&lt;&gt;""),'Q12026'!E61,"")</f>
        <v/>
      </c>
      <c r="B60" t="str">
        <f>IF(AND('Q12026'!B61&lt;&gt;"",'Q12026'!E61&lt;&gt;""),'Q12026'!B61,"")</f>
        <v/>
      </c>
      <c r="C60" t="str">
        <f>IF(AND('Q12026'!B61&lt;&gt;"",'Q12026'!E61&lt;&gt;""),'Q12026'!C61,"")</f>
        <v/>
      </c>
      <c r="D60" t="str">
        <f>IF(AND('Q12026'!B61&lt;&gt;"",'Q12026'!E61&lt;&gt;""),'Q12026'!D61,"")</f>
        <v/>
      </c>
      <c r="E60" t="str">
        <f>IF(AND('Q12026'!B61&lt;&gt;"",'Q12026'!E61&lt;&gt;""),'Q12026'!H61,"")</f>
        <v/>
      </c>
      <c r="F60" t="str">
        <f>IF(AND('Q12026'!B61&lt;&gt;"",'Q12026'!E61&lt;&gt;""),'Q12026'!F61,"")</f>
        <v/>
      </c>
      <c r="G60" t="str">
        <f>IF(AND('Q12026'!B61&lt;&gt;"",'Q12026'!E61&lt;&gt;""),'Q12026'!G61,"")</f>
        <v/>
      </c>
      <c r="H60" t="str">
        <f>IF(AND('Q12026'!B61&lt;&gt;"",'Q12026'!E61&lt;&gt;""),"Q12026","")</f>
        <v/>
      </c>
      <c r="I60" t="str">
        <f>IF(A60="Q12026",COUNTIF($A$2:$A60,"Q12026"),"")</f>
        <v/>
      </c>
      <c r="J60" t="str">
        <f>IF(A60="Q22026",COUNTIF($A$2:$A60,"Q22026"),"")</f>
        <v/>
      </c>
      <c r="K60" t="str">
        <f>IF(A60="Q32026",COUNTIF($A$2:$A60,"Q32026"),"")</f>
        <v/>
      </c>
      <c r="L60" t="str">
        <f>IF(A60="Q42026",COUNTIF($A$2:$A60,"Q42026"),"")</f>
        <v/>
      </c>
      <c r="M60" t="str">
        <f>IF(A60="Backlog",COUNTIF($A$2:$A60,"Backlog"),"")</f>
        <v/>
      </c>
    </row>
    <row r="61" spans="1:13">
      <c r="A61" t="str">
        <f>IF(AND('Q12026'!B62&lt;&gt;"",'Q12026'!E62&lt;&gt;""),'Q12026'!E62,"")</f>
        <v/>
      </c>
      <c r="B61" t="str">
        <f>IF(AND('Q12026'!B62&lt;&gt;"",'Q12026'!E62&lt;&gt;""),'Q12026'!B62,"")</f>
        <v/>
      </c>
      <c r="C61" t="str">
        <f>IF(AND('Q12026'!B62&lt;&gt;"",'Q12026'!E62&lt;&gt;""),'Q12026'!C62,"")</f>
        <v/>
      </c>
      <c r="D61" t="str">
        <f>IF(AND('Q12026'!B62&lt;&gt;"",'Q12026'!E62&lt;&gt;""),'Q12026'!D62,"")</f>
        <v/>
      </c>
      <c r="E61" t="str">
        <f>IF(AND('Q12026'!B62&lt;&gt;"",'Q12026'!E62&lt;&gt;""),'Q12026'!H62,"")</f>
        <v/>
      </c>
      <c r="F61" t="str">
        <f>IF(AND('Q12026'!B62&lt;&gt;"",'Q12026'!E62&lt;&gt;""),'Q12026'!F62,"")</f>
        <v/>
      </c>
      <c r="G61" t="str">
        <f>IF(AND('Q12026'!B62&lt;&gt;"",'Q12026'!E62&lt;&gt;""),'Q12026'!G62,"")</f>
        <v/>
      </c>
      <c r="H61" t="str">
        <f>IF(AND('Q12026'!B62&lt;&gt;"",'Q12026'!E62&lt;&gt;""),"Q12026","")</f>
        <v/>
      </c>
      <c r="I61" t="str">
        <f>IF(A61="Q12026",COUNTIF($A$2:$A61,"Q12026"),"")</f>
        <v/>
      </c>
      <c r="J61" t="str">
        <f>IF(A61="Q22026",COUNTIF($A$2:$A61,"Q22026"),"")</f>
        <v/>
      </c>
      <c r="K61" t="str">
        <f>IF(A61="Q32026",COUNTIF($A$2:$A61,"Q32026"),"")</f>
        <v/>
      </c>
      <c r="L61" t="str">
        <f>IF(A61="Q42026",COUNTIF($A$2:$A61,"Q42026"),"")</f>
        <v/>
      </c>
      <c r="M61" t="str">
        <f>IF(A61="Backlog",COUNTIF($A$2:$A61,"Backlog"),"")</f>
        <v/>
      </c>
    </row>
    <row r="62" spans="1:13">
      <c r="A62" t="str">
        <f>IF(AND('Q12026'!B63&lt;&gt;"",'Q12026'!E63&lt;&gt;""),'Q12026'!E63,"")</f>
        <v/>
      </c>
      <c r="B62" t="str">
        <f>IF(AND('Q12026'!B63&lt;&gt;"",'Q12026'!E63&lt;&gt;""),'Q12026'!B63,"")</f>
        <v/>
      </c>
      <c r="C62" t="str">
        <f>IF(AND('Q12026'!B63&lt;&gt;"",'Q12026'!E63&lt;&gt;""),'Q12026'!C63,"")</f>
        <v/>
      </c>
      <c r="D62" t="str">
        <f>IF(AND('Q12026'!B63&lt;&gt;"",'Q12026'!E63&lt;&gt;""),'Q12026'!D63,"")</f>
        <v/>
      </c>
      <c r="E62" t="str">
        <f>IF(AND('Q12026'!B63&lt;&gt;"",'Q12026'!E63&lt;&gt;""),'Q12026'!H63,"")</f>
        <v/>
      </c>
      <c r="F62" t="str">
        <f>IF(AND('Q12026'!B63&lt;&gt;"",'Q12026'!E63&lt;&gt;""),'Q12026'!F63,"")</f>
        <v/>
      </c>
      <c r="G62" t="str">
        <f>IF(AND('Q12026'!B63&lt;&gt;"",'Q12026'!E63&lt;&gt;""),'Q12026'!G63,"")</f>
        <v/>
      </c>
      <c r="H62" t="str">
        <f>IF(AND('Q12026'!B63&lt;&gt;"",'Q12026'!E63&lt;&gt;""),"Q12026","")</f>
        <v/>
      </c>
      <c r="I62" t="str">
        <f>IF(A62="Q12026",COUNTIF($A$2:$A62,"Q12026"),"")</f>
        <v/>
      </c>
      <c r="J62" t="str">
        <f>IF(A62="Q22026",COUNTIF($A$2:$A62,"Q22026"),"")</f>
        <v/>
      </c>
      <c r="K62" t="str">
        <f>IF(A62="Q32026",COUNTIF($A$2:$A62,"Q32026"),"")</f>
        <v/>
      </c>
      <c r="L62" t="str">
        <f>IF(A62="Q42026",COUNTIF($A$2:$A62,"Q42026"),"")</f>
        <v/>
      </c>
      <c r="M62" t="str">
        <f>IF(A62="Backlog",COUNTIF($A$2:$A62,"Backlog"),"")</f>
        <v/>
      </c>
    </row>
    <row r="63" spans="1:13">
      <c r="A63" t="str">
        <f>IF(AND('Q12026'!B64&lt;&gt;"",'Q12026'!E64&lt;&gt;""),'Q12026'!E64,"")</f>
        <v/>
      </c>
      <c r="B63" t="str">
        <f>IF(AND('Q12026'!B64&lt;&gt;"",'Q12026'!E64&lt;&gt;""),'Q12026'!B64,"")</f>
        <v/>
      </c>
      <c r="C63" t="str">
        <f>IF(AND('Q12026'!B64&lt;&gt;"",'Q12026'!E64&lt;&gt;""),'Q12026'!C64,"")</f>
        <v/>
      </c>
      <c r="D63" t="str">
        <f>IF(AND('Q12026'!B64&lt;&gt;"",'Q12026'!E64&lt;&gt;""),'Q12026'!D64,"")</f>
        <v/>
      </c>
      <c r="E63" t="str">
        <f>IF(AND('Q12026'!B64&lt;&gt;"",'Q12026'!E64&lt;&gt;""),'Q12026'!H64,"")</f>
        <v/>
      </c>
      <c r="F63" t="str">
        <f>IF(AND('Q12026'!B64&lt;&gt;"",'Q12026'!E64&lt;&gt;""),'Q12026'!F64,"")</f>
        <v/>
      </c>
      <c r="G63" t="str">
        <f>IF(AND('Q12026'!B64&lt;&gt;"",'Q12026'!E64&lt;&gt;""),'Q12026'!G64,"")</f>
        <v/>
      </c>
      <c r="H63" t="str">
        <f>IF(AND('Q12026'!B64&lt;&gt;"",'Q12026'!E64&lt;&gt;""),"Q12026","")</f>
        <v/>
      </c>
      <c r="I63" t="str">
        <f>IF(A63="Q12026",COUNTIF($A$2:$A63,"Q12026"),"")</f>
        <v/>
      </c>
      <c r="J63" t="str">
        <f>IF(A63="Q22026",COUNTIF($A$2:$A63,"Q22026"),"")</f>
        <v/>
      </c>
      <c r="K63" t="str">
        <f>IF(A63="Q32026",COUNTIF($A$2:$A63,"Q32026"),"")</f>
        <v/>
      </c>
      <c r="L63" t="str">
        <f>IF(A63="Q42026",COUNTIF($A$2:$A63,"Q42026"),"")</f>
        <v/>
      </c>
      <c r="M63" t="str">
        <f>IF(A63="Backlog",COUNTIF($A$2:$A63,"Backlog"),"")</f>
        <v/>
      </c>
    </row>
    <row r="64" spans="1:13">
      <c r="A64" t="str">
        <f>IF(AND('Q12026'!B65&lt;&gt;"",'Q12026'!E65&lt;&gt;""),'Q12026'!E65,"")</f>
        <v/>
      </c>
      <c r="B64" t="str">
        <f>IF(AND('Q12026'!B65&lt;&gt;"",'Q12026'!E65&lt;&gt;""),'Q12026'!B65,"")</f>
        <v/>
      </c>
      <c r="C64" t="str">
        <f>IF(AND('Q12026'!B65&lt;&gt;"",'Q12026'!E65&lt;&gt;""),'Q12026'!C65,"")</f>
        <v/>
      </c>
      <c r="D64" t="str">
        <f>IF(AND('Q12026'!B65&lt;&gt;"",'Q12026'!E65&lt;&gt;""),'Q12026'!D65,"")</f>
        <v/>
      </c>
      <c r="E64" t="str">
        <f>IF(AND('Q12026'!B65&lt;&gt;"",'Q12026'!E65&lt;&gt;""),'Q12026'!H65,"")</f>
        <v/>
      </c>
      <c r="F64" t="str">
        <f>IF(AND('Q12026'!B65&lt;&gt;"",'Q12026'!E65&lt;&gt;""),'Q12026'!F65,"")</f>
        <v/>
      </c>
      <c r="G64" t="str">
        <f>IF(AND('Q12026'!B65&lt;&gt;"",'Q12026'!E65&lt;&gt;""),'Q12026'!G65,"")</f>
        <v/>
      </c>
      <c r="H64" t="str">
        <f>IF(AND('Q12026'!B65&lt;&gt;"",'Q12026'!E65&lt;&gt;""),"Q12026","")</f>
        <v/>
      </c>
      <c r="I64" t="str">
        <f>IF(A64="Q12026",COUNTIF($A$2:$A64,"Q12026"),"")</f>
        <v/>
      </c>
      <c r="J64" t="str">
        <f>IF(A64="Q22026",COUNTIF($A$2:$A64,"Q22026"),"")</f>
        <v/>
      </c>
      <c r="K64" t="str">
        <f>IF(A64="Q32026",COUNTIF($A$2:$A64,"Q32026"),"")</f>
        <v/>
      </c>
      <c r="L64" t="str">
        <f>IF(A64="Q42026",COUNTIF($A$2:$A64,"Q42026"),"")</f>
        <v/>
      </c>
      <c r="M64" t="str">
        <f>IF(A64="Backlog",COUNTIF($A$2:$A64,"Backlog"),"")</f>
        <v/>
      </c>
    </row>
    <row r="65" spans="1:13">
      <c r="A65" t="str">
        <f>IF(AND('Q12026'!B66&lt;&gt;"",'Q12026'!E66&lt;&gt;""),'Q12026'!E66,"")</f>
        <v/>
      </c>
      <c r="B65" t="str">
        <f>IF(AND('Q12026'!B66&lt;&gt;"",'Q12026'!E66&lt;&gt;""),'Q12026'!B66,"")</f>
        <v/>
      </c>
      <c r="C65" t="str">
        <f>IF(AND('Q12026'!B66&lt;&gt;"",'Q12026'!E66&lt;&gt;""),'Q12026'!C66,"")</f>
        <v/>
      </c>
      <c r="D65" t="str">
        <f>IF(AND('Q12026'!B66&lt;&gt;"",'Q12026'!E66&lt;&gt;""),'Q12026'!D66,"")</f>
        <v/>
      </c>
      <c r="E65" t="str">
        <f>IF(AND('Q12026'!B66&lt;&gt;"",'Q12026'!E66&lt;&gt;""),'Q12026'!H66,"")</f>
        <v/>
      </c>
      <c r="F65" t="str">
        <f>IF(AND('Q12026'!B66&lt;&gt;"",'Q12026'!E66&lt;&gt;""),'Q12026'!F66,"")</f>
        <v/>
      </c>
      <c r="G65" t="str">
        <f>IF(AND('Q12026'!B66&lt;&gt;"",'Q12026'!E66&lt;&gt;""),'Q12026'!G66,"")</f>
        <v/>
      </c>
      <c r="H65" t="str">
        <f>IF(AND('Q12026'!B66&lt;&gt;"",'Q12026'!E66&lt;&gt;""),"Q12026","")</f>
        <v/>
      </c>
      <c r="I65" t="str">
        <f>IF(A65="Q12026",COUNTIF($A$2:$A65,"Q12026"),"")</f>
        <v/>
      </c>
      <c r="J65" t="str">
        <f>IF(A65="Q22026",COUNTIF($A$2:$A65,"Q22026"),"")</f>
        <v/>
      </c>
      <c r="K65" t="str">
        <f>IF(A65="Q32026",COUNTIF($A$2:$A65,"Q32026"),"")</f>
        <v/>
      </c>
      <c r="L65" t="str">
        <f>IF(A65="Q42026",COUNTIF($A$2:$A65,"Q42026"),"")</f>
        <v/>
      </c>
      <c r="M65" t="str">
        <f>IF(A65="Backlog",COUNTIF($A$2:$A65,"Backlog"),"")</f>
        <v/>
      </c>
    </row>
    <row r="66" spans="1:13">
      <c r="A66" t="str">
        <f>IF(AND('Q12026'!B67&lt;&gt;"",'Q12026'!E67&lt;&gt;""),'Q12026'!E67,"")</f>
        <v/>
      </c>
      <c r="B66" t="str">
        <f>IF(AND('Q12026'!B67&lt;&gt;"",'Q12026'!E67&lt;&gt;""),'Q12026'!B67,"")</f>
        <v/>
      </c>
      <c r="C66" t="str">
        <f>IF(AND('Q12026'!B67&lt;&gt;"",'Q12026'!E67&lt;&gt;""),'Q12026'!C67,"")</f>
        <v/>
      </c>
      <c r="D66" t="str">
        <f>IF(AND('Q12026'!B67&lt;&gt;"",'Q12026'!E67&lt;&gt;""),'Q12026'!D67,"")</f>
        <v/>
      </c>
      <c r="E66" t="str">
        <f>IF(AND('Q12026'!B67&lt;&gt;"",'Q12026'!E67&lt;&gt;""),'Q12026'!H67,"")</f>
        <v/>
      </c>
      <c r="F66" t="str">
        <f>IF(AND('Q12026'!B67&lt;&gt;"",'Q12026'!E67&lt;&gt;""),'Q12026'!F67,"")</f>
        <v/>
      </c>
      <c r="G66" t="str">
        <f>IF(AND('Q12026'!B67&lt;&gt;"",'Q12026'!E67&lt;&gt;""),'Q12026'!G67,"")</f>
        <v/>
      </c>
      <c r="H66" t="str">
        <f>IF(AND('Q12026'!B67&lt;&gt;"",'Q12026'!E67&lt;&gt;""),"Q12026","")</f>
        <v/>
      </c>
      <c r="I66" t="str">
        <f>IF(A66="Q12026",COUNTIF($A$2:$A66,"Q12026"),"")</f>
        <v/>
      </c>
      <c r="J66" t="str">
        <f>IF(A66="Q22026",COUNTIF($A$2:$A66,"Q22026"),"")</f>
        <v/>
      </c>
      <c r="K66" t="str">
        <f>IF(A66="Q32026",COUNTIF($A$2:$A66,"Q32026"),"")</f>
        <v/>
      </c>
      <c r="L66" t="str">
        <f>IF(A66="Q42026",COUNTIF($A$2:$A66,"Q42026"),"")</f>
        <v/>
      </c>
      <c r="M66" t="str">
        <f>IF(A66="Backlog",COUNTIF($A$2:$A66,"Backlog"),"")</f>
        <v/>
      </c>
    </row>
    <row r="67" spans="1:13">
      <c r="A67" t="str">
        <f>IF(AND('Q12026'!B68&lt;&gt;"",'Q12026'!E68&lt;&gt;""),'Q12026'!E68,"")</f>
        <v/>
      </c>
      <c r="B67" t="str">
        <f>IF(AND('Q12026'!B68&lt;&gt;"",'Q12026'!E68&lt;&gt;""),'Q12026'!B68,"")</f>
        <v/>
      </c>
      <c r="C67" t="str">
        <f>IF(AND('Q12026'!B68&lt;&gt;"",'Q12026'!E68&lt;&gt;""),'Q12026'!C68,"")</f>
        <v/>
      </c>
      <c r="D67" t="str">
        <f>IF(AND('Q12026'!B68&lt;&gt;"",'Q12026'!E68&lt;&gt;""),'Q12026'!D68,"")</f>
        <v/>
      </c>
      <c r="E67" t="str">
        <f>IF(AND('Q12026'!B68&lt;&gt;"",'Q12026'!E68&lt;&gt;""),'Q12026'!H68,"")</f>
        <v/>
      </c>
      <c r="F67" t="str">
        <f>IF(AND('Q12026'!B68&lt;&gt;"",'Q12026'!E68&lt;&gt;""),'Q12026'!F68,"")</f>
        <v/>
      </c>
      <c r="G67" t="str">
        <f>IF(AND('Q12026'!B68&lt;&gt;"",'Q12026'!E68&lt;&gt;""),'Q12026'!G68,"")</f>
        <v/>
      </c>
      <c r="H67" t="str">
        <f>IF(AND('Q12026'!B68&lt;&gt;"",'Q12026'!E68&lt;&gt;""),"Q12026","")</f>
        <v/>
      </c>
      <c r="I67" t="str">
        <f>IF(A67="Q12026",COUNTIF($A$2:$A67,"Q12026"),"")</f>
        <v/>
      </c>
      <c r="J67" t="str">
        <f>IF(A67="Q22026",COUNTIF($A$2:$A67,"Q22026"),"")</f>
        <v/>
      </c>
      <c r="K67" t="str">
        <f>IF(A67="Q32026",COUNTIF($A$2:$A67,"Q32026"),"")</f>
        <v/>
      </c>
      <c r="L67" t="str">
        <f>IF(A67="Q42026",COUNTIF($A$2:$A67,"Q42026"),"")</f>
        <v/>
      </c>
      <c r="M67" t="str">
        <f>IF(A67="Backlog",COUNTIF($A$2:$A67,"Backlog"),"")</f>
        <v/>
      </c>
    </row>
    <row r="68" spans="1:13">
      <c r="A68" t="str">
        <f>IF(AND('Q12026'!B69&lt;&gt;"",'Q12026'!E69&lt;&gt;""),'Q12026'!E69,"")</f>
        <v/>
      </c>
      <c r="B68" t="str">
        <f>IF(AND('Q12026'!B69&lt;&gt;"",'Q12026'!E69&lt;&gt;""),'Q12026'!B69,"")</f>
        <v/>
      </c>
      <c r="C68" t="str">
        <f>IF(AND('Q12026'!B69&lt;&gt;"",'Q12026'!E69&lt;&gt;""),'Q12026'!C69,"")</f>
        <v/>
      </c>
      <c r="D68" t="str">
        <f>IF(AND('Q12026'!B69&lt;&gt;"",'Q12026'!E69&lt;&gt;""),'Q12026'!D69,"")</f>
        <v/>
      </c>
      <c r="E68" t="str">
        <f>IF(AND('Q12026'!B69&lt;&gt;"",'Q12026'!E69&lt;&gt;""),'Q12026'!H69,"")</f>
        <v/>
      </c>
      <c r="F68" t="str">
        <f>IF(AND('Q12026'!B69&lt;&gt;"",'Q12026'!E69&lt;&gt;""),'Q12026'!F69,"")</f>
        <v/>
      </c>
      <c r="G68" t="str">
        <f>IF(AND('Q12026'!B69&lt;&gt;"",'Q12026'!E69&lt;&gt;""),'Q12026'!G69,"")</f>
        <v/>
      </c>
      <c r="H68" t="str">
        <f>IF(AND('Q12026'!B69&lt;&gt;"",'Q12026'!E69&lt;&gt;""),"Q12026","")</f>
        <v/>
      </c>
      <c r="I68" t="str">
        <f>IF(A68="Q12026",COUNTIF($A$2:$A68,"Q12026"),"")</f>
        <v/>
      </c>
      <c r="J68" t="str">
        <f>IF(A68="Q22026",COUNTIF($A$2:$A68,"Q22026"),"")</f>
        <v/>
      </c>
      <c r="K68" t="str">
        <f>IF(A68="Q32026",COUNTIF($A$2:$A68,"Q32026"),"")</f>
        <v/>
      </c>
      <c r="L68" t="str">
        <f>IF(A68="Q42026",COUNTIF($A$2:$A68,"Q42026"),"")</f>
        <v/>
      </c>
      <c r="M68" t="str">
        <f>IF(A68="Backlog",COUNTIF($A$2:$A68,"Backlog"),"")</f>
        <v/>
      </c>
    </row>
    <row r="69" spans="1:13">
      <c r="A69" t="str">
        <f>IF(AND('Q12026'!B70&lt;&gt;"",'Q12026'!E70&lt;&gt;""),'Q12026'!E70,"")</f>
        <v/>
      </c>
      <c r="B69" t="str">
        <f>IF(AND('Q12026'!B70&lt;&gt;"",'Q12026'!E70&lt;&gt;""),'Q12026'!B70,"")</f>
        <v/>
      </c>
      <c r="C69" t="str">
        <f>IF(AND('Q12026'!B70&lt;&gt;"",'Q12026'!E70&lt;&gt;""),'Q12026'!C70,"")</f>
        <v/>
      </c>
      <c r="D69" t="str">
        <f>IF(AND('Q12026'!B70&lt;&gt;"",'Q12026'!E70&lt;&gt;""),'Q12026'!D70,"")</f>
        <v/>
      </c>
      <c r="E69" t="str">
        <f>IF(AND('Q12026'!B70&lt;&gt;"",'Q12026'!E70&lt;&gt;""),'Q12026'!H70,"")</f>
        <v/>
      </c>
      <c r="F69" t="str">
        <f>IF(AND('Q12026'!B70&lt;&gt;"",'Q12026'!E70&lt;&gt;""),'Q12026'!F70,"")</f>
        <v/>
      </c>
      <c r="G69" t="str">
        <f>IF(AND('Q12026'!B70&lt;&gt;"",'Q12026'!E70&lt;&gt;""),'Q12026'!G70,"")</f>
        <v/>
      </c>
      <c r="H69" t="str">
        <f>IF(AND('Q12026'!B70&lt;&gt;"",'Q12026'!E70&lt;&gt;""),"Q12026","")</f>
        <v/>
      </c>
      <c r="I69" t="str">
        <f>IF(A69="Q12026",COUNTIF($A$2:$A69,"Q12026"),"")</f>
        <v/>
      </c>
      <c r="J69" t="str">
        <f>IF(A69="Q22026",COUNTIF($A$2:$A69,"Q22026"),"")</f>
        <v/>
      </c>
      <c r="K69" t="str">
        <f>IF(A69="Q32026",COUNTIF($A$2:$A69,"Q32026"),"")</f>
        <v/>
      </c>
      <c r="L69" t="str">
        <f>IF(A69="Q42026",COUNTIF($A$2:$A69,"Q42026"),"")</f>
        <v/>
      </c>
      <c r="M69" t="str">
        <f>IF(A69="Backlog",COUNTIF($A$2:$A69,"Backlog"),"")</f>
        <v/>
      </c>
    </row>
    <row r="70" spans="1:13">
      <c r="A70" t="str">
        <f>IF(AND('Q12026'!B71&lt;&gt;"",'Q12026'!E71&lt;&gt;""),'Q12026'!E71,"")</f>
        <v/>
      </c>
      <c r="B70" t="str">
        <f>IF(AND('Q12026'!B71&lt;&gt;"",'Q12026'!E71&lt;&gt;""),'Q12026'!B71,"")</f>
        <v/>
      </c>
      <c r="C70" t="str">
        <f>IF(AND('Q12026'!B71&lt;&gt;"",'Q12026'!E71&lt;&gt;""),'Q12026'!C71,"")</f>
        <v/>
      </c>
      <c r="D70" t="str">
        <f>IF(AND('Q12026'!B71&lt;&gt;"",'Q12026'!E71&lt;&gt;""),'Q12026'!D71,"")</f>
        <v/>
      </c>
      <c r="E70" t="str">
        <f>IF(AND('Q12026'!B71&lt;&gt;"",'Q12026'!E71&lt;&gt;""),'Q12026'!H71,"")</f>
        <v/>
      </c>
      <c r="F70" t="str">
        <f>IF(AND('Q12026'!B71&lt;&gt;"",'Q12026'!E71&lt;&gt;""),'Q12026'!F71,"")</f>
        <v/>
      </c>
      <c r="G70" t="str">
        <f>IF(AND('Q12026'!B71&lt;&gt;"",'Q12026'!E71&lt;&gt;""),'Q12026'!G71,"")</f>
        <v/>
      </c>
      <c r="H70" t="str">
        <f>IF(AND('Q12026'!B71&lt;&gt;"",'Q12026'!E71&lt;&gt;""),"Q12026","")</f>
        <v/>
      </c>
      <c r="I70" t="str">
        <f>IF(A70="Q12026",COUNTIF($A$2:$A70,"Q12026"),"")</f>
        <v/>
      </c>
      <c r="J70" t="str">
        <f>IF(A70="Q22026",COUNTIF($A$2:$A70,"Q22026"),"")</f>
        <v/>
      </c>
      <c r="K70" t="str">
        <f>IF(A70="Q32026",COUNTIF($A$2:$A70,"Q32026"),"")</f>
        <v/>
      </c>
      <c r="L70" t="str">
        <f>IF(A70="Q42026",COUNTIF($A$2:$A70,"Q42026"),"")</f>
        <v/>
      </c>
      <c r="M70" t="str">
        <f>IF(A70="Backlog",COUNTIF($A$2:$A70,"Backlog"),"")</f>
        <v/>
      </c>
    </row>
    <row r="71" spans="1:13">
      <c r="A71" t="str">
        <f>IF(AND('Q12026'!B72&lt;&gt;"",'Q12026'!E72&lt;&gt;""),'Q12026'!E72,"")</f>
        <v/>
      </c>
      <c r="B71" t="str">
        <f>IF(AND('Q12026'!B72&lt;&gt;"",'Q12026'!E72&lt;&gt;""),'Q12026'!B72,"")</f>
        <v/>
      </c>
      <c r="C71" t="str">
        <f>IF(AND('Q12026'!B72&lt;&gt;"",'Q12026'!E72&lt;&gt;""),'Q12026'!C72,"")</f>
        <v/>
      </c>
      <c r="D71" t="str">
        <f>IF(AND('Q12026'!B72&lt;&gt;"",'Q12026'!E72&lt;&gt;""),'Q12026'!D72,"")</f>
        <v/>
      </c>
      <c r="E71" t="str">
        <f>IF(AND('Q12026'!B72&lt;&gt;"",'Q12026'!E72&lt;&gt;""),'Q12026'!H72,"")</f>
        <v/>
      </c>
      <c r="F71" t="str">
        <f>IF(AND('Q12026'!B72&lt;&gt;"",'Q12026'!E72&lt;&gt;""),'Q12026'!F72,"")</f>
        <v/>
      </c>
      <c r="G71" t="str">
        <f>IF(AND('Q12026'!B72&lt;&gt;"",'Q12026'!E72&lt;&gt;""),'Q12026'!G72,"")</f>
        <v/>
      </c>
      <c r="H71" t="str">
        <f>IF(AND('Q12026'!B72&lt;&gt;"",'Q12026'!E72&lt;&gt;""),"Q12026","")</f>
        <v/>
      </c>
      <c r="I71" t="str">
        <f>IF(A71="Q12026",COUNTIF($A$2:$A71,"Q12026"),"")</f>
        <v/>
      </c>
      <c r="J71" t="str">
        <f>IF(A71="Q22026",COUNTIF($A$2:$A71,"Q22026"),"")</f>
        <v/>
      </c>
      <c r="K71" t="str">
        <f>IF(A71="Q32026",COUNTIF($A$2:$A71,"Q32026"),"")</f>
        <v/>
      </c>
      <c r="L71" t="str">
        <f>IF(A71="Q42026",COUNTIF($A$2:$A71,"Q42026"),"")</f>
        <v/>
      </c>
      <c r="M71" t="str">
        <f>IF(A71="Backlog",COUNTIF($A$2:$A71,"Backlog"),"")</f>
        <v/>
      </c>
    </row>
    <row r="72" spans="1:13">
      <c r="A72" t="str">
        <f>IF(AND('Q12026'!B73&lt;&gt;"",'Q12026'!E73&lt;&gt;""),'Q12026'!E73,"")</f>
        <v/>
      </c>
      <c r="B72" t="str">
        <f>IF(AND('Q12026'!B73&lt;&gt;"",'Q12026'!E73&lt;&gt;""),'Q12026'!B73,"")</f>
        <v/>
      </c>
      <c r="C72" t="str">
        <f>IF(AND('Q12026'!B73&lt;&gt;"",'Q12026'!E73&lt;&gt;""),'Q12026'!C73,"")</f>
        <v/>
      </c>
      <c r="D72" t="str">
        <f>IF(AND('Q12026'!B73&lt;&gt;"",'Q12026'!E73&lt;&gt;""),'Q12026'!D73,"")</f>
        <v/>
      </c>
      <c r="E72" t="str">
        <f>IF(AND('Q12026'!B73&lt;&gt;"",'Q12026'!E73&lt;&gt;""),'Q12026'!H73,"")</f>
        <v/>
      </c>
      <c r="F72" t="str">
        <f>IF(AND('Q12026'!B73&lt;&gt;"",'Q12026'!E73&lt;&gt;""),'Q12026'!F73,"")</f>
        <v/>
      </c>
      <c r="G72" t="str">
        <f>IF(AND('Q12026'!B73&lt;&gt;"",'Q12026'!E73&lt;&gt;""),'Q12026'!G73,"")</f>
        <v/>
      </c>
      <c r="H72" t="str">
        <f>IF(AND('Q12026'!B73&lt;&gt;"",'Q12026'!E73&lt;&gt;""),"Q12026","")</f>
        <v/>
      </c>
      <c r="I72" t="str">
        <f>IF(A72="Q12026",COUNTIF($A$2:$A72,"Q12026"),"")</f>
        <v/>
      </c>
      <c r="J72" t="str">
        <f>IF(A72="Q22026",COUNTIF($A$2:$A72,"Q22026"),"")</f>
        <v/>
      </c>
      <c r="K72" t="str">
        <f>IF(A72="Q32026",COUNTIF($A$2:$A72,"Q32026"),"")</f>
        <v/>
      </c>
      <c r="L72" t="str">
        <f>IF(A72="Q42026",COUNTIF($A$2:$A72,"Q42026"),"")</f>
        <v/>
      </c>
      <c r="M72" t="str">
        <f>IF(A72="Backlog",COUNTIF($A$2:$A72,"Backlog"),"")</f>
        <v/>
      </c>
    </row>
    <row r="73" spans="1:13">
      <c r="A73" t="str">
        <f>IF(AND('Q12026'!B74&lt;&gt;"",'Q12026'!E74&lt;&gt;""),'Q12026'!E74,"")</f>
        <v/>
      </c>
      <c r="B73" t="str">
        <f>IF(AND('Q12026'!B74&lt;&gt;"",'Q12026'!E74&lt;&gt;""),'Q12026'!B74,"")</f>
        <v/>
      </c>
      <c r="C73" t="str">
        <f>IF(AND('Q12026'!B74&lt;&gt;"",'Q12026'!E74&lt;&gt;""),'Q12026'!C74,"")</f>
        <v/>
      </c>
      <c r="D73" t="str">
        <f>IF(AND('Q12026'!B74&lt;&gt;"",'Q12026'!E74&lt;&gt;""),'Q12026'!D74,"")</f>
        <v/>
      </c>
      <c r="E73" t="str">
        <f>IF(AND('Q12026'!B74&lt;&gt;"",'Q12026'!E74&lt;&gt;""),'Q12026'!H74,"")</f>
        <v/>
      </c>
      <c r="F73" t="str">
        <f>IF(AND('Q12026'!B74&lt;&gt;"",'Q12026'!E74&lt;&gt;""),'Q12026'!F74,"")</f>
        <v/>
      </c>
      <c r="G73" t="str">
        <f>IF(AND('Q12026'!B74&lt;&gt;"",'Q12026'!E74&lt;&gt;""),'Q12026'!G74,"")</f>
        <v/>
      </c>
      <c r="H73" t="str">
        <f>IF(AND('Q12026'!B74&lt;&gt;"",'Q12026'!E74&lt;&gt;""),"Q12026","")</f>
        <v/>
      </c>
      <c r="I73" t="str">
        <f>IF(A73="Q12026",COUNTIF($A$2:$A73,"Q12026"),"")</f>
        <v/>
      </c>
      <c r="J73" t="str">
        <f>IF(A73="Q22026",COUNTIF($A$2:$A73,"Q22026"),"")</f>
        <v/>
      </c>
      <c r="K73" t="str">
        <f>IF(A73="Q32026",COUNTIF($A$2:$A73,"Q32026"),"")</f>
        <v/>
      </c>
      <c r="L73" t="str">
        <f>IF(A73="Q42026",COUNTIF($A$2:$A73,"Q42026"),"")</f>
        <v/>
      </c>
      <c r="M73" t="str">
        <f>IF(A73="Backlog",COUNTIF($A$2:$A73,"Backlog"),"")</f>
        <v/>
      </c>
    </row>
    <row r="74" spans="1:13">
      <c r="A74" t="str">
        <f>IF(AND('Q12026'!B75&lt;&gt;"",'Q12026'!E75&lt;&gt;""),'Q12026'!E75,"")</f>
        <v/>
      </c>
      <c r="B74" t="str">
        <f>IF(AND('Q12026'!B75&lt;&gt;"",'Q12026'!E75&lt;&gt;""),'Q12026'!B75,"")</f>
        <v/>
      </c>
      <c r="C74" t="str">
        <f>IF(AND('Q12026'!B75&lt;&gt;"",'Q12026'!E75&lt;&gt;""),'Q12026'!C75,"")</f>
        <v/>
      </c>
      <c r="D74" t="str">
        <f>IF(AND('Q12026'!B75&lt;&gt;"",'Q12026'!E75&lt;&gt;""),'Q12026'!D75,"")</f>
        <v/>
      </c>
      <c r="E74" t="str">
        <f>IF(AND('Q12026'!B75&lt;&gt;"",'Q12026'!E75&lt;&gt;""),'Q12026'!H75,"")</f>
        <v/>
      </c>
      <c r="F74" t="str">
        <f>IF(AND('Q12026'!B75&lt;&gt;"",'Q12026'!E75&lt;&gt;""),'Q12026'!F75,"")</f>
        <v/>
      </c>
      <c r="G74" t="str">
        <f>IF(AND('Q12026'!B75&lt;&gt;"",'Q12026'!E75&lt;&gt;""),'Q12026'!G75,"")</f>
        <v/>
      </c>
      <c r="H74" t="str">
        <f>IF(AND('Q12026'!B75&lt;&gt;"",'Q12026'!E75&lt;&gt;""),"Q12026","")</f>
        <v/>
      </c>
      <c r="I74" t="str">
        <f>IF(A74="Q12026",COUNTIF($A$2:$A74,"Q12026"),"")</f>
        <v/>
      </c>
      <c r="J74" t="str">
        <f>IF(A74="Q22026",COUNTIF($A$2:$A74,"Q22026"),"")</f>
        <v/>
      </c>
      <c r="K74" t="str">
        <f>IF(A74="Q32026",COUNTIF($A$2:$A74,"Q32026"),"")</f>
        <v/>
      </c>
      <c r="L74" t="str">
        <f>IF(A74="Q42026",COUNTIF($A$2:$A74,"Q42026"),"")</f>
        <v/>
      </c>
      <c r="M74" t="str">
        <f>IF(A74="Backlog",COUNTIF($A$2:$A74,"Backlog"),"")</f>
        <v/>
      </c>
    </row>
    <row r="75" spans="1:13">
      <c r="A75" t="str">
        <f>IF(AND('Q12026'!B76&lt;&gt;"",'Q12026'!E76&lt;&gt;""),'Q12026'!E76,"")</f>
        <v/>
      </c>
      <c r="B75" t="str">
        <f>IF(AND('Q12026'!B76&lt;&gt;"",'Q12026'!E76&lt;&gt;""),'Q12026'!B76,"")</f>
        <v/>
      </c>
      <c r="C75" t="str">
        <f>IF(AND('Q12026'!B76&lt;&gt;"",'Q12026'!E76&lt;&gt;""),'Q12026'!C76,"")</f>
        <v/>
      </c>
      <c r="D75" t="str">
        <f>IF(AND('Q12026'!B76&lt;&gt;"",'Q12026'!E76&lt;&gt;""),'Q12026'!D76,"")</f>
        <v/>
      </c>
      <c r="E75" t="str">
        <f>IF(AND('Q12026'!B76&lt;&gt;"",'Q12026'!E76&lt;&gt;""),'Q12026'!H76,"")</f>
        <v/>
      </c>
      <c r="F75" t="str">
        <f>IF(AND('Q12026'!B76&lt;&gt;"",'Q12026'!E76&lt;&gt;""),'Q12026'!F76,"")</f>
        <v/>
      </c>
      <c r="G75" t="str">
        <f>IF(AND('Q12026'!B76&lt;&gt;"",'Q12026'!E76&lt;&gt;""),'Q12026'!G76,"")</f>
        <v/>
      </c>
      <c r="H75" t="str">
        <f>IF(AND('Q12026'!B76&lt;&gt;"",'Q12026'!E76&lt;&gt;""),"Q12026","")</f>
        <v/>
      </c>
      <c r="I75" t="str">
        <f>IF(A75="Q12026",COUNTIF($A$2:$A75,"Q12026"),"")</f>
        <v/>
      </c>
      <c r="J75" t="str">
        <f>IF(A75="Q22026",COUNTIF($A$2:$A75,"Q22026"),"")</f>
        <v/>
      </c>
      <c r="K75" t="str">
        <f>IF(A75="Q32026",COUNTIF($A$2:$A75,"Q32026"),"")</f>
        <v/>
      </c>
      <c r="L75" t="str">
        <f>IF(A75="Q42026",COUNTIF($A$2:$A75,"Q42026"),"")</f>
        <v/>
      </c>
      <c r="M75" t="str">
        <f>IF(A75="Backlog",COUNTIF($A$2:$A75,"Backlog"),"")</f>
        <v/>
      </c>
    </row>
    <row r="76" spans="1:13">
      <c r="A76" t="str">
        <f>IF(AND('Q12026'!B77&lt;&gt;"",'Q12026'!E77&lt;&gt;""),'Q12026'!E77,"")</f>
        <v/>
      </c>
      <c r="B76" t="str">
        <f>IF(AND('Q12026'!B77&lt;&gt;"",'Q12026'!E77&lt;&gt;""),'Q12026'!B77,"")</f>
        <v/>
      </c>
      <c r="C76" t="str">
        <f>IF(AND('Q12026'!B77&lt;&gt;"",'Q12026'!E77&lt;&gt;""),'Q12026'!C77,"")</f>
        <v/>
      </c>
      <c r="D76" t="str">
        <f>IF(AND('Q12026'!B77&lt;&gt;"",'Q12026'!E77&lt;&gt;""),'Q12026'!D77,"")</f>
        <v/>
      </c>
      <c r="E76" t="str">
        <f>IF(AND('Q12026'!B77&lt;&gt;"",'Q12026'!E77&lt;&gt;""),'Q12026'!H77,"")</f>
        <v/>
      </c>
      <c r="F76" t="str">
        <f>IF(AND('Q12026'!B77&lt;&gt;"",'Q12026'!E77&lt;&gt;""),'Q12026'!F77,"")</f>
        <v/>
      </c>
      <c r="G76" t="str">
        <f>IF(AND('Q12026'!B77&lt;&gt;"",'Q12026'!E77&lt;&gt;""),'Q12026'!G77,"")</f>
        <v/>
      </c>
      <c r="H76" t="str">
        <f>IF(AND('Q12026'!B77&lt;&gt;"",'Q12026'!E77&lt;&gt;""),"Q12026","")</f>
        <v/>
      </c>
      <c r="I76" t="str">
        <f>IF(A76="Q12026",COUNTIF($A$2:$A76,"Q12026"),"")</f>
        <v/>
      </c>
      <c r="J76" t="str">
        <f>IF(A76="Q22026",COUNTIF($A$2:$A76,"Q22026"),"")</f>
        <v/>
      </c>
      <c r="K76" t="str">
        <f>IF(A76="Q32026",COUNTIF($A$2:$A76,"Q32026"),"")</f>
        <v/>
      </c>
      <c r="L76" t="str">
        <f>IF(A76="Q42026",COUNTIF($A$2:$A76,"Q42026"),"")</f>
        <v/>
      </c>
      <c r="M76" t="str">
        <f>IF(A76="Backlog",COUNTIF($A$2:$A76,"Backlog"),"")</f>
        <v/>
      </c>
    </row>
    <row r="77" spans="1:13">
      <c r="A77" t="str">
        <f>IF(AND('Q12026'!B78&lt;&gt;"",'Q12026'!E78&lt;&gt;""),'Q12026'!E78,"")</f>
        <v/>
      </c>
      <c r="B77" t="str">
        <f>IF(AND('Q12026'!B78&lt;&gt;"",'Q12026'!E78&lt;&gt;""),'Q12026'!B78,"")</f>
        <v/>
      </c>
      <c r="C77" t="str">
        <f>IF(AND('Q12026'!B78&lt;&gt;"",'Q12026'!E78&lt;&gt;""),'Q12026'!C78,"")</f>
        <v/>
      </c>
      <c r="D77" t="str">
        <f>IF(AND('Q12026'!B78&lt;&gt;"",'Q12026'!E78&lt;&gt;""),'Q12026'!D78,"")</f>
        <v/>
      </c>
      <c r="E77" t="str">
        <f>IF(AND('Q12026'!B78&lt;&gt;"",'Q12026'!E78&lt;&gt;""),'Q12026'!H78,"")</f>
        <v/>
      </c>
      <c r="F77" t="str">
        <f>IF(AND('Q12026'!B78&lt;&gt;"",'Q12026'!E78&lt;&gt;""),'Q12026'!F78,"")</f>
        <v/>
      </c>
      <c r="G77" t="str">
        <f>IF(AND('Q12026'!B78&lt;&gt;"",'Q12026'!E78&lt;&gt;""),'Q12026'!G78,"")</f>
        <v/>
      </c>
      <c r="H77" t="str">
        <f>IF(AND('Q12026'!B78&lt;&gt;"",'Q12026'!E78&lt;&gt;""),"Q12026","")</f>
        <v/>
      </c>
      <c r="I77" t="str">
        <f>IF(A77="Q12026",COUNTIF($A$2:$A77,"Q12026"),"")</f>
        <v/>
      </c>
      <c r="J77" t="str">
        <f>IF(A77="Q22026",COUNTIF($A$2:$A77,"Q22026"),"")</f>
        <v/>
      </c>
      <c r="K77" t="str">
        <f>IF(A77="Q32026",COUNTIF($A$2:$A77,"Q32026"),"")</f>
        <v/>
      </c>
      <c r="L77" t="str">
        <f>IF(A77="Q42026",COUNTIF($A$2:$A77,"Q42026"),"")</f>
        <v/>
      </c>
      <c r="M77" t="str">
        <f>IF(A77="Backlog",COUNTIF($A$2:$A77,"Backlog"),"")</f>
        <v/>
      </c>
    </row>
    <row r="78" spans="1:13">
      <c r="A78" t="str">
        <f>IF(AND('Q12026'!B79&lt;&gt;"",'Q12026'!E79&lt;&gt;""),'Q12026'!E79,"")</f>
        <v/>
      </c>
      <c r="B78" t="str">
        <f>IF(AND('Q12026'!B79&lt;&gt;"",'Q12026'!E79&lt;&gt;""),'Q12026'!B79,"")</f>
        <v/>
      </c>
      <c r="C78" t="str">
        <f>IF(AND('Q12026'!B79&lt;&gt;"",'Q12026'!E79&lt;&gt;""),'Q12026'!C79,"")</f>
        <v/>
      </c>
      <c r="D78" t="str">
        <f>IF(AND('Q12026'!B79&lt;&gt;"",'Q12026'!E79&lt;&gt;""),'Q12026'!D79,"")</f>
        <v/>
      </c>
      <c r="E78" t="str">
        <f>IF(AND('Q12026'!B79&lt;&gt;"",'Q12026'!E79&lt;&gt;""),'Q12026'!H79,"")</f>
        <v/>
      </c>
      <c r="F78" t="str">
        <f>IF(AND('Q12026'!B79&lt;&gt;"",'Q12026'!E79&lt;&gt;""),'Q12026'!F79,"")</f>
        <v/>
      </c>
      <c r="G78" t="str">
        <f>IF(AND('Q12026'!B79&lt;&gt;"",'Q12026'!E79&lt;&gt;""),'Q12026'!G79,"")</f>
        <v/>
      </c>
      <c r="H78" t="str">
        <f>IF(AND('Q12026'!B79&lt;&gt;"",'Q12026'!E79&lt;&gt;""),"Q12026","")</f>
        <v/>
      </c>
      <c r="I78" t="str">
        <f>IF(A78="Q12026",COUNTIF($A$2:$A78,"Q12026"),"")</f>
        <v/>
      </c>
      <c r="J78" t="str">
        <f>IF(A78="Q22026",COUNTIF($A$2:$A78,"Q22026"),"")</f>
        <v/>
      </c>
      <c r="K78" t="str">
        <f>IF(A78="Q32026",COUNTIF($A$2:$A78,"Q32026"),"")</f>
        <v/>
      </c>
      <c r="L78" t="str">
        <f>IF(A78="Q42026",COUNTIF($A$2:$A78,"Q42026"),"")</f>
        <v/>
      </c>
      <c r="M78" t="str">
        <f>IF(A78="Backlog",COUNTIF($A$2:$A78,"Backlog"),"")</f>
        <v/>
      </c>
    </row>
    <row r="79" spans="1:13">
      <c r="A79" t="str">
        <f>IF(AND('Q12026'!B80&lt;&gt;"",'Q12026'!E80&lt;&gt;""),'Q12026'!E80,"")</f>
        <v/>
      </c>
      <c r="B79" t="str">
        <f>IF(AND('Q12026'!B80&lt;&gt;"",'Q12026'!E80&lt;&gt;""),'Q12026'!B80,"")</f>
        <v/>
      </c>
      <c r="C79" t="str">
        <f>IF(AND('Q12026'!B80&lt;&gt;"",'Q12026'!E80&lt;&gt;""),'Q12026'!C80,"")</f>
        <v/>
      </c>
      <c r="D79" t="str">
        <f>IF(AND('Q12026'!B80&lt;&gt;"",'Q12026'!E80&lt;&gt;""),'Q12026'!D80,"")</f>
        <v/>
      </c>
      <c r="E79" t="str">
        <f>IF(AND('Q12026'!B80&lt;&gt;"",'Q12026'!E80&lt;&gt;""),'Q12026'!H80,"")</f>
        <v/>
      </c>
      <c r="F79" t="str">
        <f>IF(AND('Q12026'!B80&lt;&gt;"",'Q12026'!E80&lt;&gt;""),'Q12026'!F80,"")</f>
        <v/>
      </c>
      <c r="G79" t="str">
        <f>IF(AND('Q12026'!B80&lt;&gt;"",'Q12026'!E80&lt;&gt;""),'Q12026'!G80,"")</f>
        <v/>
      </c>
      <c r="H79" t="str">
        <f>IF(AND('Q12026'!B80&lt;&gt;"",'Q12026'!E80&lt;&gt;""),"Q12026","")</f>
        <v/>
      </c>
      <c r="I79" t="str">
        <f>IF(A79="Q12026",COUNTIF($A$2:$A79,"Q12026"),"")</f>
        <v/>
      </c>
      <c r="J79" t="str">
        <f>IF(A79="Q22026",COUNTIF($A$2:$A79,"Q22026"),"")</f>
        <v/>
      </c>
      <c r="K79" t="str">
        <f>IF(A79="Q32026",COUNTIF($A$2:$A79,"Q32026"),"")</f>
        <v/>
      </c>
      <c r="L79" t="str">
        <f>IF(A79="Q42026",COUNTIF($A$2:$A79,"Q42026"),"")</f>
        <v/>
      </c>
      <c r="M79" t="str">
        <f>IF(A79="Backlog",COUNTIF($A$2:$A79,"Backlog"),"")</f>
        <v/>
      </c>
    </row>
    <row r="80" spans="1:13">
      <c r="A80" t="str">
        <f>IF(AND('Q12026'!B81&lt;&gt;"",'Q12026'!E81&lt;&gt;""),'Q12026'!E81,"")</f>
        <v/>
      </c>
      <c r="B80" t="str">
        <f>IF(AND('Q12026'!B81&lt;&gt;"",'Q12026'!E81&lt;&gt;""),'Q12026'!B81,"")</f>
        <v/>
      </c>
      <c r="C80" t="str">
        <f>IF(AND('Q12026'!B81&lt;&gt;"",'Q12026'!E81&lt;&gt;""),'Q12026'!C81,"")</f>
        <v/>
      </c>
      <c r="D80" t="str">
        <f>IF(AND('Q12026'!B81&lt;&gt;"",'Q12026'!E81&lt;&gt;""),'Q12026'!D81,"")</f>
        <v/>
      </c>
      <c r="E80" t="str">
        <f>IF(AND('Q12026'!B81&lt;&gt;"",'Q12026'!E81&lt;&gt;""),'Q12026'!H81,"")</f>
        <v/>
      </c>
      <c r="F80" t="str">
        <f>IF(AND('Q12026'!B81&lt;&gt;"",'Q12026'!E81&lt;&gt;""),'Q12026'!F81,"")</f>
        <v/>
      </c>
      <c r="G80" t="str">
        <f>IF(AND('Q12026'!B81&lt;&gt;"",'Q12026'!E81&lt;&gt;""),'Q12026'!G81,"")</f>
        <v/>
      </c>
      <c r="H80" t="str">
        <f>IF(AND('Q12026'!B81&lt;&gt;"",'Q12026'!E81&lt;&gt;""),"Q12026","")</f>
        <v/>
      </c>
      <c r="I80" t="str">
        <f>IF(A80="Q12026",COUNTIF($A$2:$A80,"Q12026"),"")</f>
        <v/>
      </c>
      <c r="J80" t="str">
        <f>IF(A80="Q22026",COUNTIF($A$2:$A80,"Q22026"),"")</f>
        <v/>
      </c>
      <c r="K80" t="str">
        <f>IF(A80="Q32026",COUNTIF($A$2:$A80,"Q32026"),"")</f>
        <v/>
      </c>
      <c r="L80" t="str">
        <f>IF(A80="Q42026",COUNTIF($A$2:$A80,"Q42026"),"")</f>
        <v/>
      </c>
      <c r="M80" t="str">
        <f>IF(A80="Backlog",COUNTIF($A$2:$A80,"Backlog"),"")</f>
        <v/>
      </c>
    </row>
    <row r="81" spans="1:13">
      <c r="A81" t="str">
        <f>IF(AND('Q12026'!B82&lt;&gt;"",'Q12026'!E82&lt;&gt;""),'Q12026'!E82,"")</f>
        <v/>
      </c>
      <c r="B81" t="str">
        <f>IF(AND('Q12026'!B82&lt;&gt;"",'Q12026'!E82&lt;&gt;""),'Q12026'!B82,"")</f>
        <v/>
      </c>
      <c r="C81" t="str">
        <f>IF(AND('Q12026'!B82&lt;&gt;"",'Q12026'!E82&lt;&gt;""),'Q12026'!C82,"")</f>
        <v/>
      </c>
      <c r="D81" t="str">
        <f>IF(AND('Q12026'!B82&lt;&gt;"",'Q12026'!E82&lt;&gt;""),'Q12026'!D82,"")</f>
        <v/>
      </c>
      <c r="E81" t="str">
        <f>IF(AND('Q12026'!B82&lt;&gt;"",'Q12026'!E82&lt;&gt;""),'Q12026'!H82,"")</f>
        <v/>
      </c>
      <c r="F81" t="str">
        <f>IF(AND('Q12026'!B82&lt;&gt;"",'Q12026'!E82&lt;&gt;""),'Q12026'!F82,"")</f>
        <v/>
      </c>
      <c r="G81" t="str">
        <f>IF(AND('Q12026'!B82&lt;&gt;"",'Q12026'!E82&lt;&gt;""),'Q12026'!G82,"")</f>
        <v/>
      </c>
      <c r="H81" t="str">
        <f>IF(AND('Q12026'!B82&lt;&gt;"",'Q12026'!E82&lt;&gt;""),"Q12026","")</f>
        <v/>
      </c>
      <c r="I81" t="str">
        <f>IF(A81="Q12026",COUNTIF($A$2:$A81,"Q12026"),"")</f>
        <v/>
      </c>
      <c r="J81" t="str">
        <f>IF(A81="Q22026",COUNTIF($A$2:$A81,"Q22026"),"")</f>
        <v/>
      </c>
      <c r="K81" t="str">
        <f>IF(A81="Q32026",COUNTIF($A$2:$A81,"Q32026"),"")</f>
        <v/>
      </c>
      <c r="L81" t="str">
        <f>IF(A81="Q42026",COUNTIF($A$2:$A81,"Q42026"),"")</f>
        <v/>
      </c>
      <c r="M81" t="str">
        <f>IF(A81="Backlog",COUNTIF($A$2:$A81,"Backlog"),"")</f>
        <v/>
      </c>
    </row>
    <row r="82" spans="1:13">
      <c r="A82" t="str">
        <f>IF(AND('Q22026'!B3&lt;&gt;"",'Q22026'!E3&lt;&gt;""),'Q22026'!E3,"")</f>
        <v>Q22026</v>
      </c>
      <c r="B82" t="str">
        <f>IF(AND('Q22026'!B3&lt;&gt;"",'Q22026'!E3&lt;&gt;""),'Q22026'!B3,"")</f>
        <v>Apple iOS SDK Anforderungen</v>
      </c>
      <c r="C82" t="str">
        <f>IF(AND('Q22026'!B3&lt;&gt;"",'Q22026'!E3&lt;&gt;""),'Q22026'!C3,"")</f>
        <v>XL (&gt;40h)</v>
      </c>
      <c r="D82" t="str">
        <f>IF(AND('Q22026'!B3&lt;&gt;"",'Q22026'!E3&lt;&gt;""),'Q22026'!D3,"")</f>
        <v>Repair</v>
      </c>
      <c r="E82">
        <f>IF(AND('Q22026'!B3&lt;&gt;"",'Q22026'!E3&lt;&gt;""),'Q22026'!H3,"")</f>
        <v>48</v>
      </c>
      <c r="F82" t="str">
        <f>IF(AND('Q22026'!B3&lt;&gt;"",'Q22026'!E3&lt;&gt;""),'Q22026'!F3,"")</f>
        <v>Must</v>
      </c>
      <c r="G82" t="str">
        <f>IF(AND('Q22026'!B3&lt;&gt;"",'Q22026'!E3&lt;&gt;""),'Q22026'!G3,"")</f>
        <v>WEB</v>
      </c>
      <c r="H82" t="str">
        <f>IF(AND('Q22026'!B3&lt;&gt;"",'Q22026'!E3&lt;&gt;""),"Q22026","")</f>
        <v>Q22026</v>
      </c>
      <c r="I82" t="str">
        <f>IF(A82="Q12026",COUNTIF($A$2:$A82,"Q12026"),"")</f>
        <v/>
      </c>
      <c r="J82">
        <f>IF(A82="Q22026",COUNTIF($A$2:$A82,"Q22026"),"")</f>
        <v>1</v>
      </c>
      <c r="K82" t="str">
        <f>IF(A82="Q32026",COUNTIF($A$2:$A82,"Q32026"),"")</f>
        <v/>
      </c>
      <c r="L82" t="str">
        <f>IF(A82="Q42026",COUNTIF($A$2:$A82,"Q42026"),"")</f>
        <v/>
      </c>
      <c r="M82" t="str">
        <f>IF(A82="Backlog",COUNTIF($A$2:$A82,"Backlog"),"")</f>
        <v/>
      </c>
    </row>
    <row r="83" spans="1:13">
      <c r="A83" t="str">
        <f>IF(AND('Q22026'!B4&lt;&gt;"",'Q22026'!E4&lt;&gt;""),'Q22026'!E4,"")</f>
        <v>Q22026</v>
      </c>
      <c r="B83" t="str">
        <f>IF(AND('Q22026'!B4&lt;&gt;"",'Q22026'!E4&lt;&gt;""),'Q22026'!B4,"")</f>
        <v xml:space="preserve">mobilePeople.de - Vulnerabilitys Portal Live </v>
      </c>
      <c r="C83" t="str">
        <f>IF(AND('Q22026'!B4&lt;&gt;"",'Q22026'!E4&lt;&gt;""),'Q22026'!C4,"")</f>
        <v>XL (&gt;40h)</v>
      </c>
      <c r="D83" t="str">
        <f>IF(AND('Q22026'!B4&lt;&gt;"",'Q22026'!E4&lt;&gt;""),'Q22026'!D4,"")</f>
        <v>Repair</v>
      </c>
      <c r="E83">
        <f>IF(AND('Q22026'!B4&lt;&gt;"",'Q22026'!E4&lt;&gt;""),'Q22026'!H4,"")</f>
        <v>48</v>
      </c>
      <c r="F83" t="str">
        <f>IF(AND('Q22026'!B4&lt;&gt;"",'Q22026'!E4&lt;&gt;""),'Q22026'!F4,"")</f>
        <v>Must</v>
      </c>
      <c r="G83" t="str">
        <f>IF(AND('Q22026'!B4&lt;&gt;"",'Q22026'!E4&lt;&gt;""),'Q22026'!G4,"")</f>
        <v>WEB</v>
      </c>
      <c r="H83" t="str">
        <f>IF(AND('Q22026'!B4&lt;&gt;"",'Q22026'!E4&lt;&gt;""),"Q22026","")</f>
        <v>Q22026</v>
      </c>
      <c r="I83" t="str">
        <f>IF(A83="Q12026",COUNTIF($A$2:$A83,"Q12026"),"")</f>
        <v/>
      </c>
      <c r="J83">
        <f>IF(A83="Q22026",COUNTIF($A$2:$A83,"Q22026"),"")</f>
        <v>2</v>
      </c>
      <c r="K83" t="str">
        <f>IF(A83="Q32026",COUNTIF($A$2:$A83,"Q32026"),"")</f>
        <v/>
      </c>
      <c r="L83" t="str">
        <f>IF(A83="Q42026",COUNTIF($A$2:$A83,"Q42026"),"")</f>
        <v/>
      </c>
      <c r="M83" t="str">
        <f>IF(A83="Backlog",COUNTIF($A$2:$A83,"Backlog"),"")</f>
        <v/>
      </c>
    </row>
    <row r="84" spans="1:13">
      <c r="A84" t="str">
        <f>IF(AND('Q22026'!B5&lt;&gt;"",'Q22026'!E5&lt;&gt;""),'Q22026'!E5,"")</f>
        <v>Q22026</v>
      </c>
      <c r="B84" t="str">
        <f>IF(AND('Q22026'!B5&lt;&gt;"",'Q22026'!E5&lt;&gt;""),'Q22026'!B5,"")</f>
        <v>Webshop mit Newsletter Zustimmung</v>
      </c>
      <c r="C84" t="str">
        <f>IF(AND('Q22026'!B5&lt;&gt;"",'Q22026'!E5&lt;&gt;""),'Q22026'!C5,"")</f>
        <v>M (10-20h)</v>
      </c>
      <c r="D84" t="str">
        <f>IF(AND('Q22026'!B5&lt;&gt;"",'Q22026'!E5&lt;&gt;""),'Q22026'!D5,"")</f>
        <v>Strengthen</v>
      </c>
      <c r="E84">
        <f>IF(AND('Q22026'!B5&lt;&gt;"",'Q22026'!E5&lt;&gt;""),'Q22026'!H5,"")</f>
        <v>15</v>
      </c>
      <c r="F84" t="str">
        <f>IF(AND('Q22026'!B5&lt;&gt;"",'Q22026'!E5&lt;&gt;""),'Q22026'!F5,"")</f>
        <v>Should</v>
      </c>
      <c r="G84" t="str">
        <f>IF(AND('Q22026'!B5&lt;&gt;"",'Q22026'!E5&lt;&gt;""),'Q22026'!G5,"")</f>
        <v>WEB</v>
      </c>
      <c r="H84" t="str">
        <f>IF(AND('Q22026'!B5&lt;&gt;"",'Q22026'!E5&lt;&gt;""),"Q22026","")</f>
        <v>Q22026</v>
      </c>
      <c r="I84" t="str">
        <f>IF(A84="Q12026",COUNTIF($A$2:$A84,"Q12026"),"")</f>
        <v/>
      </c>
      <c r="J84">
        <f>IF(A84="Q22026",COUNTIF($A$2:$A84,"Q22026"),"")</f>
        <v>3</v>
      </c>
      <c r="K84" t="str">
        <f>IF(A84="Q32026",COUNTIF($A$2:$A84,"Q32026"),"")</f>
        <v/>
      </c>
      <c r="L84" t="str">
        <f>IF(A84="Q42026",COUNTIF($A$2:$A84,"Q42026"),"")</f>
        <v/>
      </c>
      <c r="M84" t="str">
        <f>IF(A84="Backlog",COUNTIF($A$2:$A84,"Backlog"),"")</f>
        <v/>
      </c>
    </row>
    <row r="85" spans="1:13">
      <c r="A85" t="str">
        <f>IF(AND('Q22026'!B6&lt;&gt;"",'Q22026'!E6&lt;&gt;""),'Q22026'!E6,"")</f>
        <v>Q22026</v>
      </c>
      <c r="B85" t="str">
        <f>IF(AND('Q22026'!B6&lt;&gt;"",'Q22026'!E6&lt;&gt;""),'Q22026'!B6,"")</f>
        <v>Ticketshop mit Kalender &amp; Anzahl</v>
      </c>
      <c r="C85" t="str">
        <f>IF(AND('Q22026'!B6&lt;&gt;"",'Q22026'!E6&lt;&gt;""),'Q22026'!C6,"")</f>
        <v>M (10-20h)</v>
      </c>
      <c r="D85" t="str">
        <f>IF(AND('Q22026'!B6&lt;&gt;"",'Q22026'!E6&lt;&gt;""),'Q22026'!D6,"")</f>
        <v>Strengthen</v>
      </c>
      <c r="E85">
        <f>IF(AND('Q22026'!B6&lt;&gt;"",'Q22026'!E6&lt;&gt;""),'Q22026'!H6,"")</f>
        <v>15</v>
      </c>
      <c r="F85" t="str">
        <f>IF(AND('Q22026'!B6&lt;&gt;"",'Q22026'!E6&lt;&gt;""),'Q22026'!F6,"")</f>
        <v>Must</v>
      </c>
      <c r="G85" t="str">
        <f>IF(AND('Q22026'!B6&lt;&gt;"",'Q22026'!E6&lt;&gt;""),'Q22026'!G6,"")</f>
        <v>WEB</v>
      </c>
      <c r="H85" t="str">
        <f>IF(AND('Q22026'!B6&lt;&gt;"",'Q22026'!E6&lt;&gt;""),"Q22026","")</f>
        <v>Q22026</v>
      </c>
      <c r="I85" t="str">
        <f>IF(A85="Q12026",COUNTIF($A$2:$A85,"Q12026"),"")</f>
        <v/>
      </c>
      <c r="J85">
        <f>IF(A85="Q22026",COUNTIF($A$2:$A85,"Q22026"),"")</f>
        <v>4</v>
      </c>
      <c r="K85" t="str">
        <f>IF(A85="Q32026",COUNTIF($A$2:$A85,"Q32026"),"")</f>
        <v/>
      </c>
      <c r="L85" t="str">
        <f>IF(A85="Q42026",COUNTIF($A$2:$A85,"Q42026"),"")</f>
        <v/>
      </c>
      <c r="M85" t="str">
        <f>IF(A85="Backlog",COUNTIF($A$2:$A85,"Backlog"),"")</f>
        <v/>
      </c>
    </row>
    <row r="86" spans="1:13">
      <c r="A86" t="str">
        <f>IF(AND('Q22026'!B7&lt;&gt;"",'Q22026'!E7&lt;&gt;""),'Q22026'!E7,"")</f>
        <v>Q22026</v>
      </c>
      <c r="B86" t="str">
        <f>IF(AND('Q22026'!B7&lt;&gt;"",'Q22026'!E7&lt;&gt;""),'Q22026'!B7,"")</f>
        <v>Optimierung SOT Sync</v>
      </c>
      <c r="C86" t="str">
        <f>IF(AND('Q22026'!B7&lt;&gt;"",'Q22026'!E7&lt;&gt;""),'Q22026'!C7,"")</f>
        <v>L (20-40h)</v>
      </c>
      <c r="D86" t="str">
        <f>IF(AND('Q22026'!B7&lt;&gt;"",'Q22026'!E7&lt;&gt;""),'Q22026'!D7,"")</f>
        <v>Repair</v>
      </c>
      <c r="E86">
        <f>IF(AND('Q22026'!B7&lt;&gt;"",'Q22026'!E7&lt;&gt;""),'Q22026'!H7,"")</f>
        <v>30</v>
      </c>
      <c r="F86" t="str">
        <f>IF(AND('Q22026'!B7&lt;&gt;"",'Q22026'!E7&lt;&gt;""),'Q22026'!F7,"")</f>
        <v>Must</v>
      </c>
      <c r="G86" t="str">
        <f>IF(AND('Q22026'!B7&lt;&gt;"",'Q22026'!E7&lt;&gt;""),'Q22026'!G7,"")</f>
        <v>WEB</v>
      </c>
      <c r="H86" t="str">
        <f>IF(AND('Q22026'!B7&lt;&gt;"",'Q22026'!E7&lt;&gt;""),"Q22026","")</f>
        <v>Q22026</v>
      </c>
      <c r="I86" t="str">
        <f>IF(A86="Q12026",COUNTIF($A$2:$A86,"Q12026"),"")</f>
        <v/>
      </c>
      <c r="J86">
        <f>IF(A86="Q22026",COUNTIF($A$2:$A86,"Q22026"),"")</f>
        <v>5</v>
      </c>
      <c r="K86" t="str">
        <f>IF(A86="Q32026",COUNTIF($A$2:$A86,"Q32026"),"")</f>
        <v/>
      </c>
      <c r="L86" t="str">
        <f>IF(A86="Q42026",COUNTIF($A$2:$A86,"Q42026"),"")</f>
        <v/>
      </c>
      <c r="M86" t="str">
        <f>IF(A86="Backlog",COUNTIF($A$2:$A86,"Backlog"),"")</f>
        <v/>
      </c>
    </row>
    <row r="87" spans="1:13">
      <c r="A87" t="str">
        <f>IF(AND('Q22026'!B8&lt;&gt;"",'Q22026'!E8&lt;&gt;""),'Q22026'!E8,"")</f>
        <v/>
      </c>
      <c r="B87" t="str">
        <f>IF(AND('Q22026'!B8&lt;&gt;"",'Q22026'!E8&lt;&gt;""),'Q22026'!B8,"")</f>
        <v/>
      </c>
      <c r="C87" t="str">
        <f>IF(AND('Q22026'!B8&lt;&gt;"",'Q22026'!E8&lt;&gt;""),'Q22026'!C8,"")</f>
        <v/>
      </c>
      <c r="D87" t="str">
        <f>IF(AND('Q22026'!B8&lt;&gt;"",'Q22026'!E8&lt;&gt;""),'Q22026'!D8,"")</f>
        <v/>
      </c>
      <c r="E87" t="str">
        <f>IF(AND('Q22026'!B8&lt;&gt;"",'Q22026'!E8&lt;&gt;""),'Q22026'!H8,"")</f>
        <v/>
      </c>
      <c r="F87" t="str">
        <f>IF(AND('Q22026'!B8&lt;&gt;"",'Q22026'!E8&lt;&gt;""),'Q22026'!F8,"")</f>
        <v/>
      </c>
      <c r="G87" t="str">
        <f>IF(AND('Q22026'!B8&lt;&gt;"",'Q22026'!E8&lt;&gt;""),'Q22026'!G8,"")</f>
        <v/>
      </c>
      <c r="H87" t="str">
        <f>IF(AND('Q22026'!B8&lt;&gt;"",'Q22026'!E8&lt;&gt;""),"Q22026","")</f>
        <v/>
      </c>
      <c r="I87" t="str">
        <f>IF(A87="Q12026",COUNTIF($A$2:$A87,"Q12026"),"")</f>
        <v/>
      </c>
      <c r="J87" t="str">
        <f>IF(A87="Q22026",COUNTIF($A$2:$A87,"Q22026"),"")</f>
        <v/>
      </c>
      <c r="K87" t="str">
        <f>IF(A87="Q32026",COUNTIF($A$2:$A87,"Q32026"),"")</f>
        <v/>
      </c>
      <c r="L87" t="str">
        <f>IF(A87="Q42026",COUNTIF($A$2:$A87,"Q42026"),"")</f>
        <v/>
      </c>
      <c r="M87" t="str">
        <f>IF(A87="Backlog",COUNTIF($A$2:$A87,"Backlog"),"")</f>
        <v/>
      </c>
    </row>
    <row r="88" spans="1:13">
      <c r="A88" t="str">
        <f>IF(AND('Q22026'!B9&lt;&gt;"",'Q22026'!E9&lt;&gt;""),'Q22026'!E9,"")</f>
        <v/>
      </c>
      <c r="B88" t="str">
        <f>IF(AND('Q22026'!B9&lt;&gt;"",'Q22026'!E9&lt;&gt;""),'Q22026'!B9,"")</f>
        <v/>
      </c>
      <c r="C88" t="str">
        <f>IF(AND('Q22026'!B9&lt;&gt;"",'Q22026'!E9&lt;&gt;""),'Q22026'!C9,"")</f>
        <v/>
      </c>
      <c r="D88" t="str">
        <f>IF(AND('Q22026'!B9&lt;&gt;"",'Q22026'!E9&lt;&gt;""),'Q22026'!D9,"")</f>
        <v/>
      </c>
      <c r="E88" t="str">
        <f>IF(AND('Q22026'!B9&lt;&gt;"",'Q22026'!E9&lt;&gt;""),'Q22026'!H9,"")</f>
        <v/>
      </c>
      <c r="F88" t="str">
        <f>IF(AND('Q22026'!B9&lt;&gt;"",'Q22026'!E9&lt;&gt;""),'Q22026'!F9,"")</f>
        <v/>
      </c>
      <c r="G88" t="str">
        <f>IF(AND('Q22026'!B9&lt;&gt;"",'Q22026'!E9&lt;&gt;""),'Q22026'!G9,"")</f>
        <v/>
      </c>
      <c r="H88" t="str">
        <f>IF(AND('Q22026'!B9&lt;&gt;"",'Q22026'!E9&lt;&gt;""),"Q22026","")</f>
        <v/>
      </c>
      <c r="I88" t="str">
        <f>IF(A88="Q12026",COUNTIF($A$2:$A88,"Q12026"),"")</f>
        <v/>
      </c>
      <c r="J88" t="str">
        <f>IF(A88="Q22026",COUNTIF($A$2:$A88,"Q22026"),"")</f>
        <v/>
      </c>
      <c r="K88" t="str">
        <f>IF(A88="Q32026",COUNTIF($A$2:$A88,"Q32026"),"")</f>
        <v/>
      </c>
      <c r="L88" t="str">
        <f>IF(A88="Q42026",COUNTIF($A$2:$A88,"Q42026"),"")</f>
        <v/>
      </c>
      <c r="M88" t="str">
        <f>IF(A88="Backlog",COUNTIF($A$2:$A88,"Backlog"),"")</f>
        <v/>
      </c>
    </row>
    <row r="89" spans="1:13">
      <c r="A89" t="str">
        <f>IF(AND('Q22026'!B10&lt;&gt;"",'Q22026'!E10&lt;&gt;""),'Q22026'!E10,"")</f>
        <v/>
      </c>
      <c r="B89" t="str">
        <f>IF(AND('Q22026'!B10&lt;&gt;"",'Q22026'!E10&lt;&gt;""),'Q22026'!B10,"")</f>
        <v/>
      </c>
      <c r="C89" t="str">
        <f>IF(AND('Q22026'!B10&lt;&gt;"",'Q22026'!E10&lt;&gt;""),'Q22026'!C10,"")</f>
        <v/>
      </c>
      <c r="D89" t="str">
        <f>IF(AND('Q22026'!B10&lt;&gt;"",'Q22026'!E10&lt;&gt;""),'Q22026'!D10,"")</f>
        <v/>
      </c>
      <c r="E89" t="str">
        <f>IF(AND('Q22026'!B10&lt;&gt;"",'Q22026'!E10&lt;&gt;""),'Q22026'!H10,"")</f>
        <v/>
      </c>
      <c r="F89" t="str">
        <f>IF(AND('Q22026'!B10&lt;&gt;"",'Q22026'!E10&lt;&gt;""),'Q22026'!F10,"")</f>
        <v/>
      </c>
      <c r="G89" t="str">
        <f>IF(AND('Q22026'!B10&lt;&gt;"",'Q22026'!E10&lt;&gt;""),'Q22026'!G10,"")</f>
        <v/>
      </c>
      <c r="H89" t="str">
        <f>IF(AND('Q22026'!B10&lt;&gt;"",'Q22026'!E10&lt;&gt;""),"Q22026","")</f>
        <v/>
      </c>
      <c r="I89" t="str">
        <f>IF(A89="Q12026",COUNTIF($A$2:$A89,"Q12026"),"")</f>
        <v/>
      </c>
      <c r="J89" t="str">
        <f>IF(A89="Q22026",COUNTIF($A$2:$A89,"Q22026"),"")</f>
        <v/>
      </c>
      <c r="K89" t="str">
        <f>IF(A89="Q32026",COUNTIF($A$2:$A89,"Q32026"),"")</f>
        <v/>
      </c>
      <c r="L89" t="str">
        <f>IF(A89="Q42026",COUNTIF($A$2:$A89,"Q42026"),"")</f>
        <v/>
      </c>
      <c r="M89" t="str">
        <f>IF(A89="Backlog",COUNTIF($A$2:$A89,"Backlog"),"")</f>
        <v/>
      </c>
    </row>
    <row r="90" spans="1:13">
      <c r="A90" t="str">
        <f>IF(AND('Q22026'!B11&lt;&gt;"",'Q22026'!E11&lt;&gt;""),'Q22026'!E11,"")</f>
        <v>Q22026</v>
      </c>
      <c r="B90" t="str">
        <f>IF(AND('Q22026'!B11&lt;&gt;"",'Q22026'!E11&lt;&gt;""),'Q22026'!B11,"")</f>
        <v>UHD | AI Agent - Support</v>
      </c>
      <c r="C90" t="str">
        <f>IF(AND('Q22026'!B11&lt;&gt;"",'Q22026'!E11&lt;&gt;""),'Q22026'!C11,"")</f>
        <v>L (20-40h)</v>
      </c>
      <c r="D90" t="str">
        <f>IF(AND('Q22026'!B11&lt;&gt;"",'Q22026'!E11&lt;&gt;""),'Q22026'!D11,"")</f>
        <v>Strengthen</v>
      </c>
      <c r="E90">
        <f>IF(AND('Q22026'!B11&lt;&gt;"",'Q22026'!E11&lt;&gt;""),'Q22026'!H11,"")</f>
        <v>30</v>
      </c>
      <c r="F90" t="str">
        <f>IF(AND('Q22026'!B11&lt;&gt;"",'Q22026'!E11&lt;&gt;""),'Q22026'!F11,"")</f>
        <v>Must</v>
      </c>
      <c r="G90" t="str">
        <f>IF(AND('Q22026'!B11&lt;&gt;"",'Q22026'!E11&lt;&gt;""),'Q22026'!G11,"")</f>
        <v>WEB</v>
      </c>
      <c r="H90" t="str">
        <f>IF(AND('Q22026'!B11&lt;&gt;"",'Q22026'!E11&lt;&gt;""),"Q22026","")</f>
        <v>Q22026</v>
      </c>
      <c r="I90" t="str">
        <f>IF(A90="Q12026",COUNTIF($A$2:$A90,"Q12026"),"")</f>
        <v/>
      </c>
      <c r="J90">
        <f>IF(A90="Q22026",COUNTIF($A$2:$A90,"Q22026"),"")</f>
        <v>6</v>
      </c>
      <c r="K90" t="str">
        <f>IF(A90="Q32026",COUNTIF($A$2:$A90,"Q32026"),"")</f>
        <v/>
      </c>
      <c r="L90" t="str">
        <f>IF(A90="Q42026",COUNTIF($A$2:$A90,"Q42026"),"")</f>
        <v/>
      </c>
      <c r="M90" t="str">
        <f>IF(A90="Backlog",COUNTIF($A$2:$A90,"Backlog"),"")</f>
        <v/>
      </c>
    </row>
    <row r="91" spans="1:13">
      <c r="A91" t="str">
        <f>IF(AND('Q22026'!B12&lt;&gt;"",'Q22026'!E12&lt;&gt;""),'Q22026'!E12,"")</f>
        <v/>
      </c>
      <c r="B91" t="str">
        <f>IF(AND('Q22026'!B12&lt;&gt;"",'Q22026'!E12&lt;&gt;""),'Q22026'!B12,"")</f>
        <v/>
      </c>
      <c r="C91" t="str">
        <f>IF(AND('Q22026'!B12&lt;&gt;"",'Q22026'!E12&lt;&gt;""),'Q22026'!C12,"")</f>
        <v/>
      </c>
      <c r="D91" t="str">
        <f>IF(AND('Q22026'!B12&lt;&gt;"",'Q22026'!E12&lt;&gt;""),'Q22026'!D12,"")</f>
        <v/>
      </c>
      <c r="E91" t="str">
        <f>IF(AND('Q22026'!B12&lt;&gt;"",'Q22026'!E12&lt;&gt;""),'Q22026'!H12,"")</f>
        <v/>
      </c>
      <c r="F91" t="str">
        <f>IF(AND('Q22026'!B12&lt;&gt;"",'Q22026'!E12&lt;&gt;""),'Q22026'!F12,"")</f>
        <v/>
      </c>
      <c r="G91" t="str">
        <f>IF(AND('Q22026'!B12&lt;&gt;"",'Q22026'!E12&lt;&gt;""),'Q22026'!G12,"")</f>
        <v/>
      </c>
      <c r="H91" t="str">
        <f>IF(AND('Q22026'!B12&lt;&gt;"",'Q22026'!E12&lt;&gt;""),"Q22026","")</f>
        <v/>
      </c>
      <c r="I91" t="str">
        <f>IF(A91="Q12026",COUNTIF($A$2:$A91,"Q12026"),"")</f>
        <v/>
      </c>
      <c r="J91" t="str">
        <f>IF(A91="Q22026",COUNTIF($A$2:$A91,"Q22026"),"")</f>
        <v/>
      </c>
      <c r="K91" t="str">
        <f>IF(A91="Q32026",COUNTIF($A$2:$A91,"Q32026"),"")</f>
        <v/>
      </c>
      <c r="L91" t="str">
        <f>IF(A91="Q42026",COUNTIF($A$2:$A91,"Q42026"),"")</f>
        <v/>
      </c>
      <c r="M91" t="str">
        <f>IF(A91="Backlog",COUNTIF($A$2:$A91,"Backlog"),"")</f>
        <v/>
      </c>
    </row>
    <row r="92" spans="1:13">
      <c r="A92" t="str">
        <f>IF(AND('Q22026'!B13&lt;&gt;"",'Q22026'!E13&lt;&gt;""),'Q22026'!E13,"")</f>
        <v/>
      </c>
      <c r="B92" t="str">
        <f>IF(AND('Q22026'!B13&lt;&gt;"",'Q22026'!E13&lt;&gt;""),'Q22026'!B13,"")</f>
        <v/>
      </c>
      <c r="C92" t="str">
        <f>IF(AND('Q22026'!B13&lt;&gt;"",'Q22026'!E13&lt;&gt;""),'Q22026'!C13,"")</f>
        <v/>
      </c>
      <c r="D92" t="str">
        <f>IF(AND('Q22026'!B13&lt;&gt;"",'Q22026'!E13&lt;&gt;""),'Q22026'!D13,"")</f>
        <v/>
      </c>
      <c r="E92" t="str">
        <f>IF(AND('Q22026'!B13&lt;&gt;"",'Q22026'!E13&lt;&gt;""),'Q22026'!H13,"")</f>
        <v/>
      </c>
      <c r="F92" t="str">
        <f>IF(AND('Q22026'!B13&lt;&gt;"",'Q22026'!E13&lt;&gt;""),'Q22026'!F13,"")</f>
        <v/>
      </c>
      <c r="G92" t="str">
        <f>IF(AND('Q22026'!B13&lt;&gt;"",'Q22026'!E13&lt;&gt;""),'Q22026'!G13,"")</f>
        <v/>
      </c>
      <c r="H92" t="str">
        <f>IF(AND('Q22026'!B13&lt;&gt;"",'Q22026'!E13&lt;&gt;""),"Q22026","")</f>
        <v/>
      </c>
      <c r="I92" t="str">
        <f>IF(A92="Q12026",COUNTIF($A$2:$A92,"Q12026"),"")</f>
        <v/>
      </c>
      <c r="J92" t="str">
        <f>IF(A92="Q22026",COUNTIF($A$2:$A92,"Q22026"),"")</f>
        <v/>
      </c>
      <c r="K92" t="str">
        <f>IF(A92="Q32026",COUNTIF($A$2:$A92,"Q32026"),"")</f>
        <v/>
      </c>
      <c r="L92" t="str">
        <f>IF(A92="Q42026",COUNTIF($A$2:$A92,"Q42026"),"")</f>
        <v/>
      </c>
      <c r="M92" t="str">
        <f>IF(A92="Backlog",COUNTIF($A$2:$A92,"Backlog"),"")</f>
        <v/>
      </c>
    </row>
    <row r="93" spans="1:13">
      <c r="A93" t="str">
        <f>IF(AND('Q22026'!B14&lt;&gt;"",'Q22026'!E14&lt;&gt;""),'Q22026'!E14,"")</f>
        <v>Q22026</v>
      </c>
      <c r="B93" t="str">
        <f>IF(AND('Q22026'!B14&lt;&gt;"",'Q22026'!E14&lt;&gt;""),'Q22026'!B14,"")</f>
        <v xml:space="preserve">3rd Party - Google Log In für APP </v>
      </c>
      <c r="C93" t="str">
        <f>IF(AND('Q22026'!B14&lt;&gt;"",'Q22026'!E14&lt;&gt;""),'Q22026'!C14,"")</f>
        <v>M (10-20h)</v>
      </c>
      <c r="D93" t="str">
        <f>IF(AND('Q22026'!B14&lt;&gt;"",'Q22026'!E14&lt;&gt;""),'Q22026'!D14,"")</f>
        <v>Repair</v>
      </c>
      <c r="E93">
        <f>IF(AND('Q22026'!B14&lt;&gt;"",'Q22026'!E14&lt;&gt;""),'Q22026'!H14,"")</f>
        <v>15</v>
      </c>
      <c r="F93" t="str">
        <f>IF(AND('Q22026'!B14&lt;&gt;"",'Q22026'!E14&lt;&gt;""),'Q22026'!F14,"")</f>
        <v>Must</v>
      </c>
      <c r="G93" t="str">
        <f>IF(AND('Q22026'!B14&lt;&gt;"",'Q22026'!E14&lt;&gt;""),'Q22026'!G14,"")</f>
        <v>WEB</v>
      </c>
      <c r="H93" t="str">
        <f>IF(AND('Q22026'!B14&lt;&gt;"",'Q22026'!E14&lt;&gt;""),"Q22026","")</f>
        <v>Q22026</v>
      </c>
      <c r="I93" t="str">
        <f>IF(A93="Q12026",COUNTIF($A$2:$A93,"Q12026"),"")</f>
        <v/>
      </c>
      <c r="J93">
        <f>IF(A93="Q22026",COUNTIF($A$2:$A93,"Q22026"),"")</f>
        <v>7</v>
      </c>
      <c r="K93" t="str">
        <f>IF(A93="Q32026",COUNTIF($A$2:$A93,"Q32026"),"")</f>
        <v/>
      </c>
      <c r="L93" t="str">
        <f>IF(A93="Q42026",COUNTIF($A$2:$A93,"Q42026"),"")</f>
        <v/>
      </c>
      <c r="M93" t="str">
        <f>IF(A93="Backlog",COUNTIF($A$2:$A93,"Backlog"),"")</f>
        <v/>
      </c>
    </row>
    <row r="94" spans="1:13">
      <c r="A94" t="str">
        <f>IF(AND('Q22026'!B15&lt;&gt;"",'Q22026'!E15&lt;&gt;""),'Q22026'!E15,"")</f>
        <v>Q22026</v>
      </c>
      <c r="B94" t="str">
        <f>IF(AND('Q22026'!B15&lt;&gt;"",'Q22026'!E15&lt;&gt;""),'Q22026'!B15,"")</f>
        <v xml:space="preserve">SIG#156 Landingpage -&gt; Bonuspunkte anzeigen </v>
      </c>
      <c r="C94" t="str">
        <f>IF(AND('Q22026'!B15&lt;&gt;"",'Q22026'!E15&lt;&gt;""),'Q22026'!C15,"")</f>
        <v>M (10-20h)</v>
      </c>
      <c r="D94" t="str">
        <f>IF(AND('Q22026'!B15&lt;&gt;"",'Q22026'!E15&lt;&gt;""),'Q22026'!D15,"")</f>
        <v>Strengthen</v>
      </c>
      <c r="E94">
        <f>IF(AND('Q22026'!B15&lt;&gt;"",'Q22026'!E15&lt;&gt;""),'Q22026'!H15,"")</f>
        <v>15</v>
      </c>
      <c r="F94" t="str">
        <f>IF(AND('Q22026'!B15&lt;&gt;"",'Q22026'!E15&lt;&gt;""),'Q22026'!F15,"")</f>
        <v>Must</v>
      </c>
      <c r="G94" t="str">
        <f>IF(AND('Q22026'!B15&lt;&gt;"",'Q22026'!E15&lt;&gt;""),'Q22026'!G15,"")</f>
        <v>WEB</v>
      </c>
      <c r="H94" t="str">
        <f>IF(AND('Q22026'!B15&lt;&gt;"",'Q22026'!E15&lt;&gt;""),"Q22026","")</f>
        <v>Q22026</v>
      </c>
      <c r="I94" t="str">
        <f>IF(A94="Q12026",COUNTIF($A$2:$A94,"Q12026"),"")</f>
        <v/>
      </c>
      <c r="J94">
        <f>IF(A94="Q22026",COUNTIF($A$2:$A94,"Q22026"),"")</f>
        <v>8</v>
      </c>
      <c r="K94" t="str">
        <f>IF(A94="Q32026",COUNTIF($A$2:$A94,"Q32026"),"")</f>
        <v/>
      </c>
      <c r="L94" t="str">
        <f>IF(A94="Q42026",COUNTIF($A$2:$A94,"Q42026"),"")</f>
        <v/>
      </c>
      <c r="M94" t="str">
        <f>IF(A94="Backlog",COUNTIF($A$2:$A94,"Backlog"),"")</f>
        <v/>
      </c>
    </row>
    <row r="95" spans="1:13">
      <c r="A95" t="str">
        <f>IF(AND('Q22026'!B16&lt;&gt;"",'Q22026'!E16&lt;&gt;""),'Q22026'!E16,"")</f>
        <v/>
      </c>
      <c r="B95" t="str">
        <f>IF(AND('Q22026'!B16&lt;&gt;"",'Q22026'!E16&lt;&gt;""),'Q22026'!B16,"")</f>
        <v/>
      </c>
      <c r="C95" t="str">
        <f>IF(AND('Q22026'!B16&lt;&gt;"",'Q22026'!E16&lt;&gt;""),'Q22026'!C16,"")</f>
        <v/>
      </c>
      <c r="D95" t="str">
        <f>IF(AND('Q22026'!B16&lt;&gt;"",'Q22026'!E16&lt;&gt;""),'Q22026'!D16,"")</f>
        <v/>
      </c>
      <c r="E95" t="str">
        <f>IF(AND('Q22026'!B16&lt;&gt;"",'Q22026'!E16&lt;&gt;""),'Q22026'!H16,"")</f>
        <v/>
      </c>
      <c r="F95" t="str">
        <f>IF(AND('Q22026'!B16&lt;&gt;"",'Q22026'!E16&lt;&gt;""),'Q22026'!F16,"")</f>
        <v/>
      </c>
      <c r="G95" t="str">
        <f>IF(AND('Q22026'!B16&lt;&gt;"",'Q22026'!E16&lt;&gt;""),'Q22026'!G16,"")</f>
        <v/>
      </c>
      <c r="H95" t="str">
        <f>IF(AND('Q22026'!B16&lt;&gt;"",'Q22026'!E16&lt;&gt;""),"Q22026","")</f>
        <v/>
      </c>
      <c r="I95" t="str">
        <f>IF(A95="Q12026",COUNTIF($A$2:$A95,"Q12026"),"")</f>
        <v/>
      </c>
      <c r="J95" t="str">
        <f>IF(A95="Q22026",COUNTIF($A$2:$A95,"Q22026"),"")</f>
        <v/>
      </c>
      <c r="K95" t="str">
        <f>IF(A95="Q32026",COUNTIF($A$2:$A95,"Q32026"),"")</f>
        <v/>
      </c>
      <c r="L95" t="str">
        <f>IF(A95="Q42026",COUNTIF($A$2:$A95,"Q42026"),"")</f>
        <v/>
      </c>
      <c r="M95" t="str">
        <f>IF(A95="Backlog",COUNTIF($A$2:$A95,"Backlog"),"")</f>
        <v/>
      </c>
    </row>
    <row r="96" spans="1:13">
      <c r="A96" t="str">
        <f>IF(AND('Q22026'!B17&lt;&gt;"",'Q22026'!E17&lt;&gt;""),'Q22026'!E17,"")</f>
        <v>Q22026</v>
      </c>
      <c r="B96" t="str">
        <f>IF(AND('Q22026'!B17&lt;&gt;"",'Q22026'!E17&lt;&gt;""),'Q22026'!B17,"")</f>
        <v>iCoupon</v>
      </c>
      <c r="C96" t="str">
        <f>IF(AND('Q22026'!B17&lt;&gt;"",'Q22026'!E17&lt;&gt;""),'Q22026'!C17,"")</f>
        <v>M (10-20h)</v>
      </c>
      <c r="D96" t="str">
        <f>IF(AND('Q22026'!B17&lt;&gt;"",'Q22026'!E17&lt;&gt;""),'Q22026'!D17,"")</f>
        <v>Strengthen</v>
      </c>
      <c r="E96">
        <f>IF(AND('Q22026'!B17&lt;&gt;"",'Q22026'!E17&lt;&gt;""),'Q22026'!H17,"")</f>
        <v>15</v>
      </c>
      <c r="F96" t="str">
        <f>IF(AND('Q22026'!B17&lt;&gt;"",'Q22026'!E17&lt;&gt;""),'Q22026'!F17,"")</f>
        <v>Should</v>
      </c>
      <c r="G96" t="str">
        <f>IF(AND('Q22026'!B17&lt;&gt;"",'Q22026'!E17&lt;&gt;""),'Q22026'!G17,"")</f>
        <v>Desktop</v>
      </c>
      <c r="H96" t="str">
        <f>IF(AND('Q22026'!B17&lt;&gt;"",'Q22026'!E17&lt;&gt;""),"Q22026","")</f>
        <v>Q22026</v>
      </c>
      <c r="I96" t="str">
        <f>IF(A96="Q12026",COUNTIF($A$2:$A96,"Q12026"),"")</f>
        <v/>
      </c>
      <c r="J96">
        <f>IF(A96="Q22026",COUNTIF($A$2:$A96,"Q22026"),"")</f>
        <v>9</v>
      </c>
      <c r="K96" t="str">
        <f>IF(A96="Q32026",COUNTIF($A$2:$A96,"Q32026"),"")</f>
        <v/>
      </c>
      <c r="L96" t="str">
        <f>IF(A96="Q42026",COUNTIF($A$2:$A96,"Q42026"),"")</f>
        <v/>
      </c>
      <c r="M96" t="str">
        <f>IF(A96="Backlog",COUNTIF($A$2:$A96,"Backlog"),"")</f>
        <v/>
      </c>
    </row>
    <row r="97" spans="1:13">
      <c r="A97" t="str">
        <f>IF(AND('Q22026'!B18&lt;&gt;"",'Q22026'!E18&lt;&gt;""),'Q22026'!E18,"")</f>
        <v>Q22026</v>
      </c>
      <c r="B97" t="str">
        <f>IF(AND('Q22026'!B18&lt;&gt;"",'Q22026'!E18&lt;&gt;""),'Q22026'!B18,"")</f>
        <v>Supportreduzierung: / Kontingent definieren</v>
      </c>
      <c r="C97" t="str">
        <f>IF(AND('Q22026'!B18&lt;&gt;"",'Q22026'!E18&lt;&gt;""),'Q22026'!C18,"")</f>
        <v>XXL (&gt;160h)</v>
      </c>
      <c r="D97" t="str">
        <f>IF(AND('Q22026'!B18&lt;&gt;"",'Q22026'!E18&lt;&gt;""),'Q22026'!D18,"")</f>
        <v>Repair</v>
      </c>
      <c r="E97">
        <f>IF(AND('Q22026'!B18&lt;&gt;"",'Q22026'!E18&lt;&gt;""),'Q22026'!H18,"")</f>
        <v>168</v>
      </c>
      <c r="F97" t="str">
        <f>IF(AND('Q22026'!B18&lt;&gt;"",'Q22026'!E18&lt;&gt;""),'Q22026'!F18,"")</f>
        <v>Must</v>
      </c>
      <c r="G97" t="str">
        <f>IF(AND('Q22026'!B18&lt;&gt;"",'Q22026'!E18&lt;&gt;""),'Q22026'!G18,"")</f>
        <v>Desktop</v>
      </c>
      <c r="H97" t="str">
        <f>IF(AND('Q22026'!B18&lt;&gt;"",'Q22026'!E18&lt;&gt;""),"Q22026","")</f>
        <v>Q22026</v>
      </c>
      <c r="I97" t="str">
        <f>IF(A97="Q12026",COUNTIF($A$2:$A97,"Q12026"),"")</f>
        <v/>
      </c>
      <c r="J97">
        <f>IF(A97="Q22026",COUNTIF($A$2:$A97,"Q22026"),"")</f>
        <v>10</v>
      </c>
      <c r="K97" t="str">
        <f>IF(A97="Q32026",COUNTIF($A$2:$A97,"Q32026"),"")</f>
        <v/>
      </c>
      <c r="L97" t="str">
        <f>IF(A97="Q42026",COUNTIF($A$2:$A97,"Q42026"),"")</f>
        <v/>
      </c>
      <c r="M97" t="str">
        <f>IF(A97="Backlog",COUNTIF($A$2:$A97,"Backlog"),"")</f>
        <v/>
      </c>
    </row>
    <row r="98" spans="1:13">
      <c r="A98" t="str">
        <f>IF(AND('Q22026'!B19&lt;&gt;"",'Q22026'!E19&lt;&gt;""),'Q22026'!E19,"")</f>
        <v>Q22026</v>
      </c>
      <c r="B98" t="str">
        <f>IF(AND('Q22026'!B19&lt;&gt;"",'Q22026'!E19&lt;&gt;""),'Q22026'!B19,"")</f>
        <v>Actian Umstellung</v>
      </c>
      <c r="C98" t="str">
        <f>IF(AND('Q22026'!B19&lt;&gt;"",'Q22026'!E19&lt;&gt;""),'Q22026'!C19,"")</f>
        <v>XXL (&gt;160h)</v>
      </c>
      <c r="D98" t="str">
        <f>IF(AND('Q22026'!B19&lt;&gt;"",'Q22026'!E19&lt;&gt;""),'Q22026'!D19,"")</f>
        <v>Repair</v>
      </c>
      <c r="E98">
        <f>IF(AND('Q22026'!B19&lt;&gt;"",'Q22026'!E19&lt;&gt;""),'Q22026'!H19,"")</f>
        <v>168</v>
      </c>
      <c r="F98" t="str">
        <f>IF(AND('Q22026'!B19&lt;&gt;"",'Q22026'!E19&lt;&gt;""),'Q22026'!F19,"")</f>
        <v>Must</v>
      </c>
      <c r="G98" t="str">
        <f>IF(AND('Q22026'!B19&lt;&gt;"",'Q22026'!E19&lt;&gt;""),'Q22026'!G19,"")</f>
        <v>Desktop</v>
      </c>
      <c r="H98" t="str">
        <f>IF(AND('Q22026'!B19&lt;&gt;"",'Q22026'!E19&lt;&gt;""),"Q22026","")</f>
        <v>Q22026</v>
      </c>
      <c r="I98" t="str">
        <f>IF(A98="Q12026",COUNTIF($A$2:$A98,"Q12026"),"")</f>
        <v/>
      </c>
      <c r="J98">
        <f>IF(A98="Q22026",COUNTIF($A$2:$A98,"Q22026"),"")</f>
        <v>11</v>
      </c>
      <c r="K98" t="str">
        <f>IF(A98="Q32026",COUNTIF($A$2:$A98,"Q32026"),"")</f>
        <v/>
      </c>
      <c r="L98" t="str">
        <f>IF(A98="Q42026",COUNTIF($A$2:$A98,"Q42026"),"")</f>
        <v/>
      </c>
      <c r="M98" t="str">
        <f>IF(A98="Backlog",COUNTIF($A$2:$A98,"Backlog"),"")</f>
        <v/>
      </c>
    </row>
    <row r="99" spans="1:13">
      <c r="A99" t="str">
        <f>IF(AND('Q22026'!B20&lt;&gt;"",'Q22026'!E20&lt;&gt;""),'Q22026'!E20,"")</f>
        <v>Q22026</v>
      </c>
      <c r="B99" t="str">
        <f>IF(AND('Q22026'!B20&lt;&gt;"",'Q22026'!E20&lt;&gt;""),'Q22026'!B20,"")</f>
        <v>ePOS mobile PRO V1</v>
      </c>
      <c r="C99" t="str">
        <f>IF(AND('Q22026'!B20&lt;&gt;"",'Q22026'!E20&lt;&gt;""),'Q22026'!C20,"")</f>
        <v>XL (&gt;40h)</v>
      </c>
      <c r="D99" t="str">
        <f>IF(AND('Q22026'!B20&lt;&gt;"",'Q22026'!E20&lt;&gt;""),'Q22026'!D20,"")</f>
        <v>Innovation</v>
      </c>
      <c r="E99">
        <f>IF(AND('Q22026'!B20&lt;&gt;"",'Q22026'!E20&lt;&gt;""),'Q22026'!H20,"")</f>
        <v>48</v>
      </c>
      <c r="F99" t="str">
        <f>IF(AND('Q22026'!B20&lt;&gt;"",'Q22026'!E20&lt;&gt;""),'Q22026'!F20,"")</f>
        <v>Must</v>
      </c>
      <c r="G99" t="str">
        <f>IF(AND('Q22026'!B20&lt;&gt;"",'Q22026'!E20&lt;&gt;""),'Q22026'!G20,"")</f>
        <v>Desktop</v>
      </c>
      <c r="H99" t="str">
        <f>IF(AND('Q22026'!B20&lt;&gt;"",'Q22026'!E20&lt;&gt;""),"Q22026","")</f>
        <v>Q22026</v>
      </c>
      <c r="I99" t="str">
        <f>IF(A99="Q12026",COUNTIF($A$2:$A99,"Q12026"),"")</f>
        <v/>
      </c>
      <c r="J99">
        <f>IF(A99="Q22026",COUNTIF($A$2:$A99,"Q22026"),"")</f>
        <v>12</v>
      </c>
      <c r="K99" t="str">
        <f>IF(A99="Q32026",COUNTIF($A$2:$A99,"Q32026"),"")</f>
        <v/>
      </c>
      <c r="L99" t="str">
        <f>IF(A99="Q42026",COUNTIF($A$2:$A99,"Q42026"),"")</f>
        <v/>
      </c>
      <c r="M99" t="str">
        <f>IF(A99="Backlog",COUNTIF($A$2:$A99,"Backlog"),"")</f>
        <v/>
      </c>
    </row>
    <row r="100" spans="1:13">
      <c r="A100" t="str">
        <f>IF(AND('Q22026'!B21&lt;&gt;"",'Q22026'!E21&lt;&gt;""),'Q22026'!E21,"")</f>
        <v>Q22026</v>
      </c>
      <c r="B100" t="str">
        <f>IF(AND('Q22026'!B21&lt;&gt;"",'Q22026'!E21&lt;&gt;""),'Q22026'!B21,"")</f>
        <v>Artikel-Tabellenbearbeitung auch Bilder (Shop) hinzufügen</v>
      </c>
      <c r="C100" t="str">
        <f>IF(AND('Q22026'!B21&lt;&gt;"",'Q22026'!E21&lt;&gt;""),'Q22026'!C21,"")</f>
        <v>M (10-20h)</v>
      </c>
      <c r="D100" t="str">
        <f>IF(AND('Q22026'!B21&lt;&gt;"",'Q22026'!E21&lt;&gt;""),'Q22026'!D21,"")</f>
        <v>Strengthen</v>
      </c>
      <c r="E100">
        <f>IF(AND('Q22026'!B21&lt;&gt;"",'Q22026'!E21&lt;&gt;""),'Q22026'!H21,"")</f>
        <v>15</v>
      </c>
      <c r="F100" t="str">
        <f>IF(AND('Q22026'!B21&lt;&gt;"",'Q22026'!E21&lt;&gt;""),'Q22026'!F21,"")</f>
        <v>Could</v>
      </c>
      <c r="G100" t="str">
        <f>IF(AND('Q22026'!B21&lt;&gt;"",'Q22026'!E21&lt;&gt;""),'Q22026'!G21,"")</f>
        <v>Desktop</v>
      </c>
      <c r="H100" t="str">
        <f>IF(AND('Q22026'!B21&lt;&gt;"",'Q22026'!E21&lt;&gt;""),"Q22026","")</f>
        <v>Q22026</v>
      </c>
      <c r="I100" t="str">
        <f>IF(A100="Q12026",COUNTIF($A$2:$A100,"Q12026"),"")</f>
        <v/>
      </c>
      <c r="J100">
        <f>IF(A100="Q22026",COUNTIF($A$2:$A100,"Q22026"),"")</f>
        <v>13</v>
      </c>
      <c r="K100" t="str">
        <f>IF(A100="Q32026",COUNTIF($A$2:$A100,"Q32026"),"")</f>
        <v/>
      </c>
      <c r="L100" t="str">
        <f>IF(A100="Q42026",COUNTIF($A$2:$A100,"Q42026"),"")</f>
        <v/>
      </c>
      <c r="M100" t="str">
        <f>IF(A100="Backlog",COUNTIF($A$2:$A100,"Backlog"),"")</f>
        <v/>
      </c>
    </row>
    <row r="101" spans="1:13">
      <c r="A101" t="str">
        <f>IF(AND('Q22026'!B22&lt;&gt;"",'Q22026'!E22&lt;&gt;""),'Q22026'!E22,"")</f>
        <v>Q22026</v>
      </c>
      <c r="B101" t="str">
        <f>IF(AND('Q22026'!B22&lt;&gt;"",'Q22026'!E22&lt;&gt;""),'Q22026'!B22,"")</f>
        <v>DSFinV-K: Verknüpfung von Bestellsignaturen</v>
      </c>
      <c r="C101" t="str">
        <f>IF(AND('Q22026'!B22&lt;&gt;"",'Q22026'!E22&lt;&gt;""),'Q22026'!C22,"")</f>
        <v>L (20-40h)</v>
      </c>
      <c r="D101" t="str">
        <f>IF(AND('Q22026'!B22&lt;&gt;"",'Q22026'!E22&lt;&gt;""),'Q22026'!D22,"")</f>
        <v>Strengthen</v>
      </c>
      <c r="E101">
        <f>IF(AND('Q22026'!B22&lt;&gt;"",'Q22026'!E22&lt;&gt;""),'Q22026'!H22,"")</f>
        <v>30</v>
      </c>
      <c r="F101" t="str">
        <f>IF(AND('Q22026'!B22&lt;&gt;"",'Q22026'!E22&lt;&gt;""),'Q22026'!F22,"")</f>
        <v>Must</v>
      </c>
      <c r="G101" t="str">
        <f>IF(AND('Q22026'!B22&lt;&gt;"",'Q22026'!E22&lt;&gt;""),'Q22026'!G22,"")</f>
        <v>Desktop</v>
      </c>
      <c r="H101" t="str">
        <f>IF(AND('Q22026'!B22&lt;&gt;"",'Q22026'!E22&lt;&gt;""),"Q22026","")</f>
        <v>Q22026</v>
      </c>
      <c r="I101" t="str">
        <f>IF(A101="Q12026",COUNTIF($A$2:$A101,"Q12026"),"")</f>
        <v/>
      </c>
      <c r="J101">
        <f>IF(A101="Q22026",COUNTIF($A$2:$A101,"Q22026"),"")</f>
        <v>14</v>
      </c>
      <c r="K101" t="str">
        <f>IF(A101="Q32026",COUNTIF($A$2:$A101,"Q32026"),"")</f>
        <v/>
      </c>
      <c r="L101" t="str">
        <f>IF(A101="Q42026",COUNTIF($A$2:$A101,"Q42026"),"")</f>
        <v/>
      </c>
      <c r="M101" t="str">
        <f>IF(A101="Backlog",COUNTIF($A$2:$A101,"Backlog"),"")</f>
        <v/>
      </c>
    </row>
    <row r="102" spans="1:13">
      <c r="A102" t="str">
        <f>IF(AND('Q22026'!B23&lt;&gt;"",'Q22026'!E23&lt;&gt;""),'Q22026'!E23,"")</f>
        <v/>
      </c>
      <c r="B102" t="str">
        <f>IF(AND('Q22026'!B23&lt;&gt;"",'Q22026'!E23&lt;&gt;""),'Q22026'!B23,"")</f>
        <v/>
      </c>
      <c r="C102" t="str">
        <f>IF(AND('Q22026'!B23&lt;&gt;"",'Q22026'!E23&lt;&gt;""),'Q22026'!C23,"")</f>
        <v/>
      </c>
      <c r="D102" t="str">
        <f>IF(AND('Q22026'!B23&lt;&gt;"",'Q22026'!E23&lt;&gt;""),'Q22026'!D23,"")</f>
        <v/>
      </c>
      <c r="E102" t="str">
        <f>IF(AND('Q22026'!B23&lt;&gt;"",'Q22026'!E23&lt;&gt;""),'Q22026'!H23,"")</f>
        <v/>
      </c>
      <c r="F102" t="str">
        <f>IF(AND('Q22026'!B23&lt;&gt;"",'Q22026'!E23&lt;&gt;""),'Q22026'!F23,"")</f>
        <v/>
      </c>
      <c r="G102" t="str">
        <f>IF(AND('Q22026'!B23&lt;&gt;"",'Q22026'!E23&lt;&gt;""),'Q22026'!G23,"")</f>
        <v/>
      </c>
      <c r="H102" t="str">
        <f>IF(AND('Q22026'!B23&lt;&gt;"",'Q22026'!E23&lt;&gt;""),"Q22026","")</f>
        <v/>
      </c>
      <c r="I102" t="str">
        <f>IF(A102="Q12026",COUNTIF($A$2:$A102,"Q12026"),"")</f>
        <v/>
      </c>
      <c r="J102" t="str">
        <f>IF(A102="Q22026",COUNTIF($A$2:$A102,"Q22026"),"")</f>
        <v/>
      </c>
      <c r="K102" t="str">
        <f>IF(A102="Q32026",COUNTIF($A$2:$A102,"Q32026"),"")</f>
        <v/>
      </c>
      <c r="L102" t="str">
        <f>IF(A102="Q42026",COUNTIF($A$2:$A102,"Q42026"),"")</f>
        <v/>
      </c>
      <c r="M102" t="str">
        <f>IF(A102="Backlog",COUNTIF($A$2:$A102,"Backlog"),"")</f>
        <v/>
      </c>
    </row>
    <row r="103" spans="1:13">
      <c r="A103" t="str">
        <f>IF(AND('Q22026'!B24&lt;&gt;"",'Q22026'!E24&lt;&gt;""),'Q22026'!E24,"")</f>
        <v/>
      </c>
      <c r="B103" t="str">
        <f>IF(AND('Q22026'!B24&lt;&gt;"",'Q22026'!E24&lt;&gt;""),'Q22026'!B24,"")</f>
        <v/>
      </c>
      <c r="C103" t="str">
        <f>IF(AND('Q22026'!B24&lt;&gt;"",'Q22026'!E24&lt;&gt;""),'Q22026'!C24,"")</f>
        <v/>
      </c>
      <c r="D103" t="str">
        <f>IF(AND('Q22026'!B24&lt;&gt;"",'Q22026'!E24&lt;&gt;""),'Q22026'!D24,"")</f>
        <v/>
      </c>
      <c r="E103" t="str">
        <f>IF(AND('Q22026'!B24&lt;&gt;"",'Q22026'!E24&lt;&gt;""),'Q22026'!H24,"")</f>
        <v/>
      </c>
      <c r="F103" t="str">
        <f>IF(AND('Q22026'!B24&lt;&gt;"",'Q22026'!E24&lt;&gt;""),'Q22026'!F24,"")</f>
        <v/>
      </c>
      <c r="G103" t="str">
        <f>IF(AND('Q22026'!B24&lt;&gt;"",'Q22026'!E24&lt;&gt;""),'Q22026'!G24,"")</f>
        <v/>
      </c>
      <c r="H103" t="str">
        <f>IF(AND('Q22026'!B24&lt;&gt;"",'Q22026'!E24&lt;&gt;""),"Q22026","")</f>
        <v/>
      </c>
      <c r="I103" t="str">
        <f>IF(A103="Q12026",COUNTIF($A$2:$A103,"Q12026"),"")</f>
        <v/>
      </c>
      <c r="J103" t="str">
        <f>IF(A103="Q22026",COUNTIF($A$2:$A103,"Q22026"),"")</f>
        <v/>
      </c>
      <c r="K103" t="str">
        <f>IF(A103="Q32026",COUNTIF($A$2:$A103,"Q32026"),"")</f>
        <v/>
      </c>
      <c r="L103" t="str">
        <f>IF(A103="Q42026",COUNTIF($A$2:$A103,"Q42026"),"")</f>
        <v/>
      </c>
      <c r="M103" t="str">
        <f>IF(A103="Backlog",COUNTIF($A$2:$A103,"Backlog"),"")</f>
        <v/>
      </c>
    </row>
    <row r="104" spans="1:13">
      <c r="A104" t="str">
        <f>IF(AND('Q22026'!B25&lt;&gt;"",'Q22026'!E25&lt;&gt;""),'Q22026'!E25,"")</f>
        <v/>
      </c>
      <c r="B104" t="str">
        <f>IF(AND('Q22026'!B25&lt;&gt;"",'Q22026'!E25&lt;&gt;""),'Q22026'!B25,"")</f>
        <v/>
      </c>
      <c r="C104" t="str">
        <f>IF(AND('Q22026'!B25&lt;&gt;"",'Q22026'!E25&lt;&gt;""),'Q22026'!C25,"")</f>
        <v/>
      </c>
      <c r="D104" t="str">
        <f>IF(AND('Q22026'!B25&lt;&gt;"",'Q22026'!E25&lt;&gt;""),'Q22026'!D25,"")</f>
        <v/>
      </c>
      <c r="E104" t="str">
        <f>IF(AND('Q22026'!B25&lt;&gt;"",'Q22026'!E25&lt;&gt;""),'Q22026'!H25,"")</f>
        <v/>
      </c>
      <c r="F104" t="str">
        <f>IF(AND('Q22026'!B25&lt;&gt;"",'Q22026'!E25&lt;&gt;""),'Q22026'!F25,"")</f>
        <v/>
      </c>
      <c r="G104" t="str">
        <f>IF(AND('Q22026'!B25&lt;&gt;"",'Q22026'!E25&lt;&gt;""),'Q22026'!G25,"")</f>
        <v/>
      </c>
      <c r="H104" t="str">
        <f>IF(AND('Q22026'!B25&lt;&gt;"",'Q22026'!E25&lt;&gt;""),"Q22026","")</f>
        <v/>
      </c>
      <c r="I104" t="str">
        <f>IF(A104="Q12026",COUNTIF($A$2:$A104,"Q12026"),"")</f>
        <v/>
      </c>
      <c r="J104" t="str">
        <f>IF(A104="Q22026",COUNTIF($A$2:$A104,"Q22026"),"")</f>
        <v/>
      </c>
      <c r="K104" t="str">
        <f>IF(A104="Q32026",COUNTIF($A$2:$A104,"Q32026"),"")</f>
        <v/>
      </c>
      <c r="L104" t="str">
        <f>IF(A104="Q42026",COUNTIF($A$2:$A104,"Q42026"),"")</f>
        <v/>
      </c>
      <c r="M104" t="str">
        <f>IF(A104="Backlog",COUNTIF($A$2:$A104,"Backlog"),"")</f>
        <v/>
      </c>
    </row>
    <row r="105" spans="1:13">
      <c r="A105" t="str">
        <f>IF(AND('Q22026'!B26&lt;&gt;"",'Q22026'!E26&lt;&gt;""),'Q22026'!E26,"")</f>
        <v/>
      </c>
      <c r="B105" t="str">
        <f>IF(AND('Q22026'!B26&lt;&gt;"",'Q22026'!E26&lt;&gt;""),'Q22026'!B26,"")</f>
        <v/>
      </c>
      <c r="C105" t="str">
        <f>IF(AND('Q22026'!B26&lt;&gt;"",'Q22026'!E26&lt;&gt;""),'Q22026'!C26,"")</f>
        <v/>
      </c>
      <c r="D105" t="str">
        <f>IF(AND('Q22026'!B26&lt;&gt;"",'Q22026'!E26&lt;&gt;""),'Q22026'!D26,"")</f>
        <v/>
      </c>
      <c r="E105" t="str">
        <f>IF(AND('Q22026'!B26&lt;&gt;"",'Q22026'!E26&lt;&gt;""),'Q22026'!H26,"")</f>
        <v/>
      </c>
      <c r="F105" t="str">
        <f>IF(AND('Q22026'!B26&lt;&gt;"",'Q22026'!E26&lt;&gt;""),'Q22026'!F26,"")</f>
        <v/>
      </c>
      <c r="G105" t="str">
        <f>IF(AND('Q22026'!B26&lt;&gt;"",'Q22026'!E26&lt;&gt;""),'Q22026'!G26,"")</f>
        <v/>
      </c>
      <c r="H105" t="str">
        <f>IF(AND('Q22026'!B26&lt;&gt;"",'Q22026'!E26&lt;&gt;""),"Q22026","")</f>
        <v/>
      </c>
      <c r="I105" t="str">
        <f>IF(A105="Q12026",COUNTIF($A$2:$A105,"Q12026"),"")</f>
        <v/>
      </c>
      <c r="J105" t="str">
        <f>IF(A105="Q22026",COUNTIF($A$2:$A105,"Q22026"),"")</f>
        <v/>
      </c>
      <c r="K105" t="str">
        <f>IF(A105="Q32026",COUNTIF($A$2:$A105,"Q32026"),"")</f>
        <v/>
      </c>
      <c r="L105" t="str">
        <f>IF(A105="Q42026",COUNTIF($A$2:$A105,"Q42026"),"")</f>
        <v/>
      </c>
      <c r="M105" t="str">
        <f>IF(A105="Backlog",COUNTIF($A$2:$A105,"Backlog"),"")</f>
        <v/>
      </c>
    </row>
    <row r="106" spans="1:13">
      <c r="A106" t="str">
        <f>IF(AND('Q22026'!B27&lt;&gt;"",'Q22026'!E27&lt;&gt;""),'Q22026'!E27,"")</f>
        <v/>
      </c>
      <c r="B106" t="str">
        <f>IF(AND('Q22026'!B27&lt;&gt;"",'Q22026'!E27&lt;&gt;""),'Q22026'!B27,"")</f>
        <v/>
      </c>
      <c r="C106" t="str">
        <f>IF(AND('Q22026'!B27&lt;&gt;"",'Q22026'!E27&lt;&gt;""),'Q22026'!C27,"")</f>
        <v/>
      </c>
      <c r="D106" t="str">
        <f>IF(AND('Q22026'!B27&lt;&gt;"",'Q22026'!E27&lt;&gt;""),'Q22026'!D27,"")</f>
        <v/>
      </c>
      <c r="E106" t="str">
        <f>IF(AND('Q22026'!B27&lt;&gt;"",'Q22026'!E27&lt;&gt;""),'Q22026'!H27,"")</f>
        <v/>
      </c>
      <c r="F106" t="str">
        <f>IF(AND('Q22026'!B27&lt;&gt;"",'Q22026'!E27&lt;&gt;""),'Q22026'!F27,"")</f>
        <v/>
      </c>
      <c r="G106" t="str">
        <f>IF(AND('Q22026'!B27&lt;&gt;"",'Q22026'!E27&lt;&gt;""),'Q22026'!G27,"")</f>
        <v/>
      </c>
      <c r="H106" t="str">
        <f>IF(AND('Q22026'!B27&lt;&gt;"",'Q22026'!E27&lt;&gt;""),"Q22026","")</f>
        <v/>
      </c>
      <c r="I106" t="str">
        <f>IF(A106="Q12026",COUNTIF($A$2:$A106,"Q12026"),"")</f>
        <v/>
      </c>
      <c r="J106" t="str">
        <f>IF(A106="Q22026",COUNTIF($A$2:$A106,"Q22026"),"")</f>
        <v/>
      </c>
      <c r="K106" t="str">
        <f>IF(A106="Q32026",COUNTIF($A$2:$A106,"Q32026"),"")</f>
        <v/>
      </c>
      <c r="L106" t="str">
        <f>IF(A106="Q42026",COUNTIF($A$2:$A106,"Q42026"),"")</f>
        <v/>
      </c>
      <c r="M106" t="str">
        <f>IF(A106="Backlog",COUNTIF($A$2:$A106,"Backlog"),"")</f>
        <v/>
      </c>
    </row>
    <row r="107" spans="1:13">
      <c r="A107" t="str">
        <f>IF(AND('Q22026'!B28&lt;&gt;"",'Q22026'!E28&lt;&gt;""),'Q22026'!E28,"")</f>
        <v/>
      </c>
      <c r="B107" t="str">
        <f>IF(AND('Q22026'!B28&lt;&gt;"",'Q22026'!E28&lt;&gt;""),'Q22026'!B28,"")</f>
        <v/>
      </c>
      <c r="C107" t="str">
        <f>IF(AND('Q22026'!B28&lt;&gt;"",'Q22026'!E28&lt;&gt;""),'Q22026'!C28,"")</f>
        <v/>
      </c>
      <c r="D107" t="str">
        <f>IF(AND('Q22026'!B28&lt;&gt;"",'Q22026'!E28&lt;&gt;""),'Q22026'!D28,"")</f>
        <v/>
      </c>
      <c r="E107" t="str">
        <f>IF(AND('Q22026'!B28&lt;&gt;"",'Q22026'!E28&lt;&gt;""),'Q22026'!H28,"")</f>
        <v/>
      </c>
      <c r="F107" t="str">
        <f>IF(AND('Q22026'!B28&lt;&gt;"",'Q22026'!E28&lt;&gt;""),'Q22026'!F28,"")</f>
        <v/>
      </c>
      <c r="G107" t="str">
        <f>IF(AND('Q22026'!B28&lt;&gt;"",'Q22026'!E28&lt;&gt;""),'Q22026'!G28,"")</f>
        <v/>
      </c>
      <c r="H107" t="str">
        <f>IF(AND('Q22026'!B28&lt;&gt;"",'Q22026'!E28&lt;&gt;""),"Q22026","")</f>
        <v/>
      </c>
      <c r="I107" t="str">
        <f>IF(A107="Q12026",COUNTIF($A$2:$A107,"Q12026"),"")</f>
        <v/>
      </c>
      <c r="J107" t="str">
        <f>IF(A107="Q22026",COUNTIF($A$2:$A107,"Q22026"),"")</f>
        <v/>
      </c>
      <c r="K107" t="str">
        <f>IF(A107="Q32026",COUNTIF($A$2:$A107,"Q32026"),"")</f>
        <v/>
      </c>
      <c r="L107" t="str">
        <f>IF(A107="Q42026",COUNTIF($A$2:$A107,"Q42026"),"")</f>
        <v/>
      </c>
      <c r="M107" t="str">
        <f>IF(A107="Backlog",COUNTIF($A$2:$A107,"Backlog"),"")</f>
        <v/>
      </c>
    </row>
    <row r="108" spans="1:13">
      <c r="A108" t="str">
        <f>IF(AND('Q22026'!B29&lt;&gt;"",'Q22026'!E29&lt;&gt;""),'Q22026'!E29,"")</f>
        <v/>
      </c>
      <c r="B108" t="str">
        <f>IF(AND('Q22026'!B29&lt;&gt;"",'Q22026'!E29&lt;&gt;""),'Q22026'!B29,"")</f>
        <v/>
      </c>
      <c r="C108" t="str">
        <f>IF(AND('Q22026'!B29&lt;&gt;"",'Q22026'!E29&lt;&gt;""),'Q22026'!C29,"")</f>
        <v/>
      </c>
      <c r="D108" t="str">
        <f>IF(AND('Q22026'!B29&lt;&gt;"",'Q22026'!E29&lt;&gt;""),'Q22026'!D29,"")</f>
        <v/>
      </c>
      <c r="E108" t="str">
        <f>IF(AND('Q22026'!B29&lt;&gt;"",'Q22026'!E29&lt;&gt;""),'Q22026'!H29,"")</f>
        <v/>
      </c>
      <c r="F108" t="str">
        <f>IF(AND('Q22026'!B29&lt;&gt;"",'Q22026'!E29&lt;&gt;""),'Q22026'!F29,"")</f>
        <v/>
      </c>
      <c r="G108" t="str">
        <f>IF(AND('Q22026'!B29&lt;&gt;"",'Q22026'!E29&lt;&gt;""),'Q22026'!G29,"")</f>
        <v/>
      </c>
      <c r="H108" t="str">
        <f>IF(AND('Q22026'!B29&lt;&gt;"",'Q22026'!E29&lt;&gt;""),"Q22026","")</f>
        <v/>
      </c>
      <c r="I108" t="str">
        <f>IF(A108="Q12026",COUNTIF($A$2:$A108,"Q12026"),"")</f>
        <v/>
      </c>
      <c r="J108" t="str">
        <f>IF(A108="Q22026",COUNTIF($A$2:$A108,"Q22026"),"")</f>
        <v/>
      </c>
      <c r="K108" t="str">
        <f>IF(A108="Q32026",COUNTIF($A$2:$A108,"Q32026"),"")</f>
        <v/>
      </c>
      <c r="L108" t="str">
        <f>IF(A108="Q42026",COUNTIF($A$2:$A108,"Q42026"),"")</f>
        <v/>
      </c>
      <c r="M108" t="str">
        <f>IF(A108="Backlog",COUNTIF($A$2:$A108,"Backlog"),"")</f>
        <v/>
      </c>
    </row>
    <row r="109" spans="1:13">
      <c r="A109" t="str">
        <f>IF(AND('Q22026'!B30&lt;&gt;"",'Q22026'!E30&lt;&gt;""),'Q22026'!E30,"")</f>
        <v/>
      </c>
      <c r="B109" t="str">
        <f>IF(AND('Q22026'!B30&lt;&gt;"",'Q22026'!E30&lt;&gt;""),'Q22026'!B30,"")</f>
        <v/>
      </c>
      <c r="C109" t="str">
        <f>IF(AND('Q22026'!B30&lt;&gt;"",'Q22026'!E30&lt;&gt;""),'Q22026'!C30,"")</f>
        <v/>
      </c>
      <c r="D109" t="str">
        <f>IF(AND('Q22026'!B30&lt;&gt;"",'Q22026'!E30&lt;&gt;""),'Q22026'!D30,"")</f>
        <v/>
      </c>
      <c r="E109" t="str">
        <f>IF(AND('Q22026'!B30&lt;&gt;"",'Q22026'!E30&lt;&gt;""),'Q22026'!H30,"")</f>
        <v/>
      </c>
      <c r="F109" t="str">
        <f>IF(AND('Q22026'!B30&lt;&gt;"",'Q22026'!E30&lt;&gt;""),'Q22026'!F30,"")</f>
        <v/>
      </c>
      <c r="G109" t="str">
        <f>IF(AND('Q22026'!B30&lt;&gt;"",'Q22026'!E30&lt;&gt;""),'Q22026'!G30,"")</f>
        <v/>
      </c>
      <c r="H109" t="str">
        <f>IF(AND('Q22026'!B30&lt;&gt;"",'Q22026'!E30&lt;&gt;""),"Q22026","")</f>
        <v/>
      </c>
      <c r="I109" t="str">
        <f>IF(A109="Q12026",COUNTIF($A$2:$A109,"Q12026"),"")</f>
        <v/>
      </c>
      <c r="J109" t="str">
        <f>IF(A109="Q22026",COUNTIF($A$2:$A109,"Q22026"),"")</f>
        <v/>
      </c>
      <c r="K109" t="str">
        <f>IF(A109="Q32026",COUNTIF($A$2:$A109,"Q32026"),"")</f>
        <v/>
      </c>
      <c r="L109" t="str">
        <f>IF(A109="Q42026",COUNTIF($A$2:$A109,"Q42026"),"")</f>
        <v/>
      </c>
      <c r="M109" t="str">
        <f>IF(A109="Backlog",COUNTIF($A$2:$A109,"Backlog"),"")</f>
        <v/>
      </c>
    </row>
    <row r="110" spans="1:13">
      <c r="A110" t="str">
        <f>IF(AND('Q22026'!B31&lt;&gt;"",'Q22026'!E31&lt;&gt;""),'Q22026'!E31,"")</f>
        <v/>
      </c>
      <c r="B110" t="str">
        <f>IF(AND('Q22026'!B31&lt;&gt;"",'Q22026'!E31&lt;&gt;""),'Q22026'!B31,"")</f>
        <v/>
      </c>
      <c r="C110" t="str">
        <f>IF(AND('Q22026'!B31&lt;&gt;"",'Q22026'!E31&lt;&gt;""),'Q22026'!C31,"")</f>
        <v/>
      </c>
      <c r="D110" t="str">
        <f>IF(AND('Q22026'!B31&lt;&gt;"",'Q22026'!E31&lt;&gt;""),'Q22026'!D31,"")</f>
        <v/>
      </c>
      <c r="E110" t="str">
        <f>IF(AND('Q22026'!B31&lt;&gt;"",'Q22026'!E31&lt;&gt;""),'Q22026'!H31,"")</f>
        <v/>
      </c>
      <c r="F110" t="str">
        <f>IF(AND('Q22026'!B31&lt;&gt;"",'Q22026'!E31&lt;&gt;""),'Q22026'!F31,"")</f>
        <v/>
      </c>
      <c r="G110" t="str">
        <f>IF(AND('Q22026'!B31&lt;&gt;"",'Q22026'!E31&lt;&gt;""),'Q22026'!G31,"")</f>
        <v/>
      </c>
      <c r="H110" t="str">
        <f>IF(AND('Q22026'!B31&lt;&gt;"",'Q22026'!E31&lt;&gt;""),"Q22026","")</f>
        <v/>
      </c>
      <c r="I110" t="str">
        <f>IF(A110="Q12026",COUNTIF($A$2:$A110,"Q12026"),"")</f>
        <v/>
      </c>
      <c r="J110" t="str">
        <f>IF(A110="Q22026",COUNTIF($A$2:$A110,"Q22026"),"")</f>
        <v/>
      </c>
      <c r="K110" t="str">
        <f>IF(A110="Q32026",COUNTIF($A$2:$A110,"Q32026"),"")</f>
        <v/>
      </c>
      <c r="L110" t="str">
        <f>IF(A110="Q42026",COUNTIF($A$2:$A110,"Q42026"),"")</f>
        <v/>
      </c>
      <c r="M110" t="str">
        <f>IF(A110="Backlog",COUNTIF($A$2:$A110,"Backlog"),"")</f>
        <v/>
      </c>
    </row>
    <row r="111" spans="1:13">
      <c r="A111" t="str">
        <f>IF(AND('Q22026'!B32&lt;&gt;"",'Q22026'!E32&lt;&gt;""),'Q22026'!E32,"")</f>
        <v/>
      </c>
      <c r="B111" t="str">
        <f>IF(AND('Q22026'!B32&lt;&gt;"",'Q22026'!E32&lt;&gt;""),'Q22026'!B32,"")</f>
        <v/>
      </c>
      <c r="C111" t="str">
        <f>IF(AND('Q22026'!B32&lt;&gt;"",'Q22026'!E32&lt;&gt;""),'Q22026'!C32,"")</f>
        <v/>
      </c>
      <c r="D111" t="str">
        <f>IF(AND('Q22026'!B32&lt;&gt;"",'Q22026'!E32&lt;&gt;""),'Q22026'!D32,"")</f>
        <v/>
      </c>
      <c r="E111" t="str">
        <f>IF(AND('Q22026'!B32&lt;&gt;"",'Q22026'!E32&lt;&gt;""),'Q22026'!H32,"")</f>
        <v/>
      </c>
      <c r="F111" t="str">
        <f>IF(AND('Q22026'!B32&lt;&gt;"",'Q22026'!E32&lt;&gt;""),'Q22026'!F32,"")</f>
        <v/>
      </c>
      <c r="G111" t="str">
        <f>IF(AND('Q22026'!B32&lt;&gt;"",'Q22026'!E32&lt;&gt;""),'Q22026'!G32,"")</f>
        <v/>
      </c>
      <c r="H111" t="str">
        <f>IF(AND('Q22026'!B32&lt;&gt;"",'Q22026'!E32&lt;&gt;""),"Q22026","")</f>
        <v/>
      </c>
      <c r="I111" t="str">
        <f>IF(A111="Q12026",COUNTIF($A$2:$A111,"Q12026"),"")</f>
        <v/>
      </c>
      <c r="J111" t="str">
        <f>IF(A111="Q22026",COUNTIF($A$2:$A111,"Q22026"),"")</f>
        <v/>
      </c>
      <c r="K111" t="str">
        <f>IF(A111="Q32026",COUNTIF($A$2:$A111,"Q32026"),"")</f>
        <v/>
      </c>
      <c r="L111" t="str">
        <f>IF(A111="Q42026",COUNTIF($A$2:$A111,"Q42026"),"")</f>
        <v/>
      </c>
      <c r="M111" t="str">
        <f>IF(A111="Backlog",COUNTIF($A$2:$A111,"Backlog"),"")</f>
        <v/>
      </c>
    </row>
    <row r="112" spans="1:13">
      <c r="A112" t="str">
        <f>IF(AND('Q22026'!B33&lt;&gt;"",'Q22026'!E33&lt;&gt;""),'Q22026'!E33,"")</f>
        <v/>
      </c>
      <c r="B112" t="str">
        <f>IF(AND('Q22026'!B33&lt;&gt;"",'Q22026'!E33&lt;&gt;""),'Q22026'!B33,"")</f>
        <v/>
      </c>
      <c r="C112" t="str">
        <f>IF(AND('Q22026'!B33&lt;&gt;"",'Q22026'!E33&lt;&gt;""),'Q22026'!C33,"")</f>
        <v/>
      </c>
      <c r="D112" t="str">
        <f>IF(AND('Q22026'!B33&lt;&gt;"",'Q22026'!E33&lt;&gt;""),'Q22026'!D33,"")</f>
        <v/>
      </c>
      <c r="E112" t="str">
        <f>IF(AND('Q22026'!B33&lt;&gt;"",'Q22026'!E33&lt;&gt;""),'Q22026'!H33,"")</f>
        <v/>
      </c>
      <c r="F112" t="str">
        <f>IF(AND('Q22026'!B33&lt;&gt;"",'Q22026'!E33&lt;&gt;""),'Q22026'!F33,"")</f>
        <v/>
      </c>
      <c r="G112" t="str">
        <f>IF(AND('Q22026'!B33&lt;&gt;"",'Q22026'!E33&lt;&gt;""),'Q22026'!G33,"")</f>
        <v/>
      </c>
      <c r="H112" t="str">
        <f>IF(AND('Q22026'!B33&lt;&gt;"",'Q22026'!E33&lt;&gt;""),"Q22026","")</f>
        <v/>
      </c>
      <c r="I112" t="str">
        <f>IF(A112="Q12026",COUNTIF($A$2:$A112,"Q12026"),"")</f>
        <v/>
      </c>
      <c r="J112" t="str">
        <f>IF(A112="Q22026",COUNTIF($A$2:$A112,"Q22026"),"")</f>
        <v/>
      </c>
      <c r="K112" t="str">
        <f>IF(A112="Q32026",COUNTIF($A$2:$A112,"Q32026"),"")</f>
        <v/>
      </c>
      <c r="L112" t="str">
        <f>IF(A112="Q42026",COUNTIF($A$2:$A112,"Q42026"),"")</f>
        <v/>
      </c>
      <c r="M112" t="str">
        <f>IF(A112="Backlog",COUNTIF($A$2:$A112,"Backlog"),"")</f>
        <v/>
      </c>
    </row>
    <row r="113" spans="1:13">
      <c r="A113" t="str">
        <f>IF(AND('Q22026'!B34&lt;&gt;"",'Q22026'!E34&lt;&gt;""),'Q22026'!E34,"")</f>
        <v/>
      </c>
      <c r="B113" t="str">
        <f>IF(AND('Q22026'!B34&lt;&gt;"",'Q22026'!E34&lt;&gt;""),'Q22026'!B34,"")</f>
        <v/>
      </c>
      <c r="C113" t="str">
        <f>IF(AND('Q22026'!B34&lt;&gt;"",'Q22026'!E34&lt;&gt;""),'Q22026'!C34,"")</f>
        <v/>
      </c>
      <c r="D113" t="str">
        <f>IF(AND('Q22026'!B34&lt;&gt;"",'Q22026'!E34&lt;&gt;""),'Q22026'!D34,"")</f>
        <v/>
      </c>
      <c r="E113" t="str">
        <f>IF(AND('Q22026'!B34&lt;&gt;"",'Q22026'!E34&lt;&gt;""),'Q22026'!H34,"")</f>
        <v/>
      </c>
      <c r="F113" t="str">
        <f>IF(AND('Q22026'!B34&lt;&gt;"",'Q22026'!E34&lt;&gt;""),'Q22026'!F34,"")</f>
        <v/>
      </c>
      <c r="G113" t="str">
        <f>IF(AND('Q22026'!B34&lt;&gt;"",'Q22026'!E34&lt;&gt;""),'Q22026'!G34,"")</f>
        <v/>
      </c>
      <c r="H113" t="str">
        <f>IF(AND('Q22026'!B34&lt;&gt;"",'Q22026'!E34&lt;&gt;""),"Q22026","")</f>
        <v/>
      </c>
      <c r="I113" t="str">
        <f>IF(A113="Q12026",COUNTIF($A$2:$A113,"Q12026"),"")</f>
        <v/>
      </c>
      <c r="J113" t="str">
        <f>IF(A113="Q22026",COUNTIF($A$2:$A113,"Q22026"),"")</f>
        <v/>
      </c>
      <c r="K113" t="str">
        <f>IF(A113="Q32026",COUNTIF($A$2:$A113,"Q32026"),"")</f>
        <v/>
      </c>
      <c r="L113" t="str">
        <f>IF(A113="Q42026",COUNTIF($A$2:$A113,"Q42026"),"")</f>
        <v/>
      </c>
      <c r="M113" t="str">
        <f>IF(A113="Backlog",COUNTIF($A$2:$A113,"Backlog"),"")</f>
        <v/>
      </c>
    </row>
    <row r="114" spans="1:13">
      <c r="A114" t="str">
        <f>IF(AND('Q22026'!B35&lt;&gt;"",'Q22026'!E35&lt;&gt;""),'Q22026'!E35,"")</f>
        <v/>
      </c>
      <c r="B114" t="str">
        <f>IF(AND('Q22026'!B35&lt;&gt;"",'Q22026'!E35&lt;&gt;""),'Q22026'!B35,"")</f>
        <v/>
      </c>
      <c r="C114" t="str">
        <f>IF(AND('Q22026'!B35&lt;&gt;"",'Q22026'!E35&lt;&gt;""),'Q22026'!C35,"")</f>
        <v/>
      </c>
      <c r="D114" t="str">
        <f>IF(AND('Q22026'!B35&lt;&gt;"",'Q22026'!E35&lt;&gt;""),'Q22026'!D35,"")</f>
        <v/>
      </c>
      <c r="E114" t="str">
        <f>IF(AND('Q22026'!B35&lt;&gt;"",'Q22026'!E35&lt;&gt;""),'Q22026'!H35,"")</f>
        <v/>
      </c>
      <c r="F114" t="str">
        <f>IF(AND('Q22026'!B35&lt;&gt;"",'Q22026'!E35&lt;&gt;""),'Q22026'!F35,"")</f>
        <v/>
      </c>
      <c r="G114" t="str">
        <f>IF(AND('Q22026'!B35&lt;&gt;"",'Q22026'!E35&lt;&gt;""),'Q22026'!G35,"")</f>
        <v/>
      </c>
      <c r="H114" t="str">
        <f>IF(AND('Q22026'!B35&lt;&gt;"",'Q22026'!E35&lt;&gt;""),"Q22026","")</f>
        <v/>
      </c>
      <c r="I114" t="str">
        <f>IF(A114="Q12026",COUNTIF($A$2:$A114,"Q12026"),"")</f>
        <v/>
      </c>
      <c r="J114" t="str">
        <f>IF(A114="Q22026",COUNTIF($A$2:$A114,"Q22026"),"")</f>
        <v/>
      </c>
      <c r="K114" t="str">
        <f>IF(A114="Q32026",COUNTIF($A$2:$A114,"Q32026"),"")</f>
        <v/>
      </c>
      <c r="L114" t="str">
        <f>IF(A114="Q42026",COUNTIF($A$2:$A114,"Q42026"),"")</f>
        <v/>
      </c>
      <c r="M114" t="str">
        <f>IF(A114="Backlog",COUNTIF($A$2:$A114,"Backlog"),"")</f>
        <v/>
      </c>
    </row>
    <row r="115" spans="1:13">
      <c r="A115" t="str">
        <f>IF(AND('Q22026'!B36&lt;&gt;"",'Q22026'!E36&lt;&gt;""),'Q22026'!E36,"")</f>
        <v/>
      </c>
      <c r="B115" t="str">
        <f>IF(AND('Q22026'!B36&lt;&gt;"",'Q22026'!E36&lt;&gt;""),'Q22026'!B36,"")</f>
        <v/>
      </c>
      <c r="C115" t="str">
        <f>IF(AND('Q22026'!B36&lt;&gt;"",'Q22026'!E36&lt;&gt;""),'Q22026'!C36,"")</f>
        <v/>
      </c>
      <c r="D115" t="str">
        <f>IF(AND('Q22026'!B36&lt;&gt;"",'Q22026'!E36&lt;&gt;""),'Q22026'!D36,"")</f>
        <v/>
      </c>
      <c r="E115" t="str">
        <f>IF(AND('Q22026'!B36&lt;&gt;"",'Q22026'!E36&lt;&gt;""),'Q22026'!H36,"")</f>
        <v/>
      </c>
      <c r="F115" t="str">
        <f>IF(AND('Q22026'!B36&lt;&gt;"",'Q22026'!E36&lt;&gt;""),'Q22026'!F36,"")</f>
        <v/>
      </c>
      <c r="G115" t="str">
        <f>IF(AND('Q22026'!B36&lt;&gt;"",'Q22026'!E36&lt;&gt;""),'Q22026'!G36,"")</f>
        <v/>
      </c>
      <c r="H115" t="str">
        <f>IF(AND('Q22026'!B36&lt;&gt;"",'Q22026'!E36&lt;&gt;""),"Q22026","")</f>
        <v/>
      </c>
      <c r="I115" t="str">
        <f>IF(A115="Q12026",COUNTIF($A$2:$A115,"Q12026"),"")</f>
        <v/>
      </c>
      <c r="J115" t="str">
        <f>IF(A115="Q22026",COUNTIF($A$2:$A115,"Q22026"),"")</f>
        <v/>
      </c>
      <c r="K115" t="str">
        <f>IF(A115="Q32026",COUNTIF($A$2:$A115,"Q32026"),"")</f>
        <v/>
      </c>
      <c r="L115" t="str">
        <f>IF(A115="Q42026",COUNTIF($A$2:$A115,"Q42026"),"")</f>
        <v/>
      </c>
      <c r="M115" t="str">
        <f>IF(A115="Backlog",COUNTIF($A$2:$A115,"Backlog"),"")</f>
        <v/>
      </c>
    </row>
    <row r="116" spans="1:13">
      <c r="A116" t="str">
        <f>IF(AND('Q22026'!B37&lt;&gt;"",'Q22026'!E37&lt;&gt;""),'Q22026'!E37,"")</f>
        <v/>
      </c>
      <c r="B116" t="str">
        <f>IF(AND('Q22026'!B37&lt;&gt;"",'Q22026'!E37&lt;&gt;""),'Q22026'!B37,"")</f>
        <v/>
      </c>
      <c r="C116" t="str">
        <f>IF(AND('Q22026'!B37&lt;&gt;"",'Q22026'!E37&lt;&gt;""),'Q22026'!C37,"")</f>
        <v/>
      </c>
      <c r="D116" t="str">
        <f>IF(AND('Q22026'!B37&lt;&gt;"",'Q22026'!E37&lt;&gt;""),'Q22026'!D37,"")</f>
        <v/>
      </c>
      <c r="E116" t="str">
        <f>IF(AND('Q22026'!B37&lt;&gt;"",'Q22026'!E37&lt;&gt;""),'Q22026'!H37,"")</f>
        <v/>
      </c>
      <c r="F116" t="str">
        <f>IF(AND('Q22026'!B37&lt;&gt;"",'Q22026'!E37&lt;&gt;""),'Q22026'!F37,"")</f>
        <v/>
      </c>
      <c r="G116" t="str">
        <f>IF(AND('Q22026'!B37&lt;&gt;"",'Q22026'!E37&lt;&gt;""),'Q22026'!G37,"")</f>
        <v/>
      </c>
      <c r="H116" t="str">
        <f>IF(AND('Q22026'!B37&lt;&gt;"",'Q22026'!E37&lt;&gt;""),"Q22026","")</f>
        <v/>
      </c>
      <c r="I116" t="str">
        <f>IF(A116="Q12026",COUNTIF($A$2:$A116,"Q12026"),"")</f>
        <v/>
      </c>
      <c r="J116" t="str">
        <f>IF(A116="Q22026",COUNTIF($A$2:$A116,"Q22026"),"")</f>
        <v/>
      </c>
      <c r="K116" t="str">
        <f>IF(A116="Q32026",COUNTIF($A$2:$A116,"Q32026"),"")</f>
        <v/>
      </c>
      <c r="L116" t="str">
        <f>IF(A116="Q42026",COUNTIF($A$2:$A116,"Q42026"),"")</f>
        <v/>
      </c>
      <c r="M116" t="str">
        <f>IF(A116="Backlog",COUNTIF($A$2:$A116,"Backlog"),"")</f>
        <v/>
      </c>
    </row>
    <row r="117" spans="1:13">
      <c r="A117" t="str">
        <f>IF(AND('Q22026'!B38&lt;&gt;"",'Q22026'!E38&lt;&gt;""),'Q22026'!E38,"")</f>
        <v/>
      </c>
      <c r="B117" t="str">
        <f>IF(AND('Q22026'!B38&lt;&gt;"",'Q22026'!E38&lt;&gt;""),'Q22026'!B38,"")</f>
        <v/>
      </c>
      <c r="C117" t="str">
        <f>IF(AND('Q22026'!B38&lt;&gt;"",'Q22026'!E38&lt;&gt;""),'Q22026'!C38,"")</f>
        <v/>
      </c>
      <c r="D117" t="str">
        <f>IF(AND('Q22026'!B38&lt;&gt;"",'Q22026'!E38&lt;&gt;""),'Q22026'!D38,"")</f>
        <v/>
      </c>
      <c r="E117" t="str">
        <f>IF(AND('Q22026'!B38&lt;&gt;"",'Q22026'!E38&lt;&gt;""),'Q22026'!H38,"")</f>
        <v/>
      </c>
      <c r="F117" t="str">
        <f>IF(AND('Q22026'!B38&lt;&gt;"",'Q22026'!E38&lt;&gt;""),'Q22026'!F38,"")</f>
        <v/>
      </c>
      <c r="G117" t="str">
        <f>IF(AND('Q22026'!B38&lt;&gt;"",'Q22026'!E38&lt;&gt;""),'Q22026'!G38,"")</f>
        <v/>
      </c>
      <c r="H117" t="str">
        <f>IF(AND('Q22026'!B38&lt;&gt;"",'Q22026'!E38&lt;&gt;""),"Q22026","")</f>
        <v/>
      </c>
      <c r="I117" t="str">
        <f>IF(A117="Q12026",COUNTIF($A$2:$A117,"Q12026"),"")</f>
        <v/>
      </c>
      <c r="J117" t="str">
        <f>IF(A117="Q22026",COUNTIF($A$2:$A117,"Q22026"),"")</f>
        <v/>
      </c>
      <c r="K117" t="str">
        <f>IF(A117="Q32026",COUNTIF($A$2:$A117,"Q32026"),"")</f>
        <v/>
      </c>
      <c r="L117" t="str">
        <f>IF(A117="Q42026",COUNTIF($A$2:$A117,"Q42026"),"")</f>
        <v/>
      </c>
      <c r="M117" t="str">
        <f>IF(A117="Backlog",COUNTIF($A$2:$A117,"Backlog"),"")</f>
        <v/>
      </c>
    </row>
    <row r="118" spans="1:13">
      <c r="A118" t="str">
        <f>IF(AND('Q22026'!B39&lt;&gt;"",'Q22026'!E39&lt;&gt;""),'Q22026'!E39,"")</f>
        <v/>
      </c>
      <c r="B118" t="str">
        <f>IF(AND('Q22026'!B39&lt;&gt;"",'Q22026'!E39&lt;&gt;""),'Q22026'!B39,"")</f>
        <v/>
      </c>
      <c r="C118" t="str">
        <f>IF(AND('Q22026'!B39&lt;&gt;"",'Q22026'!E39&lt;&gt;""),'Q22026'!C39,"")</f>
        <v/>
      </c>
      <c r="D118" t="str">
        <f>IF(AND('Q22026'!B39&lt;&gt;"",'Q22026'!E39&lt;&gt;""),'Q22026'!D39,"")</f>
        <v/>
      </c>
      <c r="E118" t="str">
        <f>IF(AND('Q22026'!B39&lt;&gt;"",'Q22026'!E39&lt;&gt;""),'Q22026'!H39,"")</f>
        <v/>
      </c>
      <c r="F118" t="str">
        <f>IF(AND('Q22026'!B39&lt;&gt;"",'Q22026'!E39&lt;&gt;""),'Q22026'!F39,"")</f>
        <v/>
      </c>
      <c r="G118" t="str">
        <f>IF(AND('Q22026'!B39&lt;&gt;"",'Q22026'!E39&lt;&gt;""),'Q22026'!G39,"")</f>
        <v/>
      </c>
      <c r="H118" t="str">
        <f>IF(AND('Q22026'!B39&lt;&gt;"",'Q22026'!E39&lt;&gt;""),"Q22026","")</f>
        <v/>
      </c>
      <c r="I118" t="str">
        <f>IF(A118="Q12026",COUNTIF($A$2:$A118,"Q12026"),"")</f>
        <v/>
      </c>
      <c r="J118" t="str">
        <f>IF(A118="Q22026",COUNTIF($A$2:$A118,"Q22026"),"")</f>
        <v/>
      </c>
      <c r="K118" t="str">
        <f>IF(A118="Q32026",COUNTIF($A$2:$A118,"Q32026"),"")</f>
        <v/>
      </c>
      <c r="L118" t="str">
        <f>IF(A118="Q42026",COUNTIF($A$2:$A118,"Q42026"),"")</f>
        <v/>
      </c>
      <c r="M118" t="str">
        <f>IF(A118="Backlog",COUNTIF($A$2:$A118,"Backlog"),"")</f>
        <v/>
      </c>
    </row>
    <row r="119" spans="1:13">
      <c r="A119" t="str">
        <f>IF(AND('Q22026'!B40&lt;&gt;"",'Q22026'!E40&lt;&gt;""),'Q22026'!E40,"")</f>
        <v/>
      </c>
      <c r="B119" t="str">
        <f>IF(AND('Q22026'!B40&lt;&gt;"",'Q22026'!E40&lt;&gt;""),'Q22026'!B40,"")</f>
        <v/>
      </c>
      <c r="C119" t="str">
        <f>IF(AND('Q22026'!B40&lt;&gt;"",'Q22026'!E40&lt;&gt;""),'Q22026'!C40,"")</f>
        <v/>
      </c>
      <c r="D119" t="str">
        <f>IF(AND('Q22026'!B40&lt;&gt;"",'Q22026'!E40&lt;&gt;""),'Q22026'!D40,"")</f>
        <v/>
      </c>
      <c r="E119" t="str">
        <f>IF(AND('Q22026'!B40&lt;&gt;"",'Q22026'!E40&lt;&gt;""),'Q22026'!H40,"")</f>
        <v/>
      </c>
      <c r="F119" t="str">
        <f>IF(AND('Q22026'!B40&lt;&gt;"",'Q22026'!E40&lt;&gt;""),'Q22026'!F40,"")</f>
        <v/>
      </c>
      <c r="G119" t="str">
        <f>IF(AND('Q22026'!B40&lt;&gt;"",'Q22026'!E40&lt;&gt;""),'Q22026'!G40,"")</f>
        <v/>
      </c>
      <c r="H119" t="str">
        <f>IF(AND('Q22026'!B40&lt;&gt;"",'Q22026'!E40&lt;&gt;""),"Q22026","")</f>
        <v/>
      </c>
      <c r="I119" t="str">
        <f>IF(A119="Q12026",COUNTIF($A$2:$A119,"Q12026"),"")</f>
        <v/>
      </c>
      <c r="J119" t="str">
        <f>IF(A119="Q22026",COUNTIF($A$2:$A119,"Q22026"),"")</f>
        <v/>
      </c>
      <c r="K119" t="str">
        <f>IF(A119="Q32026",COUNTIF($A$2:$A119,"Q32026"),"")</f>
        <v/>
      </c>
      <c r="L119" t="str">
        <f>IF(A119="Q42026",COUNTIF($A$2:$A119,"Q42026"),"")</f>
        <v/>
      </c>
      <c r="M119" t="str">
        <f>IF(A119="Backlog",COUNTIF($A$2:$A119,"Backlog"),"")</f>
        <v/>
      </c>
    </row>
    <row r="120" spans="1:13">
      <c r="A120" t="str">
        <f>IF(AND('Q22026'!B41&lt;&gt;"",'Q22026'!E41&lt;&gt;""),'Q22026'!E41,"")</f>
        <v/>
      </c>
      <c r="B120" t="str">
        <f>IF(AND('Q22026'!B41&lt;&gt;"",'Q22026'!E41&lt;&gt;""),'Q22026'!B41,"")</f>
        <v/>
      </c>
      <c r="C120" t="str">
        <f>IF(AND('Q22026'!B41&lt;&gt;"",'Q22026'!E41&lt;&gt;""),'Q22026'!C41,"")</f>
        <v/>
      </c>
      <c r="D120" t="str">
        <f>IF(AND('Q22026'!B41&lt;&gt;"",'Q22026'!E41&lt;&gt;""),'Q22026'!D41,"")</f>
        <v/>
      </c>
      <c r="E120" t="str">
        <f>IF(AND('Q22026'!B41&lt;&gt;"",'Q22026'!E41&lt;&gt;""),'Q22026'!H41,"")</f>
        <v/>
      </c>
      <c r="F120" t="str">
        <f>IF(AND('Q22026'!B41&lt;&gt;"",'Q22026'!E41&lt;&gt;""),'Q22026'!F41,"")</f>
        <v/>
      </c>
      <c r="G120" t="str">
        <f>IF(AND('Q22026'!B41&lt;&gt;"",'Q22026'!E41&lt;&gt;""),'Q22026'!G41,"")</f>
        <v/>
      </c>
      <c r="H120" t="str">
        <f>IF(AND('Q22026'!B41&lt;&gt;"",'Q22026'!E41&lt;&gt;""),"Q22026","")</f>
        <v/>
      </c>
      <c r="I120" t="str">
        <f>IF(A120="Q12026",COUNTIF($A$2:$A120,"Q12026"),"")</f>
        <v/>
      </c>
      <c r="J120" t="str">
        <f>IF(A120="Q22026",COUNTIF($A$2:$A120,"Q22026"),"")</f>
        <v/>
      </c>
      <c r="K120" t="str">
        <f>IF(A120="Q32026",COUNTIF($A$2:$A120,"Q32026"),"")</f>
        <v/>
      </c>
      <c r="L120" t="str">
        <f>IF(A120="Q42026",COUNTIF($A$2:$A120,"Q42026"),"")</f>
        <v/>
      </c>
      <c r="M120" t="str">
        <f>IF(A120="Backlog",COUNTIF($A$2:$A120,"Backlog"),"")</f>
        <v/>
      </c>
    </row>
    <row r="121" spans="1:13">
      <c r="A121" t="str">
        <f>IF(AND('Q22026'!B42&lt;&gt;"",'Q22026'!E42&lt;&gt;""),'Q22026'!E42,"")</f>
        <v/>
      </c>
      <c r="B121" t="str">
        <f>IF(AND('Q22026'!B42&lt;&gt;"",'Q22026'!E42&lt;&gt;""),'Q22026'!B42,"")</f>
        <v/>
      </c>
      <c r="C121" t="str">
        <f>IF(AND('Q22026'!B42&lt;&gt;"",'Q22026'!E42&lt;&gt;""),'Q22026'!C42,"")</f>
        <v/>
      </c>
      <c r="D121" t="str">
        <f>IF(AND('Q22026'!B42&lt;&gt;"",'Q22026'!E42&lt;&gt;""),'Q22026'!D42,"")</f>
        <v/>
      </c>
      <c r="E121" t="str">
        <f>IF(AND('Q22026'!B42&lt;&gt;"",'Q22026'!E42&lt;&gt;""),'Q22026'!H42,"")</f>
        <v/>
      </c>
      <c r="F121" t="str">
        <f>IF(AND('Q22026'!B42&lt;&gt;"",'Q22026'!E42&lt;&gt;""),'Q22026'!F42,"")</f>
        <v/>
      </c>
      <c r="G121" t="str">
        <f>IF(AND('Q22026'!B42&lt;&gt;"",'Q22026'!E42&lt;&gt;""),'Q22026'!G42,"")</f>
        <v/>
      </c>
      <c r="H121" t="str">
        <f>IF(AND('Q22026'!B42&lt;&gt;"",'Q22026'!E42&lt;&gt;""),"Q22026","")</f>
        <v/>
      </c>
      <c r="I121" t="str">
        <f>IF(A121="Q12026",COUNTIF($A$2:$A121,"Q12026"),"")</f>
        <v/>
      </c>
      <c r="J121" t="str">
        <f>IF(A121="Q22026",COUNTIF($A$2:$A121,"Q22026"),"")</f>
        <v/>
      </c>
      <c r="K121" t="str">
        <f>IF(A121="Q32026",COUNTIF($A$2:$A121,"Q32026"),"")</f>
        <v/>
      </c>
      <c r="L121" t="str">
        <f>IF(A121="Q42026",COUNTIF($A$2:$A121,"Q42026"),"")</f>
        <v/>
      </c>
      <c r="M121" t="str">
        <f>IF(A121="Backlog",COUNTIF($A$2:$A121,"Backlog"),"")</f>
        <v/>
      </c>
    </row>
    <row r="122" spans="1:13">
      <c r="A122" t="str">
        <f>IF(AND('Q22026'!B43&lt;&gt;"",'Q22026'!E43&lt;&gt;""),'Q22026'!E43,"")</f>
        <v/>
      </c>
      <c r="B122" t="str">
        <f>IF(AND('Q22026'!B43&lt;&gt;"",'Q22026'!E43&lt;&gt;""),'Q22026'!B43,"")</f>
        <v/>
      </c>
      <c r="C122" t="str">
        <f>IF(AND('Q22026'!B43&lt;&gt;"",'Q22026'!E43&lt;&gt;""),'Q22026'!C43,"")</f>
        <v/>
      </c>
      <c r="D122" t="str">
        <f>IF(AND('Q22026'!B43&lt;&gt;"",'Q22026'!E43&lt;&gt;""),'Q22026'!D43,"")</f>
        <v/>
      </c>
      <c r="E122" t="str">
        <f>IF(AND('Q22026'!B43&lt;&gt;"",'Q22026'!E43&lt;&gt;""),'Q22026'!H43,"")</f>
        <v/>
      </c>
      <c r="F122" t="str">
        <f>IF(AND('Q22026'!B43&lt;&gt;"",'Q22026'!E43&lt;&gt;""),'Q22026'!F43,"")</f>
        <v/>
      </c>
      <c r="G122" t="str">
        <f>IF(AND('Q22026'!B43&lt;&gt;"",'Q22026'!E43&lt;&gt;""),'Q22026'!G43,"")</f>
        <v/>
      </c>
      <c r="H122" t="str">
        <f>IF(AND('Q22026'!B43&lt;&gt;"",'Q22026'!E43&lt;&gt;""),"Q22026","")</f>
        <v/>
      </c>
      <c r="I122" t="str">
        <f>IF(A122="Q12026",COUNTIF($A$2:$A122,"Q12026"),"")</f>
        <v/>
      </c>
      <c r="J122" t="str">
        <f>IF(A122="Q22026",COUNTIF($A$2:$A122,"Q22026"),"")</f>
        <v/>
      </c>
      <c r="K122" t="str">
        <f>IF(A122="Q32026",COUNTIF($A$2:$A122,"Q32026"),"")</f>
        <v/>
      </c>
      <c r="L122" t="str">
        <f>IF(A122="Q42026",COUNTIF($A$2:$A122,"Q42026"),"")</f>
        <v/>
      </c>
      <c r="M122" t="str">
        <f>IF(A122="Backlog",COUNTIF($A$2:$A122,"Backlog"),"")</f>
        <v/>
      </c>
    </row>
    <row r="123" spans="1:13">
      <c r="A123" t="str">
        <f>IF(AND('Q22026'!B44&lt;&gt;"",'Q22026'!E44&lt;&gt;""),'Q22026'!E44,"")</f>
        <v/>
      </c>
      <c r="B123" t="str">
        <f>IF(AND('Q22026'!B44&lt;&gt;"",'Q22026'!E44&lt;&gt;""),'Q22026'!B44,"")</f>
        <v/>
      </c>
      <c r="C123" t="str">
        <f>IF(AND('Q22026'!B44&lt;&gt;"",'Q22026'!E44&lt;&gt;""),'Q22026'!C44,"")</f>
        <v/>
      </c>
      <c r="D123" t="str">
        <f>IF(AND('Q22026'!B44&lt;&gt;"",'Q22026'!E44&lt;&gt;""),'Q22026'!D44,"")</f>
        <v/>
      </c>
      <c r="E123" t="str">
        <f>IF(AND('Q22026'!B44&lt;&gt;"",'Q22026'!E44&lt;&gt;""),'Q22026'!H44,"")</f>
        <v/>
      </c>
      <c r="F123" t="str">
        <f>IF(AND('Q22026'!B44&lt;&gt;"",'Q22026'!E44&lt;&gt;""),'Q22026'!F44,"")</f>
        <v/>
      </c>
      <c r="G123" t="str">
        <f>IF(AND('Q22026'!B44&lt;&gt;"",'Q22026'!E44&lt;&gt;""),'Q22026'!G44,"")</f>
        <v/>
      </c>
      <c r="H123" t="str">
        <f>IF(AND('Q22026'!B44&lt;&gt;"",'Q22026'!E44&lt;&gt;""),"Q22026","")</f>
        <v/>
      </c>
      <c r="I123" t="str">
        <f>IF(A123="Q12026",COUNTIF($A$2:$A123,"Q12026"),"")</f>
        <v/>
      </c>
      <c r="J123" t="str">
        <f>IF(A123="Q22026",COUNTIF($A$2:$A123,"Q22026"),"")</f>
        <v/>
      </c>
      <c r="K123" t="str">
        <f>IF(A123="Q32026",COUNTIF($A$2:$A123,"Q32026"),"")</f>
        <v/>
      </c>
      <c r="L123" t="str">
        <f>IF(A123="Q42026",COUNTIF($A$2:$A123,"Q42026"),"")</f>
        <v/>
      </c>
      <c r="M123" t="str">
        <f>IF(A123="Backlog",COUNTIF($A$2:$A123,"Backlog"),"")</f>
        <v/>
      </c>
    </row>
    <row r="124" spans="1:13">
      <c r="A124" t="str">
        <f>IF(AND('Q22026'!B45&lt;&gt;"",'Q22026'!E45&lt;&gt;""),'Q22026'!E45,"")</f>
        <v/>
      </c>
      <c r="B124" t="str">
        <f>IF(AND('Q22026'!B45&lt;&gt;"",'Q22026'!E45&lt;&gt;""),'Q22026'!B45,"")</f>
        <v/>
      </c>
      <c r="C124" t="str">
        <f>IF(AND('Q22026'!B45&lt;&gt;"",'Q22026'!E45&lt;&gt;""),'Q22026'!C45,"")</f>
        <v/>
      </c>
      <c r="D124" t="str">
        <f>IF(AND('Q22026'!B45&lt;&gt;"",'Q22026'!E45&lt;&gt;""),'Q22026'!D45,"")</f>
        <v/>
      </c>
      <c r="E124" t="str">
        <f>IF(AND('Q22026'!B45&lt;&gt;"",'Q22026'!E45&lt;&gt;""),'Q22026'!H45,"")</f>
        <v/>
      </c>
      <c r="F124" t="str">
        <f>IF(AND('Q22026'!B45&lt;&gt;"",'Q22026'!E45&lt;&gt;""),'Q22026'!F45,"")</f>
        <v/>
      </c>
      <c r="G124" t="str">
        <f>IF(AND('Q22026'!B45&lt;&gt;"",'Q22026'!E45&lt;&gt;""),'Q22026'!G45,"")</f>
        <v/>
      </c>
      <c r="H124" t="str">
        <f>IF(AND('Q22026'!B45&lt;&gt;"",'Q22026'!E45&lt;&gt;""),"Q22026","")</f>
        <v/>
      </c>
      <c r="I124" t="str">
        <f>IF(A124="Q12026",COUNTIF($A$2:$A124,"Q12026"),"")</f>
        <v/>
      </c>
      <c r="J124" t="str">
        <f>IF(A124="Q22026",COUNTIF($A$2:$A124,"Q22026"),"")</f>
        <v/>
      </c>
      <c r="K124" t="str">
        <f>IF(A124="Q32026",COUNTIF($A$2:$A124,"Q32026"),"")</f>
        <v/>
      </c>
      <c r="L124" t="str">
        <f>IF(A124="Q42026",COUNTIF($A$2:$A124,"Q42026"),"")</f>
        <v/>
      </c>
      <c r="M124" t="str">
        <f>IF(A124="Backlog",COUNTIF($A$2:$A124,"Backlog"),"")</f>
        <v/>
      </c>
    </row>
    <row r="125" spans="1:13">
      <c r="A125" t="str">
        <f>IF(AND('Q22026'!B46&lt;&gt;"",'Q22026'!E46&lt;&gt;""),'Q22026'!E46,"")</f>
        <v/>
      </c>
      <c r="B125" t="str">
        <f>IF(AND('Q22026'!B46&lt;&gt;"",'Q22026'!E46&lt;&gt;""),'Q22026'!B46,"")</f>
        <v/>
      </c>
      <c r="C125" t="str">
        <f>IF(AND('Q22026'!B46&lt;&gt;"",'Q22026'!E46&lt;&gt;""),'Q22026'!C46,"")</f>
        <v/>
      </c>
      <c r="D125" t="str">
        <f>IF(AND('Q22026'!B46&lt;&gt;"",'Q22026'!E46&lt;&gt;""),'Q22026'!D46,"")</f>
        <v/>
      </c>
      <c r="E125" t="str">
        <f>IF(AND('Q22026'!B46&lt;&gt;"",'Q22026'!E46&lt;&gt;""),'Q22026'!H46,"")</f>
        <v/>
      </c>
      <c r="F125" t="str">
        <f>IF(AND('Q22026'!B46&lt;&gt;"",'Q22026'!E46&lt;&gt;""),'Q22026'!F46,"")</f>
        <v/>
      </c>
      <c r="G125" t="str">
        <f>IF(AND('Q22026'!B46&lt;&gt;"",'Q22026'!E46&lt;&gt;""),'Q22026'!G46,"")</f>
        <v/>
      </c>
      <c r="H125" t="str">
        <f>IF(AND('Q22026'!B46&lt;&gt;"",'Q22026'!E46&lt;&gt;""),"Q22026","")</f>
        <v/>
      </c>
      <c r="I125" t="str">
        <f>IF(A125="Q12026",COUNTIF($A$2:$A125,"Q12026"),"")</f>
        <v/>
      </c>
      <c r="J125" t="str">
        <f>IF(A125="Q22026",COUNTIF($A$2:$A125,"Q22026"),"")</f>
        <v/>
      </c>
      <c r="K125" t="str">
        <f>IF(A125="Q32026",COUNTIF($A$2:$A125,"Q32026"),"")</f>
        <v/>
      </c>
      <c r="L125" t="str">
        <f>IF(A125="Q42026",COUNTIF($A$2:$A125,"Q42026"),"")</f>
        <v/>
      </c>
      <c r="M125" t="str">
        <f>IF(A125="Backlog",COUNTIF($A$2:$A125,"Backlog"),"")</f>
        <v/>
      </c>
    </row>
    <row r="126" spans="1:13">
      <c r="A126" t="str">
        <f>IF(AND('Q22026'!B47&lt;&gt;"",'Q22026'!E47&lt;&gt;""),'Q22026'!E47,"")</f>
        <v/>
      </c>
      <c r="B126" t="str">
        <f>IF(AND('Q22026'!B47&lt;&gt;"",'Q22026'!E47&lt;&gt;""),'Q22026'!B47,"")</f>
        <v/>
      </c>
      <c r="C126" t="str">
        <f>IF(AND('Q22026'!B47&lt;&gt;"",'Q22026'!E47&lt;&gt;""),'Q22026'!C47,"")</f>
        <v/>
      </c>
      <c r="D126" t="str">
        <f>IF(AND('Q22026'!B47&lt;&gt;"",'Q22026'!E47&lt;&gt;""),'Q22026'!D47,"")</f>
        <v/>
      </c>
      <c r="E126" t="str">
        <f>IF(AND('Q22026'!B47&lt;&gt;"",'Q22026'!E47&lt;&gt;""),'Q22026'!H47,"")</f>
        <v/>
      </c>
      <c r="F126" t="str">
        <f>IF(AND('Q22026'!B47&lt;&gt;"",'Q22026'!E47&lt;&gt;""),'Q22026'!F47,"")</f>
        <v/>
      </c>
      <c r="G126" t="str">
        <f>IF(AND('Q22026'!B47&lt;&gt;"",'Q22026'!E47&lt;&gt;""),'Q22026'!G47,"")</f>
        <v/>
      </c>
      <c r="H126" t="str">
        <f>IF(AND('Q22026'!B47&lt;&gt;"",'Q22026'!E47&lt;&gt;""),"Q22026","")</f>
        <v/>
      </c>
      <c r="I126" t="str">
        <f>IF(A126="Q12026",COUNTIF($A$2:$A126,"Q12026"),"")</f>
        <v/>
      </c>
      <c r="J126" t="str">
        <f>IF(A126="Q22026",COUNTIF($A$2:$A126,"Q22026"),"")</f>
        <v/>
      </c>
      <c r="K126" t="str">
        <f>IF(A126="Q32026",COUNTIF($A$2:$A126,"Q32026"),"")</f>
        <v/>
      </c>
      <c r="L126" t="str">
        <f>IF(A126="Q42026",COUNTIF($A$2:$A126,"Q42026"),"")</f>
        <v/>
      </c>
      <c r="M126" t="str">
        <f>IF(A126="Backlog",COUNTIF($A$2:$A126,"Backlog"),"")</f>
        <v/>
      </c>
    </row>
    <row r="127" spans="1:13">
      <c r="A127" t="str">
        <f>IF(AND('Q22026'!B48&lt;&gt;"",'Q22026'!E48&lt;&gt;""),'Q22026'!E48,"")</f>
        <v/>
      </c>
      <c r="B127" t="str">
        <f>IF(AND('Q22026'!B48&lt;&gt;"",'Q22026'!E48&lt;&gt;""),'Q22026'!B48,"")</f>
        <v/>
      </c>
      <c r="C127" t="str">
        <f>IF(AND('Q22026'!B48&lt;&gt;"",'Q22026'!E48&lt;&gt;""),'Q22026'!C48,"")</f>
        <v/>
      </c>
      <c r="D127" t="str">
        <f>IF(AND('Q22026'!B48&lt;&gt;"",'Q22026'!E48&lt;&gt;""),'Q22026'!D48,"")</f>
        <v/>
      </c>
      <c r="E127" t="str">
        <f>IF(AND('Q22026'!B48&lt;&gt;"",'Q22026'!E48&lt;&gt;""),'Q22026'!H48,"")</f>
        <v/>
      </c>
      <c r="F127" t="str">
        <f>IF(AND('Q22026'!B48&lt;&gt;"",'Q22026'!E48&lt;&gt;""),'Q22026'!F48,"")</f>
        <v/>
      </c>
      <c r="G127" t="str">
        <f>IF(AND('Q22026'!B48&lt;&gt;"",'Q22026'!E48&lt;&gt;""),'Q22026'!G48,"")</f>
        <v/>
      </c>
      <c r="H127" t="str">
        <f>IF(AND('Q22026'!B48&lt;&gt;"",'Q22026'!E48&lt;&gt;""),"Q22026","")</f>
        <v/>
      </c>
      <c r="I127" t="str">
        <f>IF(A127="Q12026",COUNTIF($A$2:$A127,"Q12026"),"")</f>
        <v/>
      </c>
      <c r="J127" t="str">
        <f>IF(A127="Q22026",COUNTIF($A$2:$A127,"Q22026"),"")</f>
        <v/>
      </c>
      <c r="K127" t="str">
        <f>IF(A127="Q32026",COUNTIF($A$2:$A127,"Q32026"),"")</f>
        <v/>
      </c>
      <c r="L127" t="str">
        <f>IF(A127="Q42026",COUNTIF($A$2:$A127,"Q42026"),"")</f>
        <v/>
      </c>
      <c r="M127" t="str">
        <f>IF(A127="Backlog",COUNTIF($A$2:$A127,"Backlog"),"")</f>
        <v/>
      </c>
    </row>
    <row r="128" spans="1:13">
      <c r="A128" t="str">
        <f>IF(AND('Q22026'!B49&lt;&gt;"",'Q22026'!E49&lt;&gt;""),'Q22026'!E49,"")</f>
        <v/>
      </c>
      <c r="B128" t="str">
        <f>IF(AND('Q22026'!B49&lt;&gt;"",'Q22026'!E49&lt;&gt;""),'Q22026'!B49,"")</f>
        <v/>
      </c>
      <c r="C128" t="str">
        <f>IF(AND('Q22026'!B49&lt;&gt;"",'Q22026'!E49&lt;&gt;""),'Q22026'!C49,"")</f>
        <v/>
      </c>
      <c r="D128" t="str">
        <f>IF(AND('Q22026'!B49&lt;&gt;"",'Q22026'!E49&lt;&gt;""),'Q22026'!D49,"")</f>
        <v/>
      </c>
      <c r="E128" t="str">
        <f>IF(AND('Q22026'!B49&lt;&gt;"",'Q22026'!E49&lt;&gt;""),'Q22026'!H49,"")</f>
        <v/>
      </c>
      <c r="F128" t="str">
        <f>IF(AND('Q22026'!B49&lt;&gt;"",'Q22026'!E49&lt;&gt;""),'Q22026'!F49,"")</f>
        <v/>
      </c>
      <c r="G128" t="str">
        <f>IF(AND('Q22026'!B49&lt;&gt;"",'Q22026'!E49&lt;&gt;""),'Q22026'!G49,"")</f>
        <v/>
      </c>
      <c r="H128" t="str">
        <f>IF(AND('Q22026'!B49&lt;&gt;"",'Q22026'!E49&lt;&gt;""),"Q22026","")</f>
        <v/>
      </c>
      <c r="I128" t="str">
        <f>IF(A128="Q12026",COUNTIF($A$2:$A128,"Q12026"),"")</f>
        <v/>
      </c>
      <c r="J128" t="str">
        <f>IF(A128="Q22026",COUNTIF($A$2:$A128,"Q22026"),"")</f>
        <v/>
      </c>
      <c r="K128" t="str">
        <f>IF(A128="Q32026",COUNTIF($A$2:$A128,"Q32026"),"")</f>
        <v/>
      </c>
      <c r="L128" t="str">
        <f>IF(A128="Q42026",COUNTIF($A$2:$A128,"Q42026"),"")</f>
        <v/>
      </c>
      <c r="M128" t="str">
        <f>IF(A128="Backlog",COUNTIF($A$2:$A128,"Backlog"),"")</f>
        <v/>
      </c>
    </row>
    <row r="129" spans="1:13">
      <c r="A129" t="str">
        <f>IF(AND('Q22026'!B50&lt;&gt;"",'Q22026'!E50&lt;&gt;""),'Q22026'!E50,"")</f>
        <v/>
      </c>
      <c r="B129" t="str">
        <f>IF(AND('Q22026'!B50&lt;&gt;"",'Q22026'!E50&lt;&gt;""),'Q22026'!B50,"")</f>
        <v/>
      </c>
      <c r="C129" t="str">
        <f>IF(AND('Q22026'!B50&lt;&gt;"",'Q22026'!E50&lt;&gt;""),'Q22026'!C50,"")</f>
        <v/>
      </c>
      <c r="D129" t="str">
        <f>IF(AND('Q22026'!B50&lt;&gt;"",'Q22026'!E50&lt;&gt;""),'Q22026'!D50,"")</f>
        <v/>
      </c>
      <c r="E129" t="str">
        <f>IF(AND('Q22026'!B50&lt;&gt;"",'Q22026'!E50&lt;&gt;""),'Q22026'!H50,"")</f>
        <v/>
      </c>
      <c r="F129" t="str">
        <f>IF(AND('Q22026'!B50&lt;&gt;"",'Q22026'!E50&lt;&gt;""),'Q22026'!F50,"")</f>
        <v/>
      </c>
      <c r="G129" t="str">
        <f>IF(AND('Q22026'!B50&lt;&gt;"",'Q22026'!E50&lt;&gt;""),'Q22026'!G50,"")</f>
        <v/>
      </c>
      <c r="H129" t="str">
        <f>IF(AND('Q22026'!B50&lt;&gt;"",'Q22026'!E50&lt;&gt;""),"Q22026","")</f>
        <v/>
      </c>
      <c r="I129" t="str">
        <f>IF(A129="Q12026",COUNTIF($A$2:$A129,"Q12026"),"")</f>
        <v/>
      </c>
      <c r="J129" t="str">
        <f>IF(A129="Q22026",COUNTIF($A$2:$A129,"Q22026"),"")</f>
        <v/>
      </c>
      <c r="K129" t="str">
        <f>IF(A129="Q32026",COUNTIF($A$2:$A129,"Q32026"),"")</f>
        <v/>
      </c>
      <c r="L129" t="str">
        <f>IF(A129="Q42026",COUNTIF($A$2:$A129,"Q42026"),"")</f>
        <v/>
      </c>
      <c r="M129" t="str">
        <f>IF(A129="Backlog",COUNTIF($A$2:$A129,"Backlog"),"")</f>
        <v/>
      </c>
    </row>
    <row r="130" spans="1:13">
      <c r="A130" t="str">
        <f>IF(AND('Q22026'!B51&lt;&gt;"",'Q22026'!E51&lt;&gt;""),'Q22026'!E51,"")</f>
        <v/>
      </c>
      <c r="B130" t="str">
        <f>IF(AND('Q22026'!B51&lt;&gt;"",'Q22026'!E51&lt;&gt;""),'Q22026'!B51,"")</f>
        <v/>
      </c>
      <c r="C130" t="str">
        <f>IF(AND('Q22026'!B51&lt;&gt;"",'Q22026'!E51&lt;&gt;""),'Q22026'!C51,"")</f>
        <v/>
      </c>
      <c r="D130" t="str">
        <f>IF(AND('Q22026'!B51&lt;&gt;"",'Q22026'!E51&lt;&gt;""),'Q22026'!D51,"")</f>
        <v/>
      </c>
      <c r="E130" t="str">
        <f>IF(AND('Q22026'!B51&lt;&gt;"",'Q22026'!E51&lt;&gt;""),'Q22026'!H51,"")</f>
        <v/>
      </c>
      <c r="F130" t="str">
        <f>IF(AND('Q22026'!B51&lt;&gt;"",'Q22026'!E51&lt;&gt;""),'Q22026'!F51,"")</f>
        <v/>
      </c>
      <c r="G130" t="str">
        <f>IF(AND('Q22026'!B51&lt;&gt;"",'Q22026'!E51&lt;&gt;""),'Q22026'!G51,"")</f>
        <v/>
      </c>
      <c r="H130" t="str">
        <f>IF(AND('Q22026'!B51&lt;&gt;"",'Q22026'!E51&lt;&gt;""),"Q22026","")</f>
        <v/>
      </c>
      <c r="I130" t="str">
        <f>IF(A130="Q12026",COUNTIF($A$2:$A130,"Q12026"),"")</f>
        <v/>
      </c>
      <c r="J130" t="str">
        <f>IF(A130="Q22026",COUNTIF($A$2:$A130,"Q22026"),"")</f>
        <v/>
      </c>
      <c r="K130" t="str">
        <f>IF(A130="Q32026",COUNTIF($A$2:$A130,"Q32026"),"")</f>
        <v/>
      </c>
      <c r="L130" t="str">
        <f>IF(A130="Q42026",COUNTIF($A$2:$A130,"Q42026"),"")</f>
        <v/>
      </c>
      <c r="M130" t="str">
        <f>IF(A130="Backlog",COUNTIF($A$2:$A130,"Backlog"),"")</f>
        <v/>
      </c>
    </row>
    <row r="131" spans="1:13">
      <c r="A131" t="str">
        <f>IF(AND('Q22026'!B52&lt;&gt;"",'Q22026'!E52&lt;&gt;""),'Q22026'!E52,"")</f>
        <v/>
      </c>
      <c r="B131" t="str">
        <f>IF(AND('Q22026'!B52&lt;&gt;"",'Q22026'!E52&lt;&gt;""),'Q22026'!B52,"")</f>
        <v/>
      </c>
      <c r="C131" t="str">
        <f>IF(AND('Q22026'!B52&lt;&gt;"",'Q22026'!E52&lt;&gt;""),'Q22026'!C52,"")</f>
        <v/>
      </c>
      <c r="D131" t="str">
        <f>IF(AND('Q22026'!B52&lt;&gt;"",'Q22026'!E52&lt;&gt;""),'Q22026'!D52,"")</f>
        <v/>
      </c>
      <c r="E131" t="str">
        <f>IF(AND('Q22026'!B52&lt;&gt;"",'Q22026'!E52&lt;&gt;""),'Q22026'!H52,"")</f>
        <v/>
      </c>
      <c r="F131" t="str">
        <f>IF(AND('Q22026'!B52&lt;&gt;"",'Q22026'!E52&lt;&gt;""),'Q22026'!F52,"")</f>
        <v/>
      </c>
      <c r="G131" t="str">
        <f>IF(AND('Q22026'!B52&lt;&gt;"",'Q22026'!E52&lt;&gt;""),'Q22026'!G52,"")</f>
        <v/>
      </c>
      <c r="H131" t="str">
        <f>IF(AND('Q22026'!B52&lt;&gt;"",'Q22026'!E52&lt;&gt;""),"Q22026","")</f>
        <v/>
      </c>
      <c r="I131" t="str">
        <f>IF(A131="Q12026",COUNTIF($A$2:$A131,"Q12026"),"")</f>
        <v/>
      </c>
      <c r="J131" t="str">
        <f>IF(A131="Q22026",COUNTIF($A$2:$A131,"Q22026"),"")</f>
        <v/>
      </c>
      <c r="K131" t="str">
        <f>IF(A131="Q32026",COUNTIF($A$2:$A131,"Q32026"),"")</f>
        <v/>
      </c>
      <c r="L131" t="str">
        <f>IF(A131="Q42026",COUNTIF($A$2:$A131,"Q42026"),"")</f>
        <v/>
      </c>
      <c r="M131" t="str">
        <f>IF(A131="Backlog",COUNTIF($A$2:$A131,"Backlog"),"")</f>
        <v/>
      </c>
    </row>
    <row r="132" spans="1:13">
      <c r="A132" t="str">
        <f>IF(AND('Q22026'!B53&lt;&gt;"",'Q22026'!E53&lt;&gt;""),'Q22026'!E53,"")</f>
        <v/>
      </c>
      <c r="B132" t="str">
        <f>IF(AND('Q22026'!B53&lt;&gt;"",'Q22026'!E53&lt;&gt;""),'Q22026'!B53,"")</f>
        <v/>
      </c>
      <c r="C132" t="str">
        <f>IF(AND('Q22026'!B53&lt;&gt;"",'Q22026'!E53&lt;&gt;""),'Q22026'!C53,"")</f>
        <v/>
      </c>
      <c r="D132" t="str">
        <f>IF(AND('Q22026'!B53&lt;&gt;"",'Q22026'!E53&lt;&gt;""),'Q22026'!D53,"")</f>
        <v/>
      </c>
      <c r="E132" t="str">
        <f>IF(AND('Q22026'!B53&lt;&gt;"",'Q22026'!E53&lt;&gt;""),'Q22026'!H53,"")</f>
        <v/>
      </c>
      <c r="F132" t="str">
        <f>IF(AND('Q22026'!B53&lt;&gt;"",'Q22026'!E53&lt;&gt;""),'Q22026'!F53,"")</f>
        <v/>
      </c>
      <c r="G132" t="str">
        <f>IF(AND('Q22026'!B53&lt;&gt;"",'Q22026'!E53&lt;&gt;""),'Q22026'!G53,"")</f>
        <v/>
      </c>
      <c r="H132" t="str">
        <f>IF(AND('Q22026'!B53&lt;&gt;"",'Q22026'!E53&lt;&gt;""),"Q22026","")</f>
        <v/>
      </c>
      <c r="I132" t="str">
        <f>IF(A132="Q12026",COUNTIF($A$2:$A132,"Q12026"),"")</f>
        <v/>
      </c>
      <c r="J132" t="str">
        <f>IF(A132="Q22026",COUNTIF($A$2:$A132,"Q22026"),"")</f>
        <v/>
      </c>
      <c r="K132" t="str">
        <f>IF(A132="Q32026",COUNTIF($A$2:$A132,"Q32026"),"")</f>
        <v/>
      </c>
      <c r="L132" t="str">
        <f>IF(A132="Q42026",COUNTIF($A$2:$A132,"Q42026"),"")</f>
        <v/>
      </c>
      <c r="M132" t="str">
        <f>IF(A132="Backlog",COUNTIF($A$2:$A132,"Backlog"),"")</f>
        <v/>
      </c>
    </row>
    <row r="133" spans="1:13">
      <c r="A133" t="str">
        <f>IF(AND('Q22026'!B54&lt;&gt;"",'Q22026'!E54&lt;&gt;""),'Q22026'!E54,"")</f>
        <v/>
      </c>
      <c r="B133" t="str">
        <f>IF(AND('Q22026'!B54&lt;&gt;"",'Q22026'!E54&lt;&gt;""),'Q22026'!B54,"")</f>
        <v/>
      </c>
      <c r="C133" t="str">
        <f>IF(AND('Q22026'!B54&lt;&gt;"",'Q22026'!E54&lt;&gt;""),'Q22026'!C54,"")</f>
        <v/>
      </c>
      <c r="D133" t="str">
        <f>IF(AND('Q22026'!B54&lt;&gt;"",'Q22026'!E54&lt;&gt;""),'Q22026'!D54,"")</f>
        <v/>
      </c>
      <c r="E133" t="str">
        <f>IF(AND('Q22026'!B54&lt;&gt;"",'Q22026'!E54&lt;&gt;""),'Q22026'!H54,"")</f>
        <v/>
      </c>
      <c r="F133" t="str">
        <f>IF(AND('Q22026'!B54&lt;&gt;"",'Q22026'!E54&lt;&gt;""),'Q22026'!F54,"")</f>
        <v/>
      </c>
      <c r="G133" t="str">
        <f>IF(AND('Q22026'!B54&lt;&gt;"",'Q22026'!E54&lt;&gt;""),'Q22026'!G54,"")</f>
        <v/>
      </c>
      <c r="H133" t="str">
        <f>IF(AND('Q22026'!B54&lt;&gt;"",'Q22026'!E54&lt;&gt;""),"Q22026","")</f>
        <v/>
      </c>
      <c r="I133" t="str">
        <f>IF(A133="Q12026",COUNTIF($A$2:$A133,"Q12026"),"")</f>
        <v/>
      </c>
      <c r="J133" t="str">
        <f>IF(A133="Q22026",COUNTIF($A$2:$A133,"Q22026"),"")</f>
        <v/>
      </c>
      <c r="K133" t="str">
        <f>IF(A133="Q32026",COUNTIF($A$2:$A133,"Q32026"),"")</f>
        <v/>
      </c>
      <c r="L133" t="str">
        <f>IF(A133="Q42026",COUNTIF($A$2:$A133,"Q42026"),"")</f>
        <v/>
      </c>
      <c r="M133" t="str">
        <f>IF(A133="Backlog",COUNTIF($A$2:$A133,"Backlog"),"")</f>
        <v/>
      </c>
    </row>
    <row r="134" spans="1:13">
      <c r="A134" t="str">
        <f>IF(AND('Q22026'!B55&lt;&gt;"",'Q22026'!E55&lt;&gt;""),'Q22026'!E55,"")</f>
        <v/>
      </c>
      <c r="B134" t="str">
        <f>IF(AND('Q22026'!B55&lt;&gt;"",'Q22026'!E55&lt;&gt;""),'Q22026'!B55,"")</f>
        <v/>
      </c>
      <c r="C134" t="str">
        <f>IF(AND('Q22026'!B55&lt;&gt;"",'Q22026'!E55&lt;&gt;""),'Q22026'!C55,"")</f>
        <v/>
      </c>
      <c r="D134" t="str">
        <f>IF(AND('Q22026'!B55&lt;&gt;"",'Q22026'!E55&lt;&gt;""),'Q22026'!D55,"")</f>
        <v/>
      </c>
      <c r="E134" t="str">
        <f>IF(AND('Q22026'!B55&lt;&gt;"",'Q22026'!E55&lt;&gt;""),'Q22026'!H55,"")</f>
        <v/>
      </c>
      <c r="F134" t="str">
        <f>IF(AND('Q22026'!B55&lt;&gt;"",'Q22026'!E55&lt;&gt;""),'Q22026'!F55,"")</f>
        <v/>
      </c>
      <c r="G134" t="str">
        <f>IF(AND('Q22026'!B55&lt;&gt;"",'Q22026'!E55&lt;&gt;""),'Q22026'!G55,"")</f>
        <v/>
      </c>
      <c r="H134" t="str">
        <f>IF(AND('Q22026'!B55&lt;&gt;"",'Q22026'!E55&lt;&gt;""),"Q22026","")</f>
        <v/>
      </c>
      <c r="I134" t="str">
        <f>IF(A134="Q12026",COUNTIF($A$2:$A134,"Q12026"),"")</f>
        <v/>
      </c>
      <c r="J134" t="str">
        <f>IF(A134="Q22026",COUNTIF($A$2:$A134,"Q22026"),"")</f>
        <v/>
      </c>
      <c r="K134" t="str">
        <f>IF(A134="Q32026",COUNTIF($A$2:$A134,"Q32026"),"")</f>
        <v/>
      </c>
      <c r="L134" t="str">
        <f>IF(A134="Q42026",COUNTIF($A$2:$A134,"Q42026"),"")</f>
        <v/>
      </c>
      <c r="M134" t="str">
        <f>IF(A134="Backlog",COUNTIF($A$2:$A134,"Backlog"),"")</f>
        <v/>
      </c>
    </row>
    <row r="135" spans="1:13">
      <c r="A135" t="str">
        <f>IF(AND('Q22026'!B56&lt;&gt;"",'Q22026'!E56&lt;&gt;""),'Q22026'!E56,"")</f>
        <v/>
      </c>
      <c r="B135" t="str">
        <f>IF(AND('Q22026'!B56&lt;&gt;"",'Q22026'!E56&lt;&gt;""),'Q22026'!B56,"")</f>
        <v/>
      </c>
      <c r="C135" t="str">
        <f>IF(AND('Q22026'!B56&lt;&gt;"",'Q22026'!E56&lt;&gt;""),'Q22026'!C56,"")</f>
        <v/>
      </c>
      <c r="D135" t="str">
        <f>IF(AND('Q22026'!B56&lt;&gt;"",'Q22026'!E56&lt;&gt;""),'Q22026'!D56,"")</f>
        <v/>
      </c>
      <c r="E135" t="str">
        <f>IF(AND('Q22026'!B56&lt;&gt;"",'Q22026'!E56&lt;&gt;""),'Q22026'!H56,"")</f>
        <v/>
      </c>
      <c r="F135" t="str">
        <f>IF(AND('Q22026'!B56&lt;&gt;"",'Q22026'!E56&lt;&gt;""),'Q22026'!F56,"")</f>
        <v/>
      </c>
      <c r="G135" t="str">
        <f>IF(AND('Q22026'!B56&lt;&gt;"",'Q22026'!E56&lt;&gt;""),'Q22026'!G56,"")</f>
        <v/>
      </c>
      <c r="H135" t="str">
        <f>IF(AND('Q22026'!B56&lt;&gt;"",'Q22026'!E56&lt;&gt;""),"Q22026","")</f>
        <v/>
      </c>
      <c r="I135" t="str">
        <f>IF(A135="Q12026",COUNTIF($A$2:$A135,"Q12026"),"")</f>
        <v/>
      </c>
      <c r="J135" t="str">
        <f>IF(A135="Q22026",COUNTIF($A$2:$A135,"Q22026"),"")</f>
        <v/>
      </c>
      <c r="K135" t="str">
        <f>IF(A135="Q32026",COUNTIF($A$2:$A135,"Q32026"),"")</f>
        <v/>
      </c>
      <c r="L135" t="str">
        <f>IF(A135="Q42026",COUNTIF($A$2:$A135,"Q42026"),"")</f>
        <v/>
      </c>
      <c r="M135" t="str">
        <f>IF(A135="Backlog",COUNTIF($A$2:$A135,"Backlog"),"")</f>
        <v/>
      </c>
    </row>
    <row r="136" spans="1:13">
      <c r="A136" t="str">
        <f>IF(AND('Q22026'!B57&lt;&gt;"",'Q22026'!E57&lt;&gt;""),'Q22026'!E57,"")</f>
        <v/>
      </c>
      <c r="B136" t="str">
        <f>IF(AND('Q22026'!B57&lt;&gt;"",'Q22026'!E57&lt;&gt;""),'Q22026'!B57,"")</f>
        <v/>
      </c>
      <c r="C136" t="str">
        <f>IF(AND('Q22026'!B57&lt;&gt;"",'Q22026'!E57&lt;&gt;""),'Q22026'!C57,"")</f>
        <v/>
      </c>
      <c r="D136" t="str">
        <f>IF(AND('Q22026'!B57&lt;&gt;"",'Q22026'!E57&lt;&gt;""),'Q22026'!D57,"")</f>
        <v/>
      </c>
      <c r="E136" t="str">
        <f>IF(AND('Q22026'!B57&lt;&gt;"",'Q22026'!E57&lt;&gt;""),'Q22026'!H57,"")</f>
        <v/>
      </c>
      <c r="F136" t="str">
        <f>IF(AND('Q22026'!B57&lt;&gt;"",'Q22026'!E57&lt;&gt;""),'Q22026'!F57,"")</f>
        <v/>
      </c>
      <c r="G136" t="str">
        <f>IF(AND('Q22026'!B57&lt;&gt;"",'Q22026'!E57&lt;&gt;""),'Q22026'!G57,"")</f>
        <v/>
      </c>
      <c r="H136" t="str">
        <f>IF(AND('Q22026'!B57&lt;&gt;"",'Q22026'!E57&lt;&gt;""),"Q22026","")</f>
        <v/>
      </c>
      <c r="I136" t="str">
        <f>IF(A136="Q12026",COUNTIF($A$2:$A136,"Q12026"),"")</f>
        <v/>
      </c>
      <c r="J136" t="str">
        <f>IF(A136="Q22026",COUNTIF($A$2:$A136,"Q22026"),"")</f>
        <v/>
      </c>
      <c r="K136" t="str">
        <f>IF(A136="Q32026",COUNTIF($A$2:$A136,"Q32026"),"")</f>
        <v/>
      </c>
      <c r="L136" t="str">
        <f>IF(A136="Q42026",COUNTIF($A$2:$A136,"Q42026"),"")</f>
        <v/>
      </c>
      <c r="M136" t="str">
        <f>IF(A136="Backlog",COUNTIF($A$2:$A136,"Backlog"),"")</f>
        <v/>
      </c>
    </row>
    <row r="137" spans="1:13">
      <c r="A137" t="str">
        <f>IF(AND('Q22026'!B58&lt;&gt;"",'Q22026'!E58&lt;&gt;""),'Q22026'!E58,"")</f>
        <v/>
      </c>
      <c r="B137" t="str">
        <f>IF(AND('Q22026'!B58&lt;&gt;"",'Q22026'!E58&lt;&gt;""),'Q22026'!B58,"")</f>
        <v/>
      </c>
      <c r="C137" t="str">
        <f>IF(AND('Q22026'!B58&lt;&gt;"",'Q22026'!E58&lt;&gt;""),'Q22026'!C58,"")</f>
        <v/>
      </c>
      <c r="D137" t="str">
        <f>IF(AND('Q22026'!B58&lt;&gt;"",'Q22026'!E58&lt;&gt;""),'Q22026'!D58,"")</f>
        <v/>
      </c>
      <c r="E137" t="str">
        <f>IF(AND('Q22026'!B58&lt;&gt;"",'Q22026'!E58&lt;&gt;""),'Q22026'!H58,"")</f>
        <v/>
      </c>
      <c r="F137" t="str">
        <f>IF(AND('Q22026'!B58&lt;&gt;"",'Q22026'!E58&lt;&gt;""),'Q22026'!F58,"")</f>
        <v/>
      </c>
      <c r="G137" t="str">
        <f>IF(AND('Q22026'!B58&lt;&gt;"",'Q22026'!E58&lt;&gt;""),'Q22026'!G58,"")</f>
        <v/>
      </c>
      <c r="H137" t="str">
        <f>IF(AND('Q22026'!B58&lt;&gt;"",'Q22026'!E58&lt;&gt;""),"Q22026","")</f>
        <v/>
      </c>
      <c r="I137" t="str">
        <f>IF(A137="Q12026",COUNTIF($A$2:$A137,"Q12026"),"")</f>
        <v/>
      </c>
      <c r="J137" t="str">
        <f>IF(A137="Q22026",COUNTIF($A$2:$A137,"Q22026"),"")</f>
        <v/>
      </c>
      <c r="K137" t="str">
        <f>IF(A137="Q32026",COUNTIF($A$2:$A137,"Q32026"),"")</f>
        <v/>
      </c>
      <c r="L137" t="str">
        <f>IF(A137="Q42026",COUNTIF($A$2:$A137,"Q42026"),"")</f>
        <v/>
      </c>
      <c r="M137" t="str">
        <f>IF(A137="Backlog",COUNTIF($A$2:$A137,"Backlog"),"")</f>
        <v/>
      </c>
    </row>
    <row r="138" spans="1:13">
      <c r="A138" t="str">
        <f>IF(AND('Q22026'!B59&lt;&gt;"",'Q22026'!E59&lt;&gt;""),'Q22026'!E59,"")</f>
        <v/>
      </c>
      <c r="B138" t="str">
        <f>IF(AND('Q22026'!B59&lt;&gt;"",'Q22026'!E59&lt;&gt;""),'Q22026'!B59,"")</f>
        <v/>
      </c>
      <c r="C138" t="str">
        <f>IF(AND('Q22026'!B59&lt;&gt;"",'Q22026'!E59&lt;&gt;""),'Q22026'!C59,"")</f>
        <v/>
      </c>
      <c r="D138" t="str">
        <f>IF(AND('Q22026'!B59&lt;&gt;"",'Q22026'!E59&lt;&gt;""),'Q22026'!D59,"")</f>
        <v/>
      </c>
      <c r="E138" t="str">
        <f>IF(AND('Q22026'!B59&lt;&gt;"",'Q22026'!E59&lt;&gt;""),'Q22026'!H59,"")</f>
        <v/>
      </c>
      <c r="F138" t="str">
        <f>IF(AND('Q22026'!B59&lt;&gt;"",'Q22026'!E59&lt;&gt;""),'Q22026'!F59,"")</f>
        <v/>
      </c>
      <c r="G138" t="str">
        <f>IF(AND('Q22026'!B59&lt;&gt;"",'Q22026'!E59&lt;&gt;""),'Q22026'!G59,"")</f>
        <v/>
      </c>
      <c r="H138" t="str">
        <f>IF(AND('Q22026'!B59&lt;&gt;"",'Q22026'!E59&lt;&gt;""),"Q22026","")</f>
        <v/>
      </c>
      <c r="I138" t="str">
        <f>IF(A138="Q12026",COUNTIF($A$2:$A138,"Q12026"),"")</f>
        <v/>
      </c>
      <c r="J138" t="str">
        <f>IF(A138="Q22026",COUNTIF($A$2:$A138,"Q22026"),"")</f>
        <v/>
      </c>
      <c r="K138" t="str">
        <f>IF(A138="Q32026",COUNTIF($A$2:$A138,"Q32026"),"")</f>
        <v/>
      </c>
      <c r="L138" t="str">
        <f>IF(A138="Q42026",COUNTIF($A$2:$A138,"Q42026"),"")</f>
        <v/>
      </c>
      <c r="M138" t="str">
        <f>IF(A138="Backlog",COUNTIF($A$2:$A138,"Backlog"),"")</f>
        <v/>
      </c>
    </row>
    <row r="139" spans="1:13">
      <c r="A139" t="str">
        <f>IF(AND('Q22026'!B60&lt;&gt;"",'Q22026'!E60&lt;&gt;""),'Q22026'!E60,"")</f>
        <v/>
      </c>
      <c r="B139" t="str">
        <f>IF(AND('Q22026'!B60&lt;&gt;"",'Q22026'!E60&lt;&gt;""),'Q22026'!B60,"")</f>
        <v/>
      </c>
      <c r="C139" t="str">
        <f>IF(AND('Q22026'!B60&lt;&gt;"",'Q22026'!E60&lt;&gt;""),'Q22026'!C60,"")</f>
        <v/>
      </c>
      <c r="D139" t="str">
        <f>IF(AND('Q22026'!B60&lt;&gt;"",'Q22026'!E60&lt;&gt;""),'Q22026'!D60,"")</f>
        <v/>
      </c>
      <c r="E139" t="str">
        <f>IF(AND('Q22026'!B60&lt;&gt;"",'Q22026'!E60&lt;&gt;""),'Q22026'!H60,"")</f>
        <v/>
      </c>
      <c r="F139" t="str">
        <f>IF(AND('Q22026'!B60&lt;&gt;"",'Q22026'!E60&lt;&gt;""),'Q22026'!F60,"")</f>
        <v/>
      </c>
      <c r="G139" t="str">
        <f>IF(AND('Q22026'!B60&lt;&gt;"",'Q22026'!E60&lt;&gt;""),'Q22026'!G60,"")</f>
        <v/>
      </c>
      <c r="H139" t="str">
        <f>IF(AND('Q22026'!B60&lt;&gt;"",'Q22026'!E60&lt;&gt;""),"Q22026","")</f>
        <v/>
      </c>
      <c r="I139" t="str">
        <f>IF(A139="Q12026",COUNTIF($A$2:$A139,"Q12026"),"")</f>
        <v/>
      </c>
      <c r="J139" t="str">
        <f>IF(A139="Q22026",COUNTIF($A$2:$A139,"Q22026"),"")</f>
        <v/>
      </c>
      <c r="K139" t="str">
        <f>IF(A139="Q32026",COUNTIF($A$2:$A139,"Q32026"),"")</f>
        <v/>
      </c>
      <c r="L139" t="str">
        <f>IF(A139="Q42026",COUNTIF($A$2:$A139,"Q42026"),"")</f>
        <v/>
      </c>
      <c r="M139" t="str">
        <f>IF(A139="Backlog",COUNTIF($A$2:$A139,"Backlog"),"")</f>
        <v/>
      </c>
    </row>
    <row r="140" spans="1:13">
      <c r="A140" t="str">
        <f>IF(AND('Q22026'!B61&lt;&gt;"",'Q22026'!E61&lt;&gt;""),'Q22026'!E61,"")</f>
        <v/>
      </c>
      <c r="B140" t="str">
        <f>IF(AND('Q22026'!B61&lt;&gt;"",'Q22026'!E61&lt;&gt;""),'Q22026'!B61,"")</f>
        <v/>
      </c>
      <c r="C140" t="str">
        <f>IF(AND('Q22026'!B61&lt;&gt;"",'Q22026'!E61&lt;&gt;""),'Q22026'!C61,"")</f>
        <v/>
      </c>
      <c r="D140" t="str">
        <f>IF(AND('Q22026'!B61&lt;&gt;"",'Q22026'!E61&lt;&gt;""),'Q22026'!D61,"")</f>
        <v/>
      </c>
      <c r="E140" t="str">
        <f>IF(AND('Q22026'!B61&lt;&gt;"",'Q22026'!E61&lt;&gt;""),'Q22026'!H61,"")</f>
        <v/>
      </c>
      <c r="F140" t="str">
        <f>IF(AND('Q22026'!B61&lt;&gt;"",'Q22026'!E61&lt;&gt;""),'Q22026'!F61,"")</f>
        <v/>
      </c>
      <c r="G140" t="str">
        <f>IF(AND('Q22026'!B61&lt;&gt;"",'Q22026'!E61&lt;&gt;""),'Q22026'!G61,"")</f>
        <v/>
      </c>
      <c r="H140" t="str">
        <f>IF(AND('Q22026'!B61&lt;&gt;"",'Q22026'!E61&lt;&gt;""),"Q22026","")</f>
        <v/>
      </c>
      <c r="I140" t="str">
        <f>IF(A140="Q12026",COUNTIF($A$2:$A140,"Q12026"),"")</f>
        <v/>
      </c>
      <c r="J140" t="str">
        <f>IF(A140="Q22026",COUNTIF($A$2:$A140,"Q22026"),"")</f>
        <v/>
      </c>
      <c r="K140" t="str">
        <f>IF(A140="Q32026",COUNTIF($A$2:$A140,"Q32026"),"")</f>
        <v/>
      </c>
      <c r="L140" t="str">
        <f>IF(A140="Q42026",COUNTIF($A$2:$A140,"Q42026"),"")</f>
        <v/>
      </c>
      <c r="M140" t="str">
        <f>IF(A140="Backlog",COUNTIF($A$2:$A140,"Backlog"),"")</f>
        <v/>
      </c>
    </row>
    <row r="141" spans="1:13">
      <c r="A141" t="str">
        <f>IF(AND('Q22026'!B62&lt;&gt;"",'Q22026'!E62&lt;&gt;""),'Q22026'!E62,"")</f>
        <v/>
      </c>
      <c r="B141" t="str">
        <f>IF(AND('Q22026'!B62&lt;&gt;"",'Q22026'!E62&lt;&gt;""),'Q22026'!B62,"")</f>
        <v/>
      </c>
      <c r="C141" t="str">
        <f>IF(AND('Q22026'!B62&lt;&gt;"",'Q22026'!E62&lt;&gt;""),'Q22026'!C62,"")</f>
        <v/>
      </c>
      <c r="D141" t="str">
        <f>IF(AND('Q22026'!B62&lt;&gt;"",'Q22026'!E62&lt;&gt;""),'Q22026'!D62,"")</f>
        <v/>
      </c>
      <c r="E141" t="str">
        <f>IF(AND('Q22026'!B62&lt;&gt;"",'Q22026'!E62&lt;&gt;""),'Q22026'!H62,"")</f>
        <v/>
      </c>
      <c r="F141" t="str">
        <f>IF(AND('Q22026'!B62&lt;&gt;"",'Q22026'!E62&lt;&gt;""),'Q22026'!F62,"")</f>
        <v/>
      </c>
      <c r="G141" t="str">
        <f>IF(AND('Q22026'!B62&lt;&gt;"",'Q22026'!E62&lt;&gt;""),'Q22026'!G62,"")</f>
        <v/>
      </c>
      <c r="H141" t="str">
        <f>IF(AND('Q22026'!B62&lt;&gt;"",'Q22026'!E62&lt;&gt;""),"Q22026","")</f>
        <v/>
      </c>
      <c r="I141" t="str">
        <f>IF(A141="Q12026",COUNTIF($A$2:$A141,"Q12026"),"")</f>
        <v/>
      </c>
      <c r="J141" t="str">
        <f>IF(A141="Q22026",COUNTIF($A$2:$A141,"Q22026"),"")</f>
        <v/>
      </c>
      <c r="K141" t="str">
        <f>IF(A141="Q32026",COUNTIF($A$2:$A141,"Q32026"),"")</f>
        <v/>
      </c>
      <c r="L141" t="str">
        <f>IF(A141="Q42026",COUNTIF($A$2:$A141,"Q42026"),"")</f>
        <v/>
      </c>
      <c r="M141" t="str">
        <f>IF(A141="Backlog",COUNTIF($A$2:$A141,"Backlog"),"")</f>
        <v/>
      </c>
    </row>
    <row r="142" spans="1:13">
      <c r="A142" t="str">
        <f>IF(AND('Q22026'!B63&lt;&gt;"",'Q22026'!E63&lt;&gt;""),'Q22026'!E63,"")</f>
        <v/>
      </c>
      <c r="B142" t="str">
        <f>IF(AND('Q22026'!B63&lt;&gt;"",'Q22026'!E63&lt;&gt;""),'Q22026'!B63,"")</f>
        <v/>
      </c>
      <c r="C142" t="str">
        <f>IF(AND('Q22026'!B63&lt;&gt;"",'Q22026'!E63&lt;&gt;""),'Q22026'!C63,"")</f>
        <v/>
      </c>
      <c r="D142" t="str">
        <f>IF(AND('Q22026'!B63&lt;&gt;"",'Q22026'!E63&lt;&gt;""),'Q22026'!D63,"")</f>
        <v/>
      </c>
      <c r="E142" t="str">
        <f>IF(AND('Q22026'!B63&lt;&gt;"",'Q22026'!E63&lt;&gt;""),'Q22026'!H63,"")</f>
        <v/>
      </c>
      <c r="F142" t="str">
        <f>IF(AND('Q22026'!B63&lt;&gt;"",'Q22026'!E63&lt;&gt;""),'Q22026'!F63,"")</f>
        <v/>
      </c>
      <c r="G142" t="str">
        <f>IF(AND('Q22026'!B63&lt;&gt;"",'Q22026'!E63&lt;&gt;""),'Q22026'!G63,"")</f>
        <v/>
      </c>
      <c r="H142" t="str">
        <f>IF(AND('Q22026'!B63&lt;&gt;"",'Q22026'!E63&lt;&gt;""),"Q22026","")</f>
        <v/>
      </c>
      <c r="I142" t="str">
        <f>IF(A142="Q12026",COUNTIF($A$2:$A142,"Q12026"),"")</f>
        <v/>
      </c>
      <c r="J142" t="str">
        <f>IF(A142="Q22026",COUNTIF($A$2:$A142,"Q22026"),"")</f>
        <v/>
      </c>
      <c r="K142" t="str">
        <f>IF(A142="Q32026",COUNTIF($A$2:$A142,"Q32026"),"")</f>
        <v/>
      </c>
      <c r="L142" t="str">
        <f>IF(A142="Q42026",COUNTIF($A$2:$A142,"Q42026"),"")</f>
        <v/>
      </c>
      <c r="M142" t="str">
        <f>IF(A142="Backlog",COUNTIF($A$2:$A142,"Backlog"),"")</f>
        <v/>
      </c>
    </row>
    <row r="143" spans="1:13">
      <c r="A143" t="str">
        <f>IF(AND('Q22026'!B64&lt;&gt;"",'Q22026'!E64&lt;&gt;""),'Q22026'!E64,"")</f>
        <v/>
      </c>
      <c r="B143" t="str">
        <f>IF(AND('Q22026'!B64&lt;&gt;"",'Q22026'!E64&lt;&gt;""),'Q22026'!B64,"")</f>
        <v/>
      </c>
      <c r="C143" t="str">
        <f>IF(AND('Q22026'!B64&lt;&gt;"",'Q22026'!E64&lt;&gt;""),'Q22026'!C64,"")</f>
        <v/>
      </c>
      <c r="D143" t="str">
        <f>IF(AND('Q22026'!B64&lt;&gt;"",'Q22026'!E64&lt;&gt;""),'Q22026'!D64,"")</f>
        <v/>
      </c>
      <c r="E143" t="str">
        <f>IF(AND('Q22026'!B64&lt;&gt;"",'Q22026'!E64&lt;&gt;""),'Q22026'!H64,"")</f>
        <v/>
      </c>
      <c r="F143" t="str">
        <f>IF(AND('Q22026'!B64&lt;&gt;"",'Q22026'!E64&lt;&gt;""),'Q22026'!F64,"")</f>
        <v/>
      </c>
      <c r="G143" t="str">
        <f>IF(AND('Q22026'!B64&lt;&gt;"",'Q22026'!E64&lt;&gt;""),'Q22026'!G64,"")</f>
        <v/>
      </c>
      <c r="H143" t="str">
        <f>IF(AND('Q22026'!B64&lt;&gt;"",'Q22026'!E64&lt;&gt;""),"Q22026","")</f>
        <v/>
      </c>
      <c r="I143" t="str">
        <f>IF(A143="Q12026",COUNTIF($A$2:$A143,"Q12026"),"")</f>
        <v/>
      </c>
      <c r="J143" t="str">
        <f>IF(A143="Q22026",COUNTIF($A$2:$A143,"Q22026"),"")</f>
        <v/>
      </c>
      <c r="K143" t="str">
        <f>IF(A143="Q32026",COUNTIF($A$2:$A143,"Q32026"),"")</f>
        <v/>
      </c>
      <c r="L143" t="str">
        <f>IF(A143="Q42026",COUNTIF($A$2:$A143,"Q42026"),"")</f>
        <v/>
      </c>
      <c r="M143" t="str">
        <f>IF(A143="Backlog",COUNTIF($A$2:$A143,"Backlog"),"")</f>
        <v/>
      </c>
    </row>
    <row r="144" spans="1:13">
      <c r="A144" t="str">
        <f>IF(AND('Q22026'!B65&lt;&gt;"",'Q22026'!E65&lt;&gt;""),'Q22026'!E65,"")</f>
        <v/>
      </c>
      <c r="B144" t="str">
        <f>IF(AND('Q22026'!B65&lt;&gt;"",'Q22026'!E65&lt;&gt;""),'Q22026'!B65,"")</f>
        <v/>
      </c>
      <c r="C144" t="str">
        <f>IF(AND('Q22026'!B65&lt;&gt;"",'Q22026'!E65&lt;&gt;""),'Q22026'!C65,"")</f>
        <v/>
      </c>
      <c r="D144" t="str">
        <f>IF(AND('Q22026'!B65&lt;&gt;"",'Q22026'!E65&lt;&gt;""),'Q22026'!D65,"")</f>
        <v/>
      </c>
      <c r="E144" t="str">
        <f>IF(AND('Q22026'!B65&lt;&gt;"",'Q22026'!E65&lt;&gt;""),'Q22026'!H65,"")</f>
        <v/>
      </c>
      <c r="F144" t="str">
        <f>IF(AND('Q22026'!B65&lt;&gt;"",'Q22026'!E65&lt;&gt;""),'Q22026'!F65,"")</f>
        <v/>
      </c>
      <c r="G144" t="str">
        <f>IF(AND('Q22026'!B65&lt;&gt;"",'Q22026'!E65&lt;&gt;""),'Q22026'!G65,"")</f>
        <v/>
      </c>
      <c r="H144" t="str">
        <f>IF(AND('Q22026'!B65&lt;&gt;"",'Q22026'!E65&lt;&gt;""),"Q22026","")</f>
        <v/>
      </c>
      <c r="I144" t="str">
        <f>IF(A144="Q12026",COUNTIF($A$2:$A144,"Q12026"),"")</f>
        <v/>
      </c>
      <c r="J144" t="str">
        <f>IF(A144="Q22026",COUNTIF($A$2:$A144,"Q22026"),"")</f>
        <v/>
      </c>
      <c r="K144" t="str">
        <f>IF(A144="Q32026",COUNTIF($A$2:$A144,"Q32026"),"")</f>
        <v/>
      </c>
      <c r="L144" t="str">
        <f>IF(A144="Q42026",COUNTIF($A$2:$A144,"Q42026"),"")</f>
        <v/>
      </c>
      <c r="M144" t="str">
        <f>IF(A144="Backlog",COUNTIF($A$2:$A144,"Backlog"),"")</f>
        <v/>
      </c>
    </row>
    <row r="145" spans="1:13">
      <c r="A145" t="str">
        <f>IF(AND('Q22026'!B66&lt;&gt;"",'Q22026'!E66&lt;&gt;""),'Q22026'!E66,"")</f>
        <v/>
      </c>
      <c r="B145" t="str">
        <f>IF(AND('Q22026'!B66&lt;&gt;"",'Q22026'!E66&lt;&gt;""),'Q22026'!B66,"")</f>
        <v/>
      </c>
      <c r="C145" t="str">
        <f>IF(AND('Q22026'!B66&lt;&gt;"",'Q22026'!E66&lt;&gt;""),'Q22026'!C66,"")</f>
        <v/>
      </c>
      <c r="D145" t="str">
        <f>IF(AND('Q22026'!B66&lt;&gt;"",'Q22026'!E66&lt;&gt;""),'Q22026'!D66,"")</f>
        <v/>
      </c>
      <c r="E145" t="str">
        <f>IF(AND('Q22026'!B66&lt;&gt;"",'Q22026'!E66&lt;&gt;""),'Q22026'!H66,"")</f>
        <v/>
      </c>
      <c r="F145" t="str">
        <f>IF(AND('Q22026'!B66&lt;&gt;"",'Q22026'!E66&lt;&gt;""),'Q22026'!F66,"")</f>
        <v/>
      </c>
      <c r="G145" t="str">
        <f>IF(AND('Q22026'!B66&lt;&gt;"",'Q22026'!E66&lt;&gt;""),'Q22026'!G66,"")</f>
        <v/>
      </c>
      <c r="H145" t="str">
        <f>IF(AND('Q22026'!B66&lt;&gt;"",'Q22026'!E66&lt;&gt;""),"Q22026","")</f>
        <v/>
      </c>
      <c r="I145" t="str">
        <f>IF(A145="Q12026",COUNTIF($A$2:$A145,"Q12026"),"")</f>
        <v/>
      </c>
      <c r="J145" t="str">
        <f>IF(A145="Q22026",COUNTIF($A$2:$A145,"Q22026"),"")</f>
        <v/>
      </c>
      <c r="K145" t="str">
        <f>IF(A145="Q32026",COUNTIF($A$2:$A145,"Q32026"),"")</f>
        <v/>
      </c>
      <c r="L145" t="str">
        <f>IF(A145="Q42026",COUNTIF($A$2:$A145,"Q42026"),"")</f>
        <v/>
      </c>
      <c r="M145" t="str">
        <f>IF(A145="Backlog",COUNTIF($A$2:$A145,"Backlog"),"")</f>
        <v/>
      </c>
    </row>
    <row r="146" spans="1:13">
      <c r="A146" t="str">
        <f>IF(AND('Q22026'!B67&lt;&gt;"",'Q22026'!E67&lt;&gt;""),'Q22026'!E67,"")</f>
        <v/>
      </c>
      <c r="B146" t="str">
        <f>IF(AND('Q22026'!B67&lt;&gt;"",'Q22026'!E67&lt;&gt;""),'Q22026'!B67,"")</f>
        <v/>
      </c>
      <c r="C146" t="str">
        <f>IF(AND('Q22026'!B67&lt;&gt;"",'Q22026'!E67&lt;&gt;""),'Q22026'!C67,"")</f>
        <v/>
      </c>
      <c r="D146" t="str">
        <f>IF(AND('Q22026'!B67&lt;&gt;"",'Q22026'!E67&lt;&gt;""),'Q22026'!D67,"")</f>
        <v/>
      </c>
      <c r="E146" t="str">
        <f>IF(AND('Q22026'!B67&lt;&gt;"",'Q22026'!E67&lt;&gt;""),'Q22026'!H67,"")</f>
        <v/>
      </c>
      <c r="F146" t="str">
        <f>IF(AND('Q22026'!B67&lt;&gt;"",'Q22026'!E67&lt;&gt;""),'Q22026'!F67,"")</f>
        <v/>
      </c>
      <c r="G146" t="str">
        <f>IF(AND('Q22026'!B67&lt;&gt;"",'Q22026'!E67&lt;&gt;""),'Q22026'!G67,"")</f>
        <v/>
      </c>
      <c r="H146" t="str">
        <f>IF(AND('Q22026'!B67&lt;&gt;"",'Q22026'!E67&lt;&gt;""),"Q22026","")</f>
        <v/>
      </c>
      <c r="I146" t="str">
        <f>IF(A146="Q12026",COUNTIF($A$2:$A146,"Q12026"),"")</f>
        <v/>
      </c>
      <c r="J146" t="str">
        <f>IF(A146="Q22026",COUNTIF($A$2:$A146,"Q22026"),"")</f>
        <v/>
      </c>
      <c r="K146" t="str">
        <f>IF(A146="Q32026",COUNTIF($A$2:$A146,"Q32026"),"")</f>
        <v/>
      </c>
      <c r="L146" t="str">
        <f>IF(A146="Q42026",COUNTIF($A$2:$A146,"Q42026"),"")</f>
        <v/>
      </c>
      <c r="M146" t="str">
        <f>IF(A146="Backlog",COUNTIF($A$2:$A146,"Backlog"),"")</f>
        <v/>
      </c>
    </row>
    <row r="147" spans="1:13">
      <c r="A147" t="str">
        <f>IF(AND('Q22026'!B68&lt;&gt;"",'Q22026'!E68&lt;&gt;""),'Q22026'!E68,"")</f>
        <v/>
      </c>
      <c r="B147" t="str">
        <f>IF(AND('Q22026'!B68&lt;&gt;"",'Q22026'!E68&lt;&gt;""),'Q22026'!B68,"")</f>
        <v/>
      </c>
      <c r="C147" t="str">
        <f>IF(AND('Q22026'!B68&lt;&gt;"",'Q22026'!E68&lt;&gt;""),'Q22026'!C68,"")</f>
        <v/>
      </c>
      <c r="D147" t="str">
        <f>IF(AND('Q22026'!B68&lt;&gt;"",'Q22026'!E68&lt;&gt;""),'Q22026'!D68,"")</f>
        <v/>
      </c>
      <c r="E147" t="str">
        <f>IF(AND('Q22026'!B68&lt;&gt;"",'Q22026'!E68&lt;&gt;""),'Q22026'!H68,"")</f>
        <v/>
      </c>
      <c r="F147" t="str">
        <f>IF(AND('Q22026'!B68&lt;&gt;"",'Q22026'!E68&lt;&gt;""),'Q22026'!F68,"")</f>
        <v/>
      </c>
      <c r="G147" t="str">
        <f>IF(AND('Q22026'!B68&lt;&gt;"",'Q22026'!E68&lt;&gt;""),'Q22026'!G68,"")</f>
        <v/>
      </c>
      <c r="H147" t="str">
        <f>IF(AND('Q22026'!B68&lt;&gt;"",'Q22026'!E68&lt;&gt;""),"Q22026","")</f>
        <v/>
      </c>
      <c r="I147" t="str">
        <f>IF(A147="Q12026",COUNTIF($A$2:$A147,"Q12026"),"")</f>
        <v/>
      </c>
      <c r="J147" t="str">
        <f>IF(A147="Q22026",COUNTIF($A$2:$A147,"Q22026"),"")</f>
        <v/>
      </c>
      <c r="K147" t="str">
        <f>IF(A147="Q32026",COUNTIF($A$2:$A147,"Q32026"),"")</f>
        <v/>
      </c>
      <c r="L147" t="str">
        <f>IF(A147="Q42026",COUNTIF($A$2:$A147,"Q42026"),"")</f>
        <v/>
      </c>
      <c r="M147" t="str">
        <f>IF(A147="Backlog",COUNTIF($A$2:$A147,"Backlog"),"")</f>
        <v/>
      </c>
    </row>
    <row r="148" spans="1:13">
      <c r="A148" t="str">
        <f>IF(AND('Q22026'!B69&lt;&gt;"",'Q22026'!E69&lt;&gt;""),'Q22026'!E69,"")</f>
        <v/>
      </c>
      <c r="B148" t="str">
        <f>IF(AND('Q22026'!B69&lt;&gt;"",'Q22026'!E69&lt;&gt;""),'Q22026'!B69,"")</f>
        <v/>
      </c>
      <c r="C148" t="str">
        <f>IF(AND('Q22026'!B69&lt;&gt;"",'Q22026'!E69&lt;&gt;""),'Q22026'!C69,"")</f>
        <v/>
      </c>
      <c r="D148" t="str">
        <f>IF(AND('Q22026'!B69&lt;&gt;"",'Q22026'!E69&lt;&gt;""),'Q22026'!D69,"")</f>
        <v/>
      </c>
      <c r="E148" t="str">
        <f>IF(AND('Q22026'!B69&lt;&gt;"",'Q22026'!E69&lt;&gt;""),'Q22026'!H69,"")</f>
        <v/>
      </c>
      <c r="F148" t="str">
        <f>IF(AND('Q22026'!B69&lt;&gt;"",'Q22026'!E69&lt;&gt;""),'Q22026'!F69,"")</f>
        <v/>
      </c>
      <c r="G148" t="str">
        <f>IF(AND('Q22026'!B69&lt;&gt;"",'Q22026'!E69&lt;&gt;""),'Q22026'!G69,"")</f>
        <v/>
      </c>
      <c r="H148" t="str">
        <f>IF(AND('Q22026'!B69&lt;&gt;"",'Q22026'!E69&lt;&gt;""),"Q22026","")</f>
        <v/>
      </c>
      <c r="I148" t="str">
        <f>IF(A148="Q12026",COUNTIF($A$2:$A148,"Q12026"),"")</f>
        <v/>
      </c>
      <c r="J148" t="str">
        <f>IF(A148="Q22026",COUNTIF($A$2:$A148,"Q22026"),"")</f>
        <v/>
      </c>
      <c r="K148" t="str">
        <f>IF(A148="Q32026",COUNTIF($A$2:$A148,"Q32026"),"")</f>
        <v/>
      </c>
      <c r="L148" t="str">
        <f>IF(A148="Q42026",COUNTIF($A$2:$A148,"Q42026"),"")</f>
        <v/>
      </c>
      <c r="M148" t="str">
        <f>IF(A148="Backlog",COUNTIF($A$2:$A148,"Backlog"),"")</f>
        <v/>
      </c>
    </row>
    <row r="149" spans="1:13">
      <c r="A149" t="str">
        <f>IF(AND('Q22026'!B70&lt;&gt;"",'Q22026'!E70&lt;&gt;""),'Q22026'!E70,"")</f>
        <v/>
      </c>
      <c r="B149" t="str">
        <f>IF(AND('Q22026'!B70&lt;&gt;"",'Q22026'!E70&lt;&gt;""),'Q22026'!B70,"")</f>
        <v/>
      </c>
      <c r="C149" t="str">
        <f>IF(AND('Q22026'!B70&lt;&gt;"",'Q22026'!E70&lt;&gt;""),'Q22026'!C70,"")</f>
        <v/>
      </c>
      <c r="D149" t="str">
        <f>IF(AND('Q22026'!B70&lt;&gt;"",'Q22026'!E70&lt;&gt;""),'Q22026'!D70,"")</f>
        <v/>
      </c>
      <c r="E149" t="str">
        <f>IF(AND('Q22026'!B70&lt;&gt;"",'Q22026'!E70&lt;&gt;""),'Q22026'!H70,"")</f>
        <v/>
      </c>
      <c r="F149" t="str">
        <f>IF(AND('Q22026'!B70&lt;&gt;"",'Q22026'!E70&lt;&gt;""),'Q22026'!F70,"")</f>
        <v/>
      </c>
      <c r="G149" t="str">
        <f>IF(AND('Q22026'!B70&lt;&gt;"",'Q22026'!E70&lt;&gt;""),'Q22026'!G70,"")</f>
        <v/>
      </c>
      <c r="H149" t="str">
        <f>IF(AND('Q22026'!B70&lt;&gt;"",'Q22026'!E70&lt;&gt;""),"Q22026","")</f>
        <v/>
      </c>
      <c r="I149" t="str">
        <f>IF(A149="Q12026",COUNTIF($A$2:$A149,"Q12026"),"")</f>
        <v/>
      </c>
      <c r="J149" t="str">
        <f>IF(A149="Q22026",COUNTIF($A$2:$A149,"Q22026"),"")</f>
        <v/>
      </c>
      <c r="K149" t="str">
        <f>IF(A149="Q32026",COUNTIF($A$2:$A149,"Q32026"),"")</f>
        <v/>
      </c>
      <c r="L149" t="str">
        <f>IF(A149="Q42026",COUNTIF($A$2:$A149,"Q42026"),"")</f>
        <v/>
      </c>
      <c r="M149" t="str">
        <f>IF(A149="Backlog",COUNTIF($A$2:$A149,"Backlog"),"")</f>
        <v/>
      </c>
    </row>
    <row r="150" spans="1:13">
      <c r="A150" t="str">
        <f>IF(AND('Q22026'!B71&lt;&gt;"",'Q22026'!E71&lt;&gt;""),'Q22026'!E71,"")</f>
        <v/>
      </c>
      <c r="B150" t="str">
        <f>IF(AND('Q22026'!B71&lt;&gt;"",'Q22026'!E71&lt;&gt;""),'Q22026'!B71,"")</f>
        <v/>
      </c>
      <c r="C150" t="str">
        <f>IF(AND('Q22026'!B71&lt;&gt;"",'Q22026'!E71&lt;&gt;""),'Q22026'!C71,"")</f>
        <v/>
      </c>
      <c r="D150" t="str">
        <f>IF(AND('Q22026'!B71&lt;&gt;"",'Q22026'!E71&lt;&gt;""),'Q22026'!D71,"")</f>
        <v/>
      </c>
      <c r="E150" t="str">
        <f>IF(AND('Q22026'!B71&lt;&gt;"",'Q22026'!E71&lt;&gt;""),'Q22026'!H71,"")</f>
        <v/>
      </c>
      <c r="F150" t="str">
        <f>IF(AND('Q22026'!B71&lt;&gt;"",'Q22026'!E71&lt;&gt;""),'Q22026'!F71,"")</f>
        <v/>
      </c>
      <c r="G150" t="str">
        <f>IF(AND('Q22026'!B71&lt;&gt;"",'Q22026'!E71&lt;&gt;""),'Q22026'!G71,"")</f>
        <v/>
      </c>
      <c r="H150" t="str">
        <f>IF(AND('Q22026'!B71&lt;&gt;"",'Q22026'!E71&lt;&gt;""),"Q22026","")</f>
        <v/>
      </c>
      <c r="I150" t="str">
        <f>IF(A150="Q12026",COUNTIF($A$2:$A150,"Q12026"),"")</f>
        <v/>
      </c>
      <c r="J150" t="str">
        <f>IF(A150="Q22026",COUNTIF($A$2:$A150,"Q22026"),"")</f>
        <v/>
      </c>
      <c r="K150" t="str">
        <f>IF(A150="Q32026",COUNTIF($A$2:$A150,"Q32026"),"")</f>
        <v/>
      </c>
      <c r="L150" t="str">
        <f>IF(A150="Q42026",COUNTIF($A$2:$A150,"Q42026"),"")</f>
        <v/>
      </c>
      <c r="M150" t="str">
        <f>IF(A150="Backlog",COUNTIF($A$2:$A150,"Backlog"),"")</f>
        <v/>
      </c>
    </row>
    <row r="151" spans="1:13">
      <c r="A151" t="str">
        <f>IF(AND('Q22026'!B72&lt;&gt;"",'Q22026'!E72&lt;&gt;""),'Q22026'!E72,"")</f>
        <v/>
      </c>
      <c r="B151" t="str">
        <f>IF(AND('Q22026'!B72&lt;&gt;"",'Q22026'!E72&lt;&gt;""),'Q22026'!B72,"")</f>
        <v/>
      </c>
      <c r="C151" t="str">
        <f>IF(AND('Q22026'!B72&lt;&gt;"",'Q22026'!E72&lt;&gt;""),'Q22026'!C72,"")</f>
        <v/>
      </c>
      <c r="D151" t="str">
        <f>IF(AND('Q22026'!B72&lt;&gt;"",'Q22026'!E72&lt;&gt;""),'Q22026'!D72,"")</f>
        <v/>
      </c>
      <c r="E151" t="str">
        <f>IF(AND('Q22026'!B72&lt;&gt;"",'Q22026'!E72&lt;&gt;""),'Q22026'!H72,"")</f>
        <v/>
      </c>
      <c r="F151" t="str">
        <f>IF(AND('Q22026'!B72&lt;&gt;"",'Q22026'!E72&lt;&gt;""),'Q22026'!F72,"")</f>
        <v/>
      </c>
      <c r="G151" t="str">
        <f>IF(AND('Q22026'!B72&lt;&gt;"",'Q22026'!E72&lt;&gt;""),'Q22026'!G72,"")</f>
        <v/>
      </c>
      <c r="H151" t="str">
        <f>IF(AND('Q22026'!B72&lt;&gt;"",'Q22026'!E72&lt;&gt;""),"Q22026","")</f>
        <v/>
      </c>
      <c r="I151" t="str">
        <f>IF(A151="Q12026",COUNTIF($A$2:$A151,"Q12026"),"")</f>
        <v/>
      </c>
      <c r="J151" t="str">
        <f>IF(A151="Q22026",COUNTIF($A$2:$A151,"Q22026"),"")</f>
        <v/>
      </c>
      <c r="K151" t="str">
        <f>IF(A151="Q32026",COUNTIF($A$2:$A151,"Q32026"),"")</f>
        <v/>
      </c>
      <c r="L151" t="str">
        <f>IF(A151="Q42026",COUNTIF($A$2:$A151,"Q42026"),"")</f>
        <v/>
      </c>
      <c r="M151" t="str">
        <f>IF(A151="Backlog",COUNTIF($A$2:$A151,"Backlog"),"")</f>
        <v/>
      </c>
    </row>
    <row r="152" spans="1:13">
      <c r="A152" t="str">
        <f>IF(AND('Q22026'!B73&lt;&gt;"",'Q22026'!E73&lt;&gt;""),'Q22026'!E73,"")</f>
        <v/>
      </c>
      <c r="B152" t="str">
        <f>IF(AND('Q22026'!B73&lt;&gt;"",'Q22026'!E73&lt;&gt;""),'Q22026'!B73,"")</f>
        <v/>
      </c>
      <c r="C152" t="str">
        <f>IF(AND('Q22026'!B73&lt;&gt;"",'Q22026'!E73&lt;&gt;""),'Q22026'!C73,"")</f>
        <v/>
      </c>
      <c r="D152" t="str">
        <f>IF(AND('Q22026'!B73&lt;&gt;"",'Q22026'!E73&lt;&gt;""),'Q22026'!D73,"")</f>
        <v/>
      </c>
      <c r="E152" t="str">
        <f>IF(AND('Q22026'!B73&lt;&gt;"",'Q22026'!E73&lt;&gt;""),'Q22026'!H73,"")</f>
        <v/>
      </c>
      <c r="F152" t="str">
        <f>IF(AND('Q22026'!B73&lt;&gt;"",'Q22026'!E73&lt;&gt;""),'Q22026'!F73,"")</f>
        <v/>
      </c>
      <c r="G152" t="str">
        <f>IF(AND('Q22026'!B73&lt;&gt;"",'Q22026'!E73&lt;&gt;""),'Q22026'!G73,"")</f>
        <v/>
      </c>
      <c r="H152" t="str">
        <f>IF(AND('Q22026'!B73&lt;&gt;"",'Q22026'!E73&lt;&gt;""),"Q22026","")</f>
        <v/>
      </c>
      <c r="I152" t="str">
        <f>IF(A152="Q12026",COUNTIF($A$2:$A152,"Q12026"),"")</f>
        <v/>
      </c>
      <c r="J152" t="str">
        <f>IF(A152="Q22026",COUNTIF($A$2:$A152,"Q22026"),"")</f>
        <v/>
      </c>
      <c r="K152" t="str">
        <f>IF(A152="Q32026",COUNTIF($A$2:$A152,"Q32026"),"")</f>
        <v/>
      </c>
      <c r="L152" t="str">
        <f>IF(A152="Q42026",COUNTIF($A$2:$A152,"Q42026"),"")</f>
        <v/>
      </c>
      <c r="M152" t="str">
        <f>IF(A152="Backlog",COUNTIF($A$2:$A152,"Backlog"),"")</f>
        <v/>
      </c>
    </row>
    <row r="153" spans="1:13">
      <c r="A153" t="str">
        <f>IF(AND('Q22026'!B74&lt;&gt;"",'Q22026'!E74&lt;&gt;""),'Q22026'!E74,"")</f>
        <v/>
      </c>
      <c r="B153" t="str">
        <f>IF(AND('Q22026'!B74&lt;&gt;"",'Q22026'!E74&lt;&gt;""),'Q22026'!B74,"")</f>
        <v/>
      </c>
      <c r="C153" t="str">
        <f>IF(AND('Q22026'!B74&lt;&gt;"",'Q22026'!E74&lt;&gt;""),'Q22026'!C74,"")</f>
        <v/>
      </c>
      <c r="D153" t="str">
        <f>IF(AND('Q22026'!B74&lt;&gt;"",'Q22026'!E74&lt;&gt;""),'Q22026'!D74,"")</f>
        <v/>
      </c>
      <c r="E153" t="str">
        <f>IF(AND('Q22026'!B74&lt;&gt;"",'Q22026'!E74&lt;&gt;""),'Q22026'!H74,"")</f>
        <v/>
      </c>
      <c r="F153" t="str">
        <f>IF(AND('Q22026'!B74&lt;&gt;"",'Q22026'!E74&lt;&gt;""),'Q22026'!F74,"")</f>
        <v/>
      </c>
      <c r="G153" t="str">
        <f>IF(AND('Q22026'!B74&lt;&gt;"",'Q22026'!E74&lt;&gt;""),'Q22026'!G74,"")</f>
        <v/>
      </c>
      <c r="H153" t="str">
        <f>IF(AND('Q22026'!B74&lt;&gt;"",'Q22026'!E74&lt;&gt;""),"Q22026","")</f>
        <v/>
      </c>
      <c r="I153" t="str">
        <f>IF(A153="Q12026",COUNTIF($A$2:$A153,"Q12026"),"")</f>
        <v/>
      </c>
      <c r="J153" t="str">
        <f>IF(A153="Q22026",COUNTIF($A$2:$A153,"Q22026"),"")</f>
        <v/>
      </c>
      <c r="K153" t="str">
        <f>IF(A153="Q32026",COUNTIF($A$2:$A153,"Q32026"),"")</f>
        <v/>
      </c>
      <c r="L153" t="str">
        <f>IF(A153="Q42026",COUNTIF($A$2:$A153,"Q42026"),"")</f>
        <v/>
      </c>
      <c r="M153" t="str">
        <f>IF(A153="Backlog",COUNTIF($A$2:$A153,"Backlog"),"")</f>
        <v/>
      </c>
    </row>
    <row r="154" spans="1:13">
      <c r="A154" t="str">
        <f>IF(AND('Q22026'!B75&lt;&gt;"",'Q22026'!E75&lt;&gt;""),'Q22026'!E75,"")</f>
        <v/>
      </c>
      <c r="B154" t="str">
        <f>IF(AND('Q22026'!B75&lt;&gt;"",'Q22026'!E75&lt;&gt;""),'Q22026'!B75,"")</f>
        <v/>
      </c>
      <c r="C154" t="str">
        <f>IF(AND('Q22026'!B75&lt;&gt;"",'Q22026'!E75&lt;&gt;""),'Q22026'!C75,"")</f>
        <v/>
      </c>
      <c r="D154" t="str">
        <f>IF(AND('Q22026'!B75&lt;&gt;"",'Q22026'!E75&lt;&gt;""),'Q22026'!D75,"")</f>
        <v/>
      </c>
      <c r="E154" t="str">
        <f>IF(AND('Q22026'!B75&lt;&gt;"",'Q22026'!E75&lt;&gt;""),'Q22026'!H75,"")</f>
        <v/>
      </c>
      <c r="F154" t="str">
        <f>IF(AND('Q22026'!B75&lt;&gt;"",'Q22026'!E75&lt;&gt;""),'Q22026'!F75,"")</f>
        <v/>
      </c>
      <c r="G154" t="str">
        <f>IF(AND('Q22026'!B75&lt;&gt;"",'Q22026'!E75&lt;&gt;""),'Q22026'!G75,"")</f>
        <v/>
      </c>
      <c r="H154" t="str">
        <f>IF(AND('Q22026'!B75&lt;&gt;"",'Q22026'!E75&lt;&gt;""),"Q22026","")</f>
        <v/>
      </c>
      <c r="I154" t="str">
        <f>IF(A154="Q12026",COUNTIF($A$2:$A154,"Q12026"),"")</f>
        <v/>
      </c>
      <c r="J154" t="str">
        <f>IF(A154="Q22026",COUNTIF($A$2:$A154,"Q22026"),"")</f>
        <v/>
      </c>
      <c r="K154" t="str">
        <f>IF(A154="Q32026",COUNTIF($A$2:$A154,"Q32026"),"")</f>
        <v/>
      </c>
      <c r="L154" t="str">
        <f>IF(A154="Q42026",COUNTIF($A$2:$A154,"Q42026"),"")</f>
        <v/>
      </c>
      <c r="M154" t="str">
        <f>IF(A154="Backlog",COUNTIF($A$2:$A154,"Backlog"),"")</f>
        <v/>
      </c>
    </row>
    <row r="155" spans="1:13">
      <c r="A155" t="str">
        <f>IF(AND('Q22026'!B76&lt;&gt;"",'Q22026'!E76&lt;&gt;""),'Q22026'!E76,"")</f>
        <v/>
      </c>
      <c r="B155" t="str">
        <f>IF(AND('Q22026'!B76&lt;&gt;"",'Q22026'!E76&lt;&gt;""),'Q22026'!B76,"")</f>
        <v/>
      </c>
      <c r="C155" t="str">
        <f>IF(AND('Q22026'!B76&lt;&gt;"",'Q22026'!E76&lt;&gt;""),'Q22026'!C76,"")</f>
        <v/>
      </c>
      <c r="D155" t="str">
        <f>IF(AND('Q22026'!B76&lt;&gt;"",'Q22026'!E76&lt;&gt;""),'Q22026'!D76,"")</f>
        <v/>
      </c>
      <c r="E155" t="str">
        <f>IF(AND('Q22026'!B76&lt;&gt;"",'Q22026'!E76&lt;&gt;""),'Q22026'!H76,"")</f>
        <v/>
      </c>
      <c r="F155" t="str">
        <f>IF(AND('Q22026'!B76&lt;&gt;"",'Q22026'!E76&lt;&gt;""),'Q22026'!F76,"")</f>
        <v/>
      </c>
      <c r="G155" t="str">
        <f>IF(AND('Q22026'!B76&lt;&gt;"",'Q22026'!E76&lt;&gt;""),'Q22026'!G76,"")</f>
        <v/>
      </c>
      <c r="H155" t="str">
        <f>IF(AND('Q22026'!B76&lt;&gt;"",'Q22026'!E76&lt;&gt;""),"Q22026","")</f>
        <v/>
      </c>
      <c r="I155" t="str">
        <f>IF(A155="Q12026",COUNTIF($A$2:$A155,"Q12026"),"")</f>
        <v/>
      </c>
      <c r="J155" t="str">
        <f>IF(A155="Q22026",COUNTIF($A$2:$A155,"Q22026"),"")</f>
        <v/>
      </c>
      <c r="K155" t="str">
        <f>IF(A155="Q32026",COUNTIF($A$2:$A155,"Q32026"),"")</f>
        <v/>
      </c>
      <c r="L155" t="str">
        <f>IF(A155="Q42026",COUNTIF($A$2:$A155,"Q42026"),"")</f>
        <v/>
      </c>
      <c r="M155" t="str">
        <f>IF(A155="Backlog",COUNTIF($A$2:$A155,"Backlog"),"")</f>
        <v/>
      </c>
    </row>
    <row r="156" spans="1:13">
      <c r="A156" t="str">
        <f>IF(AND('Q22026'!B77&lt;&gt;"",'Q22026'!E77&lt;&gt;""),'Q22026'!E77,"")</f>
        <v/>
      </c>
      <c r="B156" t="str">
        <f>IF(AND('Q22026'!B77&lt;&gt;"",'Q22026'!E77&lt;&gt;""),'Q22026'!B77,"")</f>
        <v/>
      </c>
      <c r="C156" t="str">
        <f>IF(AND('Q22026'!B77&lt;&gt;"",'Q22026'!E77&lt;&gt;""),'Q22026'!C77,"")</f>
        <v/>
      </c>
      <c r="D156" t="str">
        <f>IF(AND('Q22026'!B77&lt;&gt;"",'Q22026'!E77&lt;&gt;""),'Q22026'!D77,"")</f>
        <v/>
      </c>
      <c r="E156" t="str">
        <f>IF(AND('Q22026'!B77&lt;&gt;"",'Q22026'!E77&lt;&gt;""),'Q22026'!H77,"")</f>
        <v/>
      </c>
      <c r="F156" t="str">
        <f>IF(AND('Q22026'!B77&lt;&gt;"",'Q22026'!E77&lt;&gt;""),'Q22026'!F77,"")</f>
        <v/>
      </c>
      <c r="G156" t="str">
        <f>IF(AND('Q22026'!B77&lt;&gt;"",'Q22026'!E77&lt;&gt;""),'Q22026'!G77,"")</f>
        <v/>
      </c>
      <c r="H156" t="str">
        <f>IF(AND('Q22026'!B77&lt;&gt;"",'Q22026'!E77&lt;&gt;""),"Q22026","")</f>
        <v/>
      </c>
      <c r="I156" t="str">
        <f>IF(A156="Q12026",COUNTIF($A$2:$A156,"Q12026"),"")</f>
        <v/>
      </c>
      <c r="J156" t="str">
        <f>IF(A156="Q22026",COUNTIF($A$2:$A156,"Q22026"),"")</f>
        <v/>
      </c>
      <c r="K156" t="str">
        <f>IF(A156="Q32026",COUNTIF($A$2:$A156,"Q32026"),"")</f>
        <v/>
      </c>
      <c r="L156" t="str">
        <f>IF(A156="Q42026",COUNTIF($A$2:$A156,"Q42026"),"")</f>
        <v/>
      </c>
      <c r="M156" t="str">
        <f>IF(A156="Backlog",COUNTIF($A$2:$A156,"Backlog"),"")</f>
        <v/>
      </c>
    </row>
    <row r="157" spans="1:13">
      <c r="A157" t="str">
        <f>IF(AND('Q22026'!B78&lt;&gt;"",'Q22026'!E78&lt;&gt;""),'Q22026'!E78,"")</f>
        <v/>
      </c>
      <c r="B157" t="str">
        <f>IF(AND('Q22026'!B78&lt;&gt;"",'Q22026'!E78&lt;&gt;""),'Q22026'!B78,"")</f>
        <v/>
      </c>
      <c r="C157" t="str">
        <f>IF(AND('Q22026'!B78&lt;&gt;"",'Q22026'!E78&lt;&gt;""),'Q22026'!C78,"")</f>
        <v/>
      </c>
      <c r="D157" t="str">
        <f>IF(AND('Q22026'!B78&lt;&gt;"",'Q22026'!E78&lt;&gt;""),'Q22026'!D78,"")</f>
        <v/>
      </c>
      <c r="E157" t="str">
        <f>IF(AND('Q22026'!B78&lt;&gt;"",'Q22026'!E78&lt;&gt;""),'Q22026'!H78,"")</f>
        <v/>
      </c>
      <c r="F157" t="str">
        <f>IF(AND('Q22026'!B78&lt;&gt;"",'Q22026'!E78&lt;&gt;""),'Q22026'!F78,"")</f>
        <v/>
      </c>
      <c r="G157" t="str">
        <f>IF(AND('Q22026'!B78&lt;&gt;"",'Q22026'!E78&lt;&gt;""),'Q22026'!G78,"")</f>
        <v/>
      </c>
      <c r="H157" t="str">
        <f>IF(AND('Q22026'!B78&lt;&gt;"",'Q22026'!E78&lt;&gt;""),"Q22026","")</f>
        <v/>
      </c>
      <c r="I157" t="str">
        <f>IF(A157="Q12026",COUNTIF($A$2:$A157,"Q12026"),"")</f>
        <v/>
      </c>
      <c r="J157" t="str">
        <f>IF(A157="Q22026",COUNTIF($A$2:$A157,"Q22026"),"")</f>
        <v/>
      </c>
      <c r="K157" t="str">
        <f>IF(A157="Q32026",COUNTIF($A$2:$A157,"Q32026"),"")</f>
        <v/>
      </c>
      <c r="L157" t="str">
        <f>IF(A157="Q42026",COUNTIF($A$2:$A157,"Q42026"),"")</f>
        <v/>
      </c>
      <c r="M157" t="str">
        <f>IF(A157="Backlog",COUNTIF($A$2:$A157,"Backlog"),"")</f>
        <v/>
      </c>
    </row>
    <row r="158" spans="1:13">
      <c r="A158" t="str">
        <f>IF(AND('Q22026'!B79&lt;&gt;"",'Q22026'!E79&lt;&gt;""),'Q22026'!E79,"")</f>
        <v/>
      </c>
      <c r="B158" t="str">
        <f>IF(AND('Q22026'!B79&lt;&gt;"",'Q22026'!E79&lt;&gt;""),'Q22026'!B79,"")</f>
        <v/>
      </c>
      <c r="C158" t="str">
        <f>IF(AND('Q22026'!B79&lt;&gt;"",'Q22026'!E79&lt;&gt;""),'Q22026'!C79,"")</f>
        <v/>
      </c>
      <c r="D158" t="str">
        <f>IF(AND('Q22026'!B79&lt;&gt;"",'Q22026'!E79&lt;&gt;""),'Q22026'!D79,"")</f>
        <v/>
      </c>
      <c r="E158" t="str">
        <f>IF(AND('Q22026'!B79&lt;&gt;"",'Q22026'!E79&lt;&gt;""),'Q22026'!H79,"")</f>
        <v/>
      </c>
      <c r="F158" t="str">
        <f>IF(AND('Q22026'!B79&lt;&gt;"",'Q22026'!E79&lt;&gt;""),'Q22026'!F79,"")</f>
        <v/>
      </c>
      <c r="G158" t="str">
        <f>IF(AND('Q22026'!B79&lt;&gt;"",'Q22026'!E79&lt;&gt;""),'Q22026'!G79,"")</f>
        <v/>
      </c>
      <c r="H158" t="str">
        <f>IF(AND('Q22026'!B79&lt;&gt;"",'Q22026'!E79&lt;&gt;""),"Q22026","")</f>
        <v/>
      </c>
      <c r="I158" t="str">
        <f>IF(A158="Q12026",COUNTIF($A$2:$A158,"Q12026"),"")</f>
        <v/>
      </c>
      <c r="J158" t="str">
        <f>IF(A158="Q22026",COUNTIF($A$2:$A158,"Q22026"),"")</f>
        <v/>
      </c>
      <c r="K158" t="str">
        <f>IF(A158="Q32026",COUNTIF($A$2:$A158,"Q32026"),"")</f>
        <v/>
      </c>
      <c r="L158" t="str">
        <f>IF(A158="Q42026",COUNTIF($A$2:$A158,"Q42026"),"")</f>
        <v/>
      </c>
      <c r="M158" t="str">
        <f>IF(A158="Backlog",COUNTIF($A$2:$A158,"Backlog"),"")</f>
        <v/>
      </c>
    </row>
    <row r="159" spans="1:13">
      <c r="A159" t="str">
        <f>IF(AND('Q22026'!B80&lt;&gt;"",'Q22026'!E80&lt;&gt;""),'Q22026'!E80,"")</f>
        <v/>
      </c>
      <c r="B159" t="str">
        <f>IF(AND('Q22026'!B80&lt;&gt;"",'Q22026'!E80&lt;&gt;""),'Q22026'!B80,"")</f>
        <v/>
      </c>
      <c r="C159" t="str">
        <f>IF(AND('Q22026'!B80&lt;&gt;"",'Q22026'!E80&lt;&gt;""),'Q22026'!C80,"")</f>
        <v/>
      </c>
      <c r="D159" t="str">
        <f>IF(AND('Q22026'!B80&lt;&gt;"",'Q22026'!E80&lt;&gt;""),'Q22026'!D80,"")</f>
        <v/>
      </c>
      <c r="E159" t="str">
        <f>IF(AND('Q22026'!B80&lt;&gt;"",'Q22026'!E80&lt;&gt;""),'Q22026'!H80,"")</f>
        <v/>
      </c>
      <c r="F159" t="str">
        <f>IF(AND('Q22026'!B80&lt;&gt;"",'Q22026'!E80&lt;&gt;""),'Q22026'!F80,"")</f>
        <v/>
      </c>
      <c r="G159" t="str">
        <f>IF(AND('Q22026'!B80&lt;&gt;"",'Q22026'!E80&lt;&gt;""),'Q22026'!G80,"")</f>
        <v/>
      </c>
      <c r="H159" t="str">
        <f>IF(AND('Q22026'!B80&lt;&gt;"",'Q22026'!E80&lt;&gt;""),"Q22026","")</f>
        <v/>
      </c>
      <c r="I159" t="str">
        <f>IF(A159="Q12026",COUNTIF($A$2:$A159,"Q12026"),"")</f>
        <v/>
      </c>
      <c r="J159" t="str">
        <f>IF(A159="Q22026",COUNTIF($A$2:$A159,"Q22026"),"")</f>
        <v/>
      </c>
      <c r="K159" t="str">
        <f>IF(A159="Q32026",COUNTIF($A$2:$A159,"Q32026"),"")</f>
        <v/>
      </c>
      <c r="L159" t="str">
        <f>IF(A159="Q42026",COUNTIF($A$2:$A159,"Q42026"),"")</f>
        <v/>
      </c>
      <c r="M159" t="str">
        <f>IF(A159="Backlog",COUNTIF($A$2:$A159,"Backlog"),"")</f>
        <v/>
      </c>
    </row>
    <row r="160" spans="1:13">
      <c r="A160" t="str">
        <f>IF(AND('Q22026'!B81&lt;&gt;"",'Q22026'!E81&lt;&gt;""),'Q22026'!E81,"")</f>
        <v/>
      </c>
      <c r="B160" t="str">
        <f>IF(AND('Q22026'!B81&lt;&gt;"",'Q22026'!E81&lt;&gt;""),'Q22026'!B81,"")</f>
        <v/>
      </c>
      <c r="C160" t="str">
        <f>IF(AND('Q22026'!B81&lt;&gt;"",'Q22026'!E81&lt;&gt;""),'Q22026'!C81,"")</f>
        <v/>
      </c>
      <c r="D160" t="str">
        <f>IF(AND('Q22026'!B81&lt;&gt;"",'Q22026'!E81&lt;&gt;""),'Q22026'!D81,"")</f>
        <v/>
      </c>
      <c r="E160" t="str">
        <f>IF(AND('Q22026'!B81&lt;&gt;"",'Q22026'!E81&lt;&gt;""),'Q22026'!H81,"")</f>
        <v/>
      </c>
      <c r="F160" t="str">
        <f>IF(AND('Q22026'!B81&lt;&gt;"",'Q22026'!E81&lt;&gt;""),'Q22026'!F81,"")</f>
        <v/>
      </c>
      <c r="G160" t="str">
        <f>IF(AND('Q22026'!B81&lt;&gt;"",'Q22026'!E81&lt;&gt;""),'Q22026'!G81,"")</f>
        <v/>
      </c>
      <c r="H160" t="str">
        <f>IF(AND('Q22026'!B81&lt;&gt;"",'Q22026'!E81&lt;&gt;""),"Q22026","")</f>
        <v/>
      </c>
      <c r="I160" t="str">
        <f>IF(A160="Q12026",COUNTIF($A$2:$A160,"Q12026"),"")</f>
        <v/>
      </c>
      <c r="J160" t="str">
        <f>IF(A160="Q22026",COUNTIF($A$2:$A160,"Q22026"),"")</f>
        <v/>
      </c>
      <c r="K160" t="str">
        <f>IF(A160="Q32026",COUNTIF($A$2:$A160,"Q32026"),"")</f>
        <v/>
      </c>
      <c r="L160" t="str">
        <f>IF(A160="Q42026",COUNTIF($A$2:$A160,"Q42026"),"")</f>
        <v/>
      </c>
      <c r="M160" t="str">
        <f>IF(A160="Backlog",COUNTIF($A$2:$A160,"Backlog"),"")</f>
        <v/>
      </c>
    </row>
    <row r="161" spans="1:13">
      <c r="A161" t="str">
        <f>IF(AND('Q22026'!B82&lt;&gt;"",'Q22026'!E82&lt;&gt;""),'Q22026'!E82,"")</f>
        <v/>
      </c>
      <c r="B161" t="str">
        <f>IF(AND('Q22026'!B82&lt;&gt;"",'Q22026'!E82&lt;&gt;""),'Q22026'!B82,"")</f>
        <v/>
      </c>
      <c r="C161" t="str">
        <f>IF(AND('Q22026'!B82&lt;&gt;"",'Q22026'!E82&lt;&gt;""),'Q22026'!C82,"")</f>
        <v/>
      </c>
      <c r="D161" t="str">
        <f>IF(AND('Q22026'!B82&lt;&gt;"",'Q22026'!E82&lt;&gt;""),'Q22026'!D82,"")</f>
        <v/>
      </c>
      <c r="E161" t="str">
        <f>IF(AND('Q22026'!B82&lt;&gt;"",'Q22026'!E82&lt;&gt;""),'Q22026'!H82,"")</f>
        <v/>
      </c>
      <c r="F161" t="str">
        <f>IF(AND('Q22026'!B82&lt;&gt;"",'Q22026'!E82&lt;&gt;""),'Q22026'!F82,"")</f>
        <v/>
      </c>
      <c r="G161" t="str">
        <f>IF(AND('Q22026'!B82&lt;&gt;"",'Q22026'!E82&lt;&gt;""),'Q22026'!G82,"")</f>
        <v/>
      </c>
      <c r="H161" t="str">
        <f>IF(AND('Q22026'!B82&lt;&gt;"",'Q22026'!E82&lt;&gt;""),"Q22026","")</f>
        <v/>
      </c>
      <c r="I161" t="str">
        <f>IF(A161="Q12026",COUNTIF($A$2:$A161,"Q12026"),"")</f>
        <v/>
      </c>
      <c r="J161" t="str">
        <f>IF(A161="Q22026",COUNTIF($A$2:$A161,"Q22026"),"")</f>
        <v/>
      </c>
      <c r="K161" t="str">
        <f>IF(A161="Q32026",COUNTIF($A$2:$A161,"Q32026"),"")</f>
        <v/>
      </c>
      <c r="L161" t="str">
        <f>IF(A161="Q42026",COUNTIF($A$2:$A161,"Q42026"),"")</f>
        <v/>
      </c>
      <c r="M161" t="str">
        <f>IF(A161="Backlog",COUNTIF($A$2:$A161,"Backlog"),"")</f>
        <v/>
      </c>
    </row>
    <row r="162" spans="1:13">
      <c r="A162" t="str">
        <f>IF(AND('Q32026'!B3&lt;&gt;"",'Q32026'!E3&lt;&gt;""),'Q32026'!E3,"")</f>
        <v>Q32026</v>
      </c>
      <c r="B162" t="str">
        <f>IF(AND('Q32026'!B3&lt;&gt;"",'Q32026'!E3&lt;&gt;""),'Q32026'!B3,"")</f>
        <v>GitHub - Umstellung</v>
      </c>
      <c r="C162" t="str">
        <f>IF(AND('Q32026'!B3&lt;&gt;"",'Q32026'!E3&lt;&gt;""),'Q32026'!C3,"")</f>
        <v>L (20-40h)</v>
      </c>
      <c r="D162" t="str">
        <f>IF(AND('Q32026'!B3&lt;&gt;"",'Q32026'!E3&lt;&gt;""),'Q32026'!D3,"")</f>
        <v>Strengthen</v>
      </c>
      <c r="E162">
        <f>IF(AND('Q32026'!B3&lt;&gt;"",'Q32026'!E3&lt;&gt;""),'Q32026'!H3,"")</f>
        <v>30</v>
      </c>
      <c r="F162" t="str">
        <f>IF(AND('Q32026'!B3&lt;&gt;"",'Q32026'!E3&lt;&gt;""),'Q32026'!F3,"")</f>
        <v>Must</v>
      </c>
      <c r="G162" t="str">
        <f>IF(AND('Q32026'!B3&lt;&gt;"",'Q32026'!E3&lt;&gt;""),'Q32026'!G3,"")</f>
        <v>D-&gt;W</v>
      </c>
      <c r="H162" t="str">
        <f>IF(AND('Q32026'!B3&lt;&gt;"",'Q32026'!E3&lt;&gt;""),"Q32026","")</f>
        <v>Q32026</v>
      </c>
      <c r="I162" t="str">
        <f>IF(A162="Q12026",COUNTIF($A$2:$A162,"Q12026"),"")</f>
        <v/>
      </c>
      <c r="J162" t="str">
        <f>IF(A162="Q22026",COUNTIF($A$2:$A162,"Q22026"),"")</f>
        <v/>
      </c>
      <c r="K162">
        <f>IF(A162="Q32026",COUNTIF($A$2:$A162,"Q32026"),"")</f>
        <v>1</v>
      </c>
      <c r="L162" t="str">
        <f>IF(A162="Q42026",COUNTIF($A$2:$A162,"Q42026"),"")</f>
        <v/>
      </c>
      <c r="M162" t="str">
        <f>IF(A162="Backlog",COUNTIF($A$2:$A162,"Backlog"),"")</f>
        <v/>
      </c>
    </row>
    <row r="163" spans="1:13">
      <c r="A163" t="str">
        <f>IF(AND('Q32026'!B4&lt;&gt;"",'Q32026'!E4&lt;&gt;""),'Q32026'!E4,"")</f>
        <v>Q32026</v>
      </c>
      <c r="B163" t="str">
        <f>IF(AND('Q32026'!B4&lt;&gt;"",'Q32026'!E4&lt;&gt;""),'Q32026'!B4,"")</f>
        <v>EFSTA - Anbindung (Spanien)</v>
      </c>
      <c r="C163" t="str">
        <f>IF(AND('Q32026'!B4&lt;&gt;"",'Q32026'!E4&lt;&gt;""),'Q32026'!C4,"")</f>
        <v>L (20-40h)</v>
      </c>
      <c r="D163" t="str">
        <f>IF(AND('Q32026'!B4&lt;&gt;"",'Q32026'!E4&lt;&gt;""),'Q32026'!D4,"")</f>
        <v>Strengthen</v>
      </c>
      <c r="E163">
        <f>IF(AND('Q32026'!B4&lt;&gt;"",'Q32026'!E4&lt;&gt;""),'Q32026'!H4,"")</f>
        <v>30</v>
      </c>
      <c r="F163" t="str">
        <f>IF(AND('Q32026'!B4&lt;&gt;"",'Q32026'!E4&lt;&gt;""),'Q32026'!F4,"")</f>
        <v>Should</v>
      </c>
      <c r="G163" t="str">
        <f>IF(AND('Q32026'!B4&lt;&gt;"",'Q32026'!E4&lt;&gt;""),'Q32026'!G4,"")</f>
        <v>Desktop</v>
      </c>
      <c r="H163" t="str">
        <f>IF(AND('Q32026'!B4&lt;&gt;"",'Q32026'!E4&lt;&gt;""),"Q32026","")</f>
        <v>Q32026</v>
      </c>
      <c r="I163" t="str">
        <f>IF(A163="Q12026",COUNTIF($A$2:$A163,"Q12026"),"")</f>
        <v/>
      </c>
      <c r="J163" t="str">
        <f>IF(A163="Q22026",COUNTIF($A$2:$A163,"Q22026"),"")</f>
        <v/>
      </c>
      <c r="K163">
        <f>IF(A163="Q32026",COUNTIF($A$2:$A163,"Q32026"),"")</f>
        <v>2</v>
      </c>
      <c r="L163" t="str">
        <f>IF(A163="Q42026",COUNTIF($A$2:$A163,"Q42026"),"")</f>
        <v/>
      </c>
      <c r="M163" t="str">
        <f>IF(A163="Backlog",COUNTIF($A$2:$A163,"Backlog"),"")</f>
        <v/>
      </c>
    </row>
    <row r="164" spans="1:13">
      <c r="A164" t="str">
        <f>IF(AND('Q32026'!B5&lt;&gt;"",'Q32026'!E5&lt;&gt;""),'Q32026'!E5,"")</f>
        <v>Q32026</v>
      </c>
      <c r="B164" t="str">
        <f>IF(AND('Q32026'!B5&lt;&gt;"",'Q32026'!E5&lt;&gt;""),'Q32026'!B5,"")</f>
        <v>DSFinV-K |  Startdatum der ersten Buchung</v>
      </c>
      <c r="C164" t="str">
        <f>IF(AND('Q32026'!B5&lt;&gt;"",'Q32026'!E5&lt;&gt;""),'Q32026'!C5,"")</f>
        <v>M (10-20h)</v>
      </c>
      <c r="D164" t="str">
        <f>IF(AND('Q32026'!B5&lt;&gt;"",'Q32026'!E5&lt;&gt;""),'Q32026'!D5,"")</f>
        <v>Repair</v>
      </c>
      <c r="E164">
        <f>IF(AND('Q32026'!B5&lt;&gt;"",'Q32026'!E5&lt;&gt;""),'Q32026'!H5,"")</f>
        <v>15</v>
      </c>
      <c r="F164" t="str">
        <f>IF(AND('Q32026'!B5&lt;&gt;"",'Q32026'!E5&lt;&gt;""),'Q32026'!F5,"")</f>
        <v>Must</v>
      </c>
      <c r="G164" t="str">
        <f>IF(AND('Q32026'!B5&lt;&gt;"",'Q32026'!E5&lt;&gt;""),'Q32026'!G5,"")</f>
        <v>Desktop</v>
      </c>
      <c r="H164" t="str">
        <f>IF(AND('Q32026'!B5&lt;&gt;"",'Q32026'!E5&lt;&gt;""),"Q32026","")</f>
        <v>Q32026</v>
      </c>
      <c r="I164" t="str">
        <f>IF(A164="Q12026",COUNTIF($A$2:$A164,"Q12026"),"")</f>
        <v/>
      </c>
      <c r="J164" t="str">
        <f>IF(A164="Q22026",COUNTIF($A$2:$A164,"Q22026"),"")</f>
        <v/>
      </c>
      <c r="K164">
        <f>IF(A164="Q32026",COUNTIF($A$2:$A164,"Q32026"),"")</f>
        <v>3</v>
      </c>
      <c r="L164" t="str">
        <f>IF(A164="Q42026",COUNTIF($A$2:$A164,"Q42026"),"")</f>
        <v/>
      </c>
      <c r="M164" t="str">
        <f>IF(A164="Backlog",COUNTIF($A$2:$A164,"Backlog"),"")</f>
        <v/>
      </c>
    </row>
    <row r="165" spans="1:13">
      <c r="A165" t="str">
        <f>IF(AND('Q32026'!B6&lt;&gt;"",'Q32026'!E6&lt;&gt;""),'Q32026'!E6,"")</f>
        <v>Q32026</v>
      </c>
      <c r="B165" t="str">
        <f>IF(AND('Q32026'!B6&lt;&gt;"",'Q32026'!E6&lt;&gt;""),'Q32026'!B6,"")</f>
        <v>Webhook Deliverect</v>
      </c>
      <c r="C165" t="str">
        <f>IF(AND('Q32026'!B6&lt;&gt;"",'Q32026'!E6&lt;&gt;""),'Q32026'!C6,"")</f>
        <v>L (20-40h)</v>
      </c>
      <c r="D165" t="str">
        <f>IF(AND('Q32026'!B6&lt;&gt;"",'Q32026'!E6&lt;&gt;""),'Q32026'!D6,"")</f>
        <v>Strengthen</v>
      </c>
      <c r="E165">
        <f>IF(AND('Q32026'!B6&lt;&gt;"",'Q32026'!E6&lt;&gt;""),'Q32026'!H6,"")</f>
        <v>30</v>
      </c>
      <c r="F165" t="str">
        <f>IF(AND('Q32026'!B6&lt;&gt;"",'Q32026'!E6&lt;&gt;""),'Q32026'!F6,"")</f>
        <v>Should</v>
      </c>
      <c r="G165" t="str">
        <f>IF(AND('Q32026'!B6&lt;&gt;"",'Q32026'!E6&lt;&gt;""),'Q32026'!G6,"")</f>
        <v>Desktop</v>
      </c>
      <c r="H165" t="str">
        <f>IF(AND('Q32026'!B6&lt;&gt;"",'Q32026'!E6&lt;&gt;""),"Q32026","")</f>
        <v>Q32026</v>
      </c>
      <c r="I165" t="str">
        <f>IF(A165="Q12026",COUNTIF($A$2:$A165,"Q12026"),"")</f>
        <v/>
      </c>
      <c r="J165" t="str">
        <f>IF(A165="Q22026",COUNTIF($A$2:$A165,"Q22026"),"")</f>
        <v/>
      </c>
      <c r="K165">
        <f>IF(A165="Q32026",COUNTIF($A$2:$A165,"Q32026"),"")</f>
        <v>4</v>
      </c>
      <c r="L165" t="str">
        <f>IF(A165="Q42026",COUNTIF($A$2:$A165,"Q42026"),"")</f>
        <v/>
      </c>
      <c r="M165" t="str">
        <f>IF(A165="Backlog",COUNTIF($A$2:$A165,"Backlog"),"")</f>
        <v/>
      </c>
    </row>
    <row r="166" spans="1:13">
      <c r="A166" t="str">
        <f>IF(AND('Q32026'!B7&lt;&gt;"",'Q32026'!E7&lt;&gt;""),'Q32026'!E7,"")</f>
        <v>Q32026</v>
      </c>
      <c r="B166" t="str">
        <f>IF(AND('Q32026'!B7&lt;&gt;"",'Q32026'!E7&lt;&gt;""),'Q32026'!B7,"")</f>
        <v>MwSt. Verteilung</v>
      </c>
      <c r="C166" t="str">
        <f>IF(AND('Q32026'!B7&lt;&gt;"",'Q32026'!E7&lt;&gt;""),'Q32026'!C7,"")</f>
        <v>XXL (&gt;160h)</v>
      </c>
      <c r="D166" t="str">
        <f>IF(AND('Q32026'!B7&lt;&gt;"",'Q32026'!E7&lt;&gt;""),'Q32026'!D7,"")</f>
        <v>Strengthen</v>
      </c>
      <c r="E166">
        <f>IF(AND('Q32026'!B7&lt;&gt;"",'Q32026'!E7&lt;&gt;""),'Q32026'!H7,"")</f>
        <v>168</v>
      </c>
      <c r="F166" t="str">
        <f>IF(AND('Q32026'!B7&lt;&gt;"",'Q32026'!E7&lt;&gt;""),'Q32026'!F7,"")</f>
        <v>Must</v>
      </c>
      <c r="G166" t="str">
        <f>IF(AND('Q32026'!B7&lt;&gt;"",'Q32026'!E7&lt;&gt;""),'Q32026'!G7,"")</f>
        <v>Desktop</v>
      </c>
      <c r="H166" t="str">
        <f>IF(AND('Q32026'!B7&lt;&gt;"",'Q32026'!E7&lt;&gt;""),"Q32026","")</f>
        <v>Q32026</v>
      </c>
      <c r="I166" t="str">
        <f>IF(A166="Q12026",COUNTIF($A$2:$A166,"Q12026"),"")</f>
        <v/>
      </c>
      <c r="J166" t="str">
        <f>IF(A166="Q22026",COUNTIF($A$2:$A166,"Q22026"),"")</f>
        <v/>
      </c>
      <c r="K166">
        <f>IF(A166="Q32026",COUNTIF($A$2:$A166,"Q32026"),"")</f>
        <v>5</v>
      </c>
      <c r="L166" t="str">
        <f>IF(A166="Q42026",COUNTIF($A$2:$A166,"Q42026"),"")</f>
        <v/>
      </c>
      <c r="M166" t="str">
        <f>IF(A166="Backlog",COUNTIF($A$2:$A166,"Backlog"),"")</f>
        <v/>
      </c>
    </row>
    <row r="167" spans="1:13">
      <c r="A167" t="str">
        <f>IF(AND('Q32026'!B9&lt;&gt;"",'Q32026'!E9&lt;&gt;""),'Q32026'!E9,"")</f>
        <v>Q32026</v>
      </c>
      <c r="B167" t="str">
        <f>IF(AND('Q32026'!B9&lt;&gt;"",'Q32026'!E9&lt;&gt;""),'Q32026'!B9,"")</f>
        <v>Protokollierung bei Lizenzzuweisungen. (Internal Audit)</v>
      </c>
      <c r="C167" t="str">
        <f>IF(AND('Q32026'!B9&lt;&gt;"",'Q32026'!E9&lt;&gt;""),'Q32026'!C9,"")</f>
        <v>XL (&gt;40h)</v>
      </c>
      <c r="D167" t="str">
        <f>IF(AND('Q32026'!B9&lt;&gt;"",'Q32026'!E9&lt;&gt;""),'Q32026'!D9,"")</f>
        <v>Repair</v>
      </c>
      <c r="E167">
        <f>IF(AND('Q32026'!B9&lt;&gt;"",'Q32026'!E9&lt;&gt;""),'Q32026'!H9,"")</f>
        <v>48</v>
      </c>
      <c r="F167" t="str">
        <f>IF(AND('Q32026'!B9&lt;&gt;"",'Q32026'!E9&lt;&gt;""),'Q32026'!F9,"")</f>
        <v>Must</v>
      </c>
      <c r="G167" t="str">
        <f>IF(AND('Q32026'!B9&lt;&gt;"",'Q32026'!E9&lt;&gt;""),'Q32026'!G9,"")</f>
        <v>Desktop</v>
      </c>
      <c r="H167" t="str">
        <f>IF(AND('Q32026'!B9&lt;&gt;"",'Q32026'!E9&lt;&gt;""),"Q32026","")</f>
        <v>Q32026</v>
      </c>
      <c r="I167" t="str">
        <f>IF(A167="Q12026",COUNTIF($A$2:$A167,"Q12026"),"")</f>
        <v/>
      </c>
      <c r="J167" t="str">
        <f>IF(A167="Q22026",COUNTIF($A$2:$A167,"Q22026"),"")</f>
        <v/>
      </c>
      <c r="K167">
        <f>IF(A167="Q32026",COUNTIF($A$2:$A167,"Q32026"),"")</f>
        <v>6</v>
      </c>
      <c r="L167" t="str">
        <f>IF(A167="Q42026",COUNTIF($A$2:$A167,"Q42026"),"")</f>
        <v/>
      </c>
      <c r="M167" t="str">
        <f>IF(A167="Backlog",COUNTIF($A$2:$A167,"Backlog"),"")</f>
        <v/>
      </c>
    </row>
    <row r="168" spans="1:13">
      <c r="A168" t="str">
        <f>IF(AND('Q32026'!B10&lt;&gt;"",'Q32026'!E10&lt;&gt;""),'Q32026'!E10,"")</f>
        <v>Q32026</v>
      </c>
      <c r="B168" t="str">
        <f>IF(AND('Q32026'!B10&lt;&gt;"",'Q32026'!E10&lt;&gt;""),'Q32026'!B10,"")</f>
        <v>Trinkgeldentnahme signieren (ALEX-GRUPPE)</v>
      </c>
      <c r="C168" t="str">
        <f>IF(AND('Q32026'!B10&lt;&gt;"",'Q32026'!E10&lt;&gt;""),'Q32026'!C10,"")</f>
        <v>L (20-40h)</v>
      </c>
      <c r="D168" t="str">
        <f>IF(AND('Q32026'!B10&lt;&gt;"",'Q32026'!E10&lt;&gt;""),'Q32026'!D10,"")</f>
        <v>Strengthen</v>
      </c>
      <c r="E168">
        <f>IF(AND('Q32026'!B10&lt;&gt;"",'Q32026'!E10&lt;&gt;""),'Q32026'!H10,"")</f>
        <v>30</v>
      </c>
      <c r="F168" t="str">
        <f>IF(AND('Q32026'!B10&lt;&gt;"",'Q32026'!E10&lt;&gt;""),'Q32026'!F10,"")</f>
        <v>Must</v>
      </c>
      <c r="G168" t="str">
        <f>IF(AND('Q32026'!B10&lt;&gt;"",'Q32026'!E10&lt;&gt;""),'Q32026'!G10,"")</f>
        <v>Desktop</v>
      </c>
      <c r="H168" t="str">
        <f>IF(AND('Q32026'!B10&lt;&gt;"",'Q32026'!E10&lt;&gt;""),"Q32026","")</f>
        <v>Q32026</v>
      </c>
      <c r="I168" t="str">
        <f>IF(A168="Q12026",COUNTIF($A$2:$A168,"Q12026"),"")</f>
        <v/>
      </c>
      <c r="J168" t="str">
        <f>IF(A168="Q22026",COUNTIF($A$2:$A168,"Q22026"),"")</f>
        <v/>
      </c>
      <c r="K168">
        <f>IF(A168="Q32026",COUNTIF($A$2:$A168,"Q32026"),"")</f>
        <v>7</v>
      </c>
      <c r="L168" t="str">
        <f>IF(A168="Q42026",COUNTIF($A$2:$A168,"Q42026"),"")</f>
        <v/>
      </c>
      <c r="M168" t="str">
        <f>IF(A168="Backlog",COUNTIF($A$2:$A168,"Backlog"),"")</f>
        <v/>
      </c>
    </row>
    <row r="169" spans="1:13">
      <c r="A169" t="str">
        <f>IF(AND('Q32026'!B11&lt;&gt;"",'Q32026'!E11&lt;&gt;""),'Q32026'!E11,"")</f>
        <v/>
      </c>
      <c r="B169" t="str">
        <f>IF(AND('Q32026'!B11&lt;&gt;"",'Q32026'!E11&lt;&gt;""),'Q32026'!B11,"")</f>
        <v/>
      </c>
      <c r="C169" t="str">
        <f>IF(AND('Q32026'!B11&lt;&gt;"",'Q32026'!E11&lt;&gt;""),'Q32026'!C11,"")</f>
        <v/>
      </c>
      <c r="D169" t="str">
        <f>IF(AND('Q32026'!B11&lt;&gt;"",'Q32026'!E11&lt;&gt;""),'Q32026'!D11,"")</f>
        <v/>
      </c>
      <c r="E169" t="str">
        <f>IF(AND('Q32026'!B11&lt;&gt;"",'Q32026'!E11&lt;&gt;""),'Q32026'!H11,"")</f>
        <v/>
      </c>
      <c r="F169" t="str">
        <f>IF(AND('Q32026'!B11&lt;&gt;"",'Q32026'!E11&lt;&gt;""),'Q32026'!F11,"")</f>
        <v/>
      </c>
      <c r="G169" t="str">
        <f>IF(AND('Q32026'!B11&lt;&gt;"",'Q32026'!E11&lt;&gt;""),'Q32026'!G11,"")</f>
        <v/>
      </c>
      <c r="H169" t="str">
        <f>IF(AND('Q32026'!B11&lt;&gt;"",'Q32026'!E11&lt;&gt;""),"Q32026","")</f>
        <v/>
      </c>
      <c r="I169" t="str">
        <f>IF(A169="Q12026",COUNTIF($A$2:$A169,"Q12026"),"")</f>
        <v/>
      </c>
      <c r="J169" t="str">
        <f>IF(A169="Q22026",COUNTIF($A$2:$A169,"Q22026"),"")</f>
        <v/>
      </c>
      <c r="K169" t="str">
        <f>IF(A169="Q32026",COUNTIF($A$2:$A169,"Q32026"),"")</f>
        <v/>
      </c>
      <c r="L169" t="str">
        <f>IF(A169="Q42026",COUNTIF($A$2:$A169,"Q42026"),"")</f>
        <v/>
      </c>
      <c r="M169" t="str">
        <f>IF(A169="Backlog",COUNTIF($A$2:$A169,"Backlog"),"")</f>
        <v/>
      </c>
    </row>
    <row r="170" spans="1:13">
      <c r="A170" t="str">
        <f>IF(AND('Q32026'!B8&lt;&gt;"",'Q32026'!E8&lt;&gt;""),'Q32026'!E8,"")</f>
        <v>Q32026</v>
      </c>
      <c r="B170" t="str">
        <f>IF(AND('Q32026'!B8&lt;&gt;"",'Q32026'!E8&lt;&gt;""),'Q32026'!B8,"")</f>
        <v>ePOS mobilePRO</v>
      </c>
      <c r="C170" t="str">
        <f>IF(AND('Q32026'!B8&lt;&gt;"",'Q32026'!E8&lt;&gt;""),'Q32026'!C8,"")</f>
        <v>XXL (&gt;160h)</v>
      </c>
      <c r="D170" t="str">
        <f>IF(AND('Q32026'!B8&lt;&gt;"",'Q32026'!E8&lt;&gt;""),'Q32026'!D8,"")</f>
        <v>Strengthen</v>
      </c>
      <c r="E170">
        <f>IF(AND('Q32026'!B8&lt;&gt;"",'Q32026'!E8&lt;&gt;""),'Q32026'!H8,"")</f>
        <v>168</v>
      </c>
      <c r="F170" t="str">
        <f>IF(AND('Q32026'!B8&lt;&gt;"",'Q32026'!E8&lt;&gt;""),'Q32026'!F8,"")</f>
        <v>Must</v>
      </c>
      <c r="G170" t="str">
        <f>IF(AND('Q32026'!B8&lt;&gt;"",'Q32026'!E8&lt;&gt;""),'Q32026'!G8,"")</f>
        <v>Desktop</v>
      </c>
      <c r="H170" t="str">
        <f>IF(AND('Q32026'!B8&lt;&gt;"",'Q32026'!E8&lt;&gt;""),"Q32026","")</f>
        <v>Q32026</v>
      </c>
      <c r="I170" t="str">
        <f>IF(A170="Q12026",COUNTIF($A$2:$A170,"Q12026"),"")</f>
        <v/>
      </c>
      <c r="J170" t="str">
        <f>IF(A170="Q22026",COUNTIF($A$2:$A170,"Q22026"),"")</f>
        <v/>
      </c>
      <c r="K170">
        <f>IF(A170="Q32026",COUNTIF($A$2:$A170,"Q32026"),"")</f>
        <v>8</v>
      </c>
      <c r="L170" t="str">
        <f>IF(A170="Q42026",COUNTIF($A$2:$A170,"Q42026"),"")</f>
        <v/>
      </c>
      <c r="M170" t="str">
        <f>IF(A170="Backlog",COUNTIF($A$2:$A170,"Backlog"),"")</f>
        <v/>
      </c>
    </row>
    <row r="171" spans="1:13">
      <c r="A171" t="str">
        <f>IF(AND('Q32026'!B12&lt;&gt;"",'Q32026'!E12&lt;&gt;""),'Q32026'!E12,"")</f>
        <v/>
      </c>
      <c r="B171" t="str">
        <f>IF(AND('Q32026'!B12&lt;&gt;"",'Q32026'!E12&lt;&gt;""),'Q32026'!B12,"")</f>
        <v/>
      </c>
      <c r="C171" t="str">
        <f>IF(AND('Q32026'!B12&lt;&gt;"",'Q32026'!E12&lt;&gt;""),'Q32026'!C12,"")</f>
        <v/>
      </c>
      <c r="D171" t="str">
        <f>IF(AND('Q32026'!B12&lt;&gt;"",'Q32026'!E12&lt;&gt;""),'Q32026'!D12,"")</f>
        <v/>
      </c>
      <c r="E171" t="str">
        <f>IF(AND('Q32026'!B12&lt;&gt;"",'Q32026'!E12&lt;&gt;""),'Q32026'!H12,"")</f>
        <v/>
      </c>
      <c r="F171" t="str">
        <f>IF(AND('Q32026'!B12&lt;&gt;"",'Q32026'!E12&lt;&gt;""),'Q32026'!F12,"")</f>
        <v/>
      </c>
      <c r="G171" t="str">
        <f>IF(AND('Q32026'!B12&lt;&gt;"",'Q32026'!E12&lt;&gt;""),'Q32026'!G12,"")</f>
        <v/>
      </c>
      <c r="H171" t="str">
        <f>IF(AND('Q32026'!B12&lt;&gt;"",'Q32026'!E12&lt;&gt;""),"Q32026","")</f>
        <v/>
      </c>
      <c r="I171" t="str">
        <f>IF(A171="Q12026",COUNTIF($A$2:$A171,"Q12026"),"")</f>
        <v/>
      </c>
      <c r="J171" t="str">
        <f>IF(A171="Q22026",COUNTIF($A$2:$A171,"Q22026"),"")</f>
        <v/>
      </c>
      <c r="K171" t="str">
        <f>IF(A171="Q32026",COUNTIF($A$2:$A171,"Q32026"),"")</f>
        <v/>
      </c>
      <c r="L171" t="str">
        <f>IF(A171="Q42026",COUNTIF($A$2:$A171,"Q42026"),"")</f>
        <v/>
      </c>
      <c r="M171" t="str">
        <f>IF(A171="Backlog",COUNTIF($A$2:$A171,"Backlog"),"")</f>
        <v/>
      </c>
    </row>
    <row r="172" spans="1:13">
      <c r="A172" t="str">
        <f>IF(AND('Q32026'!B13&lt;&gt;"",'Q32026'!E13&lt;&gt;""),'Q32026'!E13,"")</f>
        <v>Q32026</v>
      </c>
      <c r="B172" t="str">
        <f>IF(AND('Q32026'!B13&lt;&gt;"",'Q32026'!E13&lt;&gt;""),'Q32026'!B13,"")</f>
        <v>SOT/Webshop &amp; POS | Grundlage / Basis der Kundenkarte QR-Code zur Identifikation</v>
      </c>
      <c r="C172" t="str">
        <f>IF(AND('Q32026'!B13&lt;&gt;"",'Q32026'!E13&lt;&gt;""),'Q32026'!C13,"")</f>
        <v>XL (&gt;40h)</v>
      </c>
      <c r="D172" t="str">
        <f>IF(AND('Q32026'!B13&lt;&gt;"",'Q32026'!E13&lt;&gt;""),'Q32026'!D13,"")</f>
        <v>Innovation</v>
      </c>
      <c r="E172">
        <f>IF(AND('Q32026'!B13&lt;&gt;"",'Q32026'!E13&lt;&gt;""),'Q32026'!H13,"")</f>
        <v>48</v>
      </c>
      <c r="F172" t="str">
        <f>IF(AND('Q32026'!B13&lt;&gt;"",'Q32026'!E13&lt;&gt;""),'Q32026'!F13,"")</f>
        <v>Must</v>
      </c>
      <c r="G172" t="str">
        <f>IF(AND('Q32026'!B13&lt;&gt;"",'Q32026'!E13&lt;&gt;""),'Q32026'!G13,"")</f>
        <v>W-&gt;D</v>
      </c>
      <c r="H172" t="str">
        <f>IF(AND('Q32026'!B13&lt;&gt;"",'Q32026'!E13&lt;&gt;""),"Q32026","")</f>
        <v>Q32026</v>
      </c>
      <c r="I172" t="str">
        <f>IF(A172="Q12026",COUNTIF($A$2:$A172,"Q12026"),"")</f>
        <v/>
      </c>
      <c r="J172" t="str">
        <f>IF(A172="Q22026",COUNTIF($A$2:$A172,"Q22026"),"")</f>
        <v/>
      </c>
      <c r="K172">
        <f>IF(A172="Q32026",COUNTIF($A$2:$A172,"Q32026"),"")</f>
        <v>9</v>
      </c>
      <c r="L172" t="str">
        <f>IF(A172="Q42026",COUNTIF($A$2:$A172,"Q42026"),"")</f>
        <v/>
      </c>
      <c r="M172" t="str">
        <f>IF(A172="Backlog",COUNTIF($A$2:$A172,"Backlog"),"")</f>
        <v/>
      </c>
    </row>
    <row r="173" spans="1:13">
      <c r="A173" t="str">
        <f>IF(AND('Q32026'!B14&lt;&gt;"",'Q32026'!E14&lt;&gt;""),'Q32026'!E14,"")</f>
        <v>Q32026</v>
      </c>
      <c r="B173" t="str">
        <f>IF(AND('Q32026'!B14&lt;&gt;"",'Q32026'!E14&lt;&gt;""),'Q32026'!B14,"")</f>
        <v>Benefits am SOT einlösen</v>
      </c>
      <c r="C173" t="str">
        <f>IF(AND('Q32026'!B14&lt;&gt;"",'Q32026'!E14&lt;&gt;""),'Q32026'!C14,"")</f>
        <v>L (20-40h)</v>
      </c>
      <c r="D173" t="str">
        <f>IF(AND('Q32026'!B14&lt;&gt;"",'Q32026'!E14&lt;&gt;""),'Q32026'!D14,"")</f>
        <v>Strengthen</v>
      </c>
      <c r="E173">
        <f>IF(AND('Q32026'!B14&lt;&gt;"",'Q32026'!E14&lt;&gt;""),'Q32026'!H14,"")</f>
        <v>30</v>
      </c>
      <c r="F173" t="str">
        <f>IF(AND('Q32026'!B14&lt;&gt;"",'Q32026'!E14&lt;&gt;""),'Q32026'!F14,"")</f>
        <v>Should</v>
      </c>
      <c r="G173" t="str">
        <f>IF(AND('Q32026'!B14&lt;&gt;"",'Q32026'!E14&lt;&gt;""),'Q32026'!G14,"")</f>
        <v>W-&gt;D</v>
      </c>
      <c r="H173" t="str">
        <f>IF(AND('Q32026'!B14&lt;&gt;"",'Q32026'!E14&lt;&gt;""),"Q32026","")</f>
        <v>Q32026</v>
      </c>
      <c r="I173" t="str">
        <f>IF(A173="Q12026",COUNTIF($A$2:$A173,"Q12026"),"")</f>
        <v/>
      </c>
      <c r="J173" t="str">
        <f>IF(A173="Q22026",COUNTIF($A$2:$A173,"Q22026"),"")</f>
        <v/>
      </c>
      <c r="K173">
        <f>IF(A173="Q32026",COUNTIF($A$2:$A173,"Q32026"),"")</f>
        <v>10</v>
      </c>
      <c r="L173" t="str">
        <f>IF(A173="Q42026",COUNTIF($A$2:$A173,"Q42026"),"")</f>
        <v/>
      </c>
      <c r="M173" t="str">
        <f>IF(A173="Backlog",COUNTIF($A$2:$A173,"Backlog"),"")</f>
        <v/>
      </c>
    </row>
    <row r="174" spans="1:13">
      <c r="A174" t="str">
        <f>IF(AND('Q32026'!B15&lt;&gt;"",'Q32026'!E15&lt;&gt;""),'Q32026'!E15,"")</f>
        <v>Q32026</v>
      </c>
      <c r="B174" t="str">
        <f>IF(AND('Q32026'!B15&lt;&gt;"",'Q32026'!E15&lt;&gt;""),'Q32026'!B15,"")</f>
        <v>UHD | Rechnungsstellung in CHF</v>
      </c>
      <c r="C174" t="str">
        <f>IF(AND('Q32026'!B15&lt;&gt;"",'Q32026'!E15&lt;&gt;""),'Q32026'!C15,"")</f>
        <v>L (20-40h)</v>
      </c>
      <c r="D174" t="str">
        <f>IF(AND('Q32026'!B15&lt;&gt;"",'Q32026'!E15&lt;&gt;""),'Q32026'!D15,"")</f>
        <v>Strengthen</v>
      </c>
      <c r="E174">
        <f>IF(AND('Q32026'!B15&lt;&gt;"",'Q32026'!E15&lt;&gt;""),'Q32026'!H15,"")</f>
        <v>30</v>
      </c>
      <c r="F174" t="str">
        <f>IF(AND('Q32026'!B15&lt;&gt;"",'Q32026'!E15&lt;&gt;""),'Q32026'!F15,"")</f>
        <v>Should</v>
      </c>
      <c r="G174" t="str">
        <f>IF(AND('Q32026'!B15&lt;&gt;"",'Q32026'!E15&lt;&gt;""),'Q32026'!G15,"")</f>
        <v>WEB</v>
      </c>
      <c r="H174" t="str">
        <f>IF(AND('Q32026'!B15&lt;&gt;"",'Q32026'!E15&lt;&gt;""),"Q32026","")</f>
        <v>Q32026</v>
      </c>
      <c r="I174" t="str">
        <f>IF(A174="Q12026",COUNTIF($A$2:$A174,"Q12026"),"")</f>
        <v/>
      </c>
      <c r="J174" t="str">
        <f>IF(A174="Q22026",COUNTIF($A$2:$A174,"Q22026"),"")</f>
        <v/>
      </c>
      <c r="K174">
        <f>IF(A174="Q32026",COUNTIF($A$2:$A174,"Q32026"),"")</f>
        <v>11</v>
      </c>
      <c r="L174" t="str">
        <f>IF(A174="Q42026",COUNTIF($A$2:$A174,"Q42026"),"")</f>
        <v/>
      </c>
      <c r="M174" t="str">
        <f>IF(A174="Backlog",COUNTIF($A$2:$A174,"Backlog"),"")</f>
        <v/>
      </c>
    </row>
    <row r="175" spans="1:13">
      <c r="A175" t="str">
        <f>IF(AND('Q32026'!B16&lt;&gt;"",'Q32026'!E16&lt;&gt;""),'Q32026'!E16,"")</f>
        <v>Q32026</v>
      </c>
      <c r="B175" t="str">
        <f>IF(AND('Q32026'!B16&lt;&gt;"",'Q32026'!E16&lt;&gt;""),'Q32026'!B16,"")</f>
        <v xml:space="preserve">UHD | Filtermöglichkeit für „Priorisierung“ </v>
      </c>
      <c r="C175" t="str">
        <f>IF(AND('Q32026'!B16&lt;&gt;"",'Q32026'!E16&lt;&gt;""),'Q32026'!C16,"")</f>
        <v>L (20-40h)</v>
      </c>
      <c r="D175" t="str">
        <f>IF(AND('Q32026'!B16&lt;&gt;"",'Q32026'!E16&lt;&gt;""),'Q32026'!D16,"")</f>
        <v>Strengthen</v>
      </c>
      <c r="E175">
        <f>IF(AND('Q32026'!B16&lt;&gt;"",'Q32026'!E16&lt;&gt;""),'Q32026'!H16,"")</f>
        <v>30</v>
      </c>
      <c r="F175" t="str">
        <f>IF(AND('Q32026'!B16&lt;&gt;"",'Q32026'!E16&lt;&gt;""),'Q32026'!F16,"")</f>
        <v>Should</v>
      </c>
      <c r="G175" t="str">
        <f>IF(AND('Q32026'!B16&lt;&gt;"",'Q32026'!E16&lt;&gt;""),'Q32026'!G16,"")</f>
        <v>WEB</v>
      </c>
      <c r="H175" t="str">
        <f>IF(AND('Q32026'!B16&lt;&gt;"",'Q32026'!E16&lt;&gt;""),"Q32026","")</f>
        <v>Q32026</v>
      </c>
      <c r="I175" t="str">
        <f>IF(A175="Q12026",COUNTIF($A$2:$A175,"Q12026"),"")</f>
        <v/>
      </c>
      <c r="J175" t="str">
        <f>IF(A175="Q22026",COUNTIF($A$2:$A175,"Q22026"),"")</f>
        <v/>
      </c>
      <c r="K175">
        <f>IF(A175="Q32026",COUNTIF($A$2:$A175,"Q32026"),"")</f>
        <v>12</v>
      </c>
      <c r="L175" t="str">
        <f>IF(A175="Q42026",COUNTIF($A$2:$A175,"Q42026"),"")</f>
        <v/>
      </c>
      <c r="M175" t="str">
        <f>IF(A175="Backlog",COUNTIF($A$2:$A175,"Backlog"),"")</f>
        <v/>
      </c>
    </row>
    <row r="176" spans="1:13">
      <c r="A176" t="str">
        <f>IF(AND('Q32026'!B17&lt;&gt;"",'Q32026'!E17&lt;&gt;""),'Q32026'!E17,"")</f>
        <v>Q32026</v>
      </c>
      <c r="B176" t="str">
        <f>IF(AND('Q32026'!B17&lt;&gt;"",'Q32026'!E17&lt;&gt;""),'Q32026'!B17,"")</f>
        <v>UHD | Bearbeiter ergänzen / anzeigen</v>
      </c>
      <c r="C176" t="str">
        <f>IF(AND('Q32026'!B17&lt;&gt;"",'Q32026'!E17&lt;&gt;""),'Q32026'!C17,"")</f>
        <v>L (20-40h)</v>
      </c>
      <c r="D176" t="str">
        <f>IF(AND('Q32026'!B17&lt;&gt;"",'Q32026'!E17&lt;&gt;""),'Q32026'!D17,"")</f>
        <v>Strengthen</v>
      </c>
      <c r="E176">
        <f>IF(AND('Q32026'!B17&lt;&gt;"",'Q32026'!E17&lt;&gt;""),'Q32026'!H17,"")</f>
        <v>30</v>
      </c>
      <c r="F176" t="str">
        <f>IF(AND('Q32026'!B17&lt;&gt;"",'Q32026'!E17&lt;&gt;""),'Q32026'!F17,"")</f>
        <v>Should</v>
      </c>
      <c r="G176" t="str">
        <f>IF(AND('Q32026'!B17&lt;&gt;"",'Q32026'!E17&lt;&gt;""),'Q32026'!G17,"")</f>
        <v>WEB</v>
      </c>
      <c r="H176" t="str">
        <f>IF(AND('Q32026'!B17&lt;&gt;"",'Q32026'!E17&lt;&gt;""),"Q32026","")</f>
        <v>Q32026</v>
      </c>
      <c r="I176" t="str">
        <f>IF(A176="Q12026",COUNTIF($A$2:$A176,"Q12026"),"")</f>
        <v/>
      </c>
      <c r="J176" t="str">
        <f>IF(A176="Q22026",COUNTIF($A$2:$A176,"Q22026"),"")</f>
        <v/>
      </c>
      <c r="K176">
        <f>IF(A176="Q32026",COUNTIF($A$2:$A176,"Q32026"),"")</f>
        <v>13</v>
      </c>
      <c r="L176" t="str">
        <f>IF(A176="Q42026",COUNTIF($A$2:$A176,"Q42026"),"")</f>
        <v/>
      </c>
      <c r="M176" t="str">
        <f>IF(A176="Backlog",COUNTIF($A$2:$A176,"Backlog"),"")</f>
        <v/>
      </c>
    </row>
    <row r="177" spans="1:13">
      <c r="A177" t="str">
        <f>IF(AND('Q32026'!B18&lt;&gt;"",'Q32026'!E18&lt;&gt;""),'Q32026'!E18,"")</f>
        <v>Q32026</v>
      </c>
      <c r="B177" t="str">
        <f>IF(AND('Q32026'!B18&lt;&gt;"",'Q32026'!E18&lt;&gt;""),'Q32026'!B18,"")</f>
        <v xml:space="preserve">UHD | S, M, L im UH sichtbar/Filterbar. (Kritisch, Wichtig und Normal -&gt; sichtbar) </v>
      </c>
      <c r="C177" t="str">
        <f>IF(AND('Q32026'!B18&lt;&gt;"",'Q32026'!E18&lt;&gt;""),'Q32026'!C18,"")</f>
        <v>L (20-40h)</v>
      </c>
      <c r="D177" t="str">
        <f>IF(AND('Q32026'!B18&lt;&gt;"",'Q32026'!E18&lt;&gt;""),'Q32026'!D18,"")</f>
        <v>Strengthen</v>
      </c>
      <c r="E177">
        <f>IF(AND('Q32026'!B18&lt;&gt;"",'Q32026'!E18&lt;&gt;""),'Q32026'!H18,"")</f>
        <v>30</v>
      </c>
      <c r="F177" t="str">
        <f>IF(AND('Q32026'!B18&lt;&gt;"",'Q32026'!E18&lt;&gt;""),'Q32026'!F18,"")</f>
        <v>Should</v>
      </c>
      <c r="G177" t="str">
        <f>IF(AND('Q32026'!B18&lt;&gt;"",'Q32026'!E18&lt;&gt;""),'Q32026'!G18,"")</f>
        <v>WEB</v>
      </c>
      <c r="H177" t="str">
        <f>IF(AND('Q32026'!B18&lt;&gt;"",'Q32026'!E18&lt;&gt;""),"Q32026","")</f>
        <v>Q32026</v>
      </c>
      <c r="I177" t="str">
        <f>IF(A177="Q12026",COUNTIF($A$2:$A177,"Q12026"),"")</f>
        <v/>
      </c>
      <c r="J177" t="str">
        <f>IF(A177="Q22026",COUNTIF($A$2:$A177,"Q22026"),"")</f>
        <v/>
      </c>
      <c r="K177">
        <f>IF(A177="Q32026",COUNTIF($A$2:$A177,"Q32026"),"")</f>
        <v>14</v>
      </c>
      <c r="L177" t="str">
        <f>IF(A177="Q42026",COUNTIF($A$2:$A177,"Q42026"),"")</f>
        <v/>
      </c>
      <c r="M177" t="str">
        <f>IF(A177="Backlog",COUNTIF($A$2:$A177,"Backlog"),"")</f>
        <v/>
      </c>
    </row>
    <row r="178" spans="1:13">
      <c r="A178" t="str">
        <f>IF(AND('Q32026'!B19&lt;&gt;"",'Q32026'!E19&lt;&gt;""),'Q32026'!E19,"")</f>
        <v>Q32026</v>
      </c>
      <c r="B178" t="str">
        <f>IF(AND('Q32026'!B19&lt;&gt;"",'Q32026'!E19&lt;&gt;""),'Q32026'!B19,"")</f>
        <v>Loaylty | Bonussystem 2.0</v>
      </c>
      <c r="C178" t="str">
        <f>IF(AND('Q32026'!B19&lt;&gt;"",'Q32026'!E19&lt;&gt;""),'Q32026'!C19,"")</f>
        <v>XXL (&gt;160h)</v>
      </c>
      <c r="D178" t="str">
        <f>IF(AND('Q32026'!B19&lt;&gt;"",'Q32026'!E19&lt;&gt;""),'Q32026'!D19,"")</f>
        <v>Innovation</v>
      </c>
      <c r="E178">
        <f>IF(AND('Q32026'!B19&lt;&gt;"",'Q32026'!E19&lt;&gt;""),'Q32026'!H19,"")</f>
        <v>168</v>
      </c>
      <c r="F178" t="str">
        <f>IF(AND('Q32026'!B19&lt;&gt;"",'Q32026'!E19&lt;&gt;""),'Q32026'!F19,"")</f>
        <v>Must</v>
      </c>
      <c r="G178" t="str">
        <f>IF(AND('Q32026'!B19&lt;&gt;"",'Q32026'!E19&lt;&gt;""),'Q32026'!G19,"")</f>
        <v>WEB</v>
      </c>
      <c r="H178" t="str">
        <f>IF(AND('Q32026'!B19&lt;&gt;"",'Q32026'!E19&lt;&gt;""),"Q32026","")</f>
        <v>Q32026</v>
      </c>
      <c r="I178" t="str">
        <f>IF(A178="Q12026",COUNTIF($A$2:$A178,"Q12026"),"")</f>
        <v/>
      </c>
      <c r="J178" t="str">
        <f>IF(A178="Q22026",COUNTIF($A$2:$A178,"Q22026"),"")</f>
        <v/>
      </c>
      <c r="K178">
        <f>IF(A178="Q32026",COUNTIF($A$2:$A178,"Q32026"),"")</f>
        <v>15</v>
      </c>
      <c r="L178" t="str">
        <f>IF(A178="Q42026",COUNTIF($A$2:$A178,"Q42026"),"")</f>
        <v/>
      </c>
      <c r="M178" t="str">
        <f>IF(A178="Backlog",COUNTIF($A$2:$A178,"Backlog"),"")</f>
        <v/>
      </c>
    </row>
    <row r="179" spans="1:13">
      <c r="A179" t="str">
        <f>IF(AND('Q32026'!B20&lt;&gt;"",'Q32026'!E20&lt;&gt;""),'Q32026'!E20,"")</f>
        <v>Q32026</v>
      </c>
      <c r="B179" t="str">
        <f>IF(AND('Q32026'!B20&lt;&gt;"",'Q32026'!E20&lt;&gt;""),'Q32026'!B20,"")</f>
        <v>Wallet-Anbindung iOS &amp; Android | Web Gutscheine und Tickets</v>
      </c>
      <c r="C179" t="str">
        <f>IF(AND('Q32026'!B20&lt;&gt;"",'Q32026'!E20&lt;&gt;""),'Q32026'!C20,"")</f>
        <v>XL (&gt;40h)</v>
      </c>
      <c r="D179" t="str">
        <f>IF(AND('Q32026'!B20&lt;&gt;"",'Q32026'!E20&lt;&gt;""),'Q32026'!D20,"")</f>
        <v>Innovation</v>
      </c>
      <c r="E179">
        <f>IF(AND('Q32026'!B20&lt;&gt;"",'Q32026'!E20&lt;&gt;""),'Q32026'!H20,"")</f>
        <v>48</v>
      </c>
      <c r="F179" t="str">
        <f>IF(AND('Q32026'!B20&lt;&gt;"",'Q32026'!E20&lt;&gt;""),'Q32026'!F20,"")</f>
        <v>Should</v>
      </c>
      <c r="G179" t="str">
        <f>IF(AND('Q32026'!B20&lt;&gt;"",'Q32026'!E20&lt;&gt;""),'Q32026'!G20,"")</f>
        <v>WEB</v>
      </c>
      <c r="H179" t="str">
        <f>IF(AND('Q32026'!B20&lt;&gt;"",'Q32026'!E20&lt;&gt;""),"Q32026","")</f>
        <v>Q32026</v>
      </c>
      <c r="I179" t="str">
        <f>IF(A179="Q12026",COUNTIF($A$2:$A179,"Q12026"),"")</f>
        <v/>
      </c>
      <c r="J179" t="str">
        <f>IF(A179="Q22026",COUNTIF($A$2:$A179,"Q22026"),"")</f>
        <v/>
      </c>
      <c r="K179">
        <f>IF(A179="Q32026",COUNTIF($A$2:$A179,"Q32026"),"")</f>
        <v>16</v>
      </c>
      <c r="L179" t="str">
        <f>IF(A179="Q42026",COUNTIF($A$2:$A179,"Q42026"),"")</f>
        <v/>
      </c>
      <c r="M179" t="str">
        <f>IF(A179="Backlog",COUNTIF($A$2:$A179,"Backlog"),"")</f>
        <v/>
      </c>
    </row>
    <row r="180" spans="1:13">
      <c r="A180" t="str">
        <f>IF(AND('Q32026'!B21&lt;&gt;"",'Q32026'!E21&lt;&gt;""),'Q32026'!E21,"")</f>
        <v>Q32026</v>
      </c>
      <c r="B180" t="str">
        <f>IF(AND('Q32026'!B21&lt;&gt;"",'Q32026'!E21&lt;&gt;""),'Q32026'!B21,"")</f>
        <v>API | Externer Kundenstamm</v>
      </c>
      <c r="C180" t="str">
        <f>IF(AND('Q32026'!B21&lt;&gt;"",'Q32026'!E21&lt;&gt;""),'Q32026'!C21,"")</f>
        <v>L (20-40h)</v>
      </c>
      <c r="D180" t="str">
        <f>IF(AND('Q32026'!B21&lt;&gt;"",'Q32026'!E21&lt;&gt;""),'Q32026'!D21,"")</f>
        <v>Strengthen</v>
      </c>
      <c r="E180">
        <f>IF(AND('Q32026'!B21&lt;&gt;"",'Q32026'!E21&lt;&gt;""),'Q32026'!H21,"")</f>
        <v>30</v>
      </c>
      <c r="F180" t="str">
        <f>IF(AND('Q32026'!B21&lt;&gt;"",'Q32026'!E21&lt;&gt;""),'Q32026'!F21,"")</f>
        <v>Could</v>
      </c>
      <c r="G180" t="str">
        <f>IF(AND('Q32026'!B21&lt;&gt;"",'Q32026'!E21&lt;&gt;""),'Q32026'!G21,"")</f>
        <v>WEB</v>
      </c>
      <c r="H180" t="str">
        <f>IF(AND('Q32026'!B21&lt;&gt;"",'Q32026'!E21&lt;&gt;""),"Q32026","")</f>
        <v>Q32026</v>
      </c>
      <c r="I180" t="str">
        <f>IF(A180="Q12026",COUNTIF($A$2:$A180,"Q12026"),"")</f>
        <v/>
      </c>
      <c r="J180" t="str">
        <f>IF(A180="Q22026",COUNTIF($A$2:$A180,"Q22026"),"")</f>
        <v/>
      </c>
      <c r="K180">
        <f>IF(A180="Q32026",COUNTIF($A$2:$A180,"Q32026"),"")</f>
        <v>17</v>
      </c>
      <c r="L180" t="str">
        <f>IF(A180="Q42026",COUNTIF($A$2:$A180,"Q42026"),"")</f>
        <v/>
      </c>
      <c r="M180" t="str">
        <f>IF(A180="Backlog",COUNTIF($A$2:$A180,"Backlog"),"")</f>
        <v/>
      </c>
    </row>
    <row r="181" spans="1:13">
      <c r="A181" t="str">
        <f>IF(AND('Q32026'!B22&lt;&gt;"",'Q32026'!E22&lt;&gt;""),'Q32026'!E22,"")</f>
        <v>Q32026</v>
      </c>
      <c r="B181" t="str">
        <f>IF(AND('Q32026'!B22&lt;&gt;"",'Q32026'!E22&lt;&gt;""),'Q32026'!B22,"")</f>
        <v>TWINT / Konstantin / HILTL</v>
      </c>
      <c r="C181" t="str">
        <f>IF(AND('Q32026'!B22&lt;&gt;"",'Q32026'!E22&lt;&gt;""),'Q32026'!C22,"")</f>
        <v>M (10-20h)</v>
      </c>
      <c r="D181" t="str">
        <f>IF(AND('Q32026'!B22&lt;&gt;"",'Q32026'!E22&lt;&gt;""),'Q32026'!D22,"")</f>
        <v>Repair</v>
      </c>
      <c r="E181">
        <f>IF(AND('Q32026'!B22&lt;&gt;"",'Q32026'!E22&lt;&gt;""),'Q32026'!H22,"")</f>
        <v>15</v>
      </c>
      <c r="F181" t="str">
        <f>IF(AND('Q32026'!B22&lt;&gt;"",'Q32026'!E22&lt;&gt;""),'Q32026'!F22,"")</f>
        <v>Must</v>
      </c>
      <c r="G181" t="str">
        <f>IF(AND('Q32026'!B22&lt;&gt;"",'Q32026'!E22&lt;&gt;""),'Q32026'!G22,"")</f>
        <v>WEB</v>
      </c>
      <c r="H181" t="str">
        <f>IF(AND('Q32026'!B22&lt;&gt;"",'Q32026'!E22&lt;&gt;""),"Q32026","")</f>
        <v>Q32026</v>
      </c>
      <c r="I181" t="str">
        <f>IF(A181="Q12026",COUNTIF($A$2:$A181,"Q12026"),"")</f>
        <v/>
      </c>
      <c r="J181" t="str">
        <f>IF(A181="Q22026",COUNTIF($A$2:$A181,"Q22026"),"")</f>
        <v/>
      </c>
      <c r="K181">
        <f>IF(A181="Q32026",COUNTIF($A$2:$A181,"Q32026"),"")</f>
        <v>18</v>
      </c>
      <c r="L181" t="str">
        <f>IF(A181="Q42026",COUNTIF($A$2:$A181,"Q42026"),"")</f>
        <v/>
      </c>
      <c r="M181" t="str">
        <f>IF(A181="Backlog",COUNTIF($A$2:$A181,"Backlog"),"")</f>
        <v/>
      </c>
    </row>
    <row r="182" spans="1:13">
      <c r="A182" t="str">
        <f>IF(AND('Q32026'!B23&lt;&gt;"",'Q32026'!E23&lt;&gt;""),'Q32026'!E23,"")</f>
        <v>Q32026</v>
      </c>
      <c r="B182" t="str">
        <f>IF(AND('Q32026'!B23&lt;&gt;"",'Q32026'!E23&lt;&gt;""),'Q32026'!B23,"")</f>
        <v>OpenTable API</v>
      </c>
      <c r="C182" t="str">
        <f>IF(AND('Q32026'!B23&lt;&gt;"",'Q32026'!E23&lt;&gt;""),'Q32026'!C23,"")</f>
        <v>M (10-20h)</v>
      </c>
      <c r="D182" t="str">
        <f>IF(AND('Q32026'!B23&lt;&gt;"",'Q32026'!E23&lt;&gt;""),'Q32026'!D23,"")</f>
        <v>Innovation</v>
      </c>
      <c r="E182">
        <f>IF(AND('Q32026'!B23&lt;&gt;"",'Q32026'!E23&lt;&gt;""),'Q32026'!H23,"")</f>
        <v>15</v>
      </c>
      <c r="F182" t="str">
        <f>IF(AND('Q32026'!B23&lt;&gt;"",'Q32026'!E23&lt;&gt;""),'Q32026'!F23,"")</f>
        <v>Could</v>
      </c>
      <c r="G182" t="str">
        <f>IF(AND('Q32026'!B23&lt;&gt;"",'Q32026'!E23&lt;&gt;""),'Q32026'!G23,"")</f>
        <v>WEB</v>
      </c>
      <c r="H182" t="str">
        <f>IF(AND('Q32026'!B23&lt;&gt;"",'Q32026'!E23&lt;&gt;""),"Q32026","")</f>
        <v>Q32026</v>
      </c>
      <c r="I182" t="str">
        <f>IF(A182="Q12026",COUNTIF($A$2:$A182,"Q12026"),"")</f>
        <v/>
      </c>
      <c r="J182" t="str">
        <f>IF(A182="Q22026",COUNTIF($A$2:$A182,"Q22026"),"")</f>
        <v/>
      </c>
      <c r="K182">
        <f>IF(A182="Q32026",COUNTIF($A$2:$A182,"Q32026"),"")</f>
        <v>19</v>
      </c>
      <c r="L182" t="str">
        <f>IF(A182="Q42026",COUNTIF($A$2:$A182,"Q42026"),"")</f>
        <v/>
      </c>
      <c r="M182" t="str">
        <f>IF(A182="Backlog",COUNTIF($A$2:$A182,"Backlog"),"")</f>
        <v/>
      </c>
    </row>
    <row r="183" spans="1:13">
      <c r="A183" t="str">
        <f>IF(AND('Q32026'!B24&lt;&gt;"",'Q32026'!E24&lt;&gt;""),'Q32026'!E24,"")</f>
        <v>Q32026</v>
      </c>
      <c r="B183" t="str">
        <f>IF(AND('Q32026'!B24&lt;&gt;"",'Q32026'!E24&lt;&gt;""),'Q32026'!B24,"")</f>
        <v>UHD | Incident Feedback an Kunde</v>
      </c>
      <c r="C183" t="str">
        <f>IF(AND('Q32026'!B24&lt;&gt;"",'Q32026'!E24&lt;&gt;""),'Q32026'!C24,"")</f>
        <v>L (20-40h)</v>
      </c>
      <c r="D183" t="str">
        <f>IF(AND('Q32026'!B24&lt;&gt;"",'Q32026'!E24&lt;&gt;""),'Q32026'!D24,"")</f>
        <v>Strengthen</v>
      </c>
      <c r="E183">
        <f>IF(AND('Q32026'!B24&lt;&gt;"",'Q32026'!E24&lt;&gt;""),'Q32026'!H24,"")</f>
        <v>30</v>
      </c>
      <c r="F183" t="str">
        <f>IF(AND('Q32026'!B24&lt;&gt;"",'Q32026'!E24&lt;&gt;""),'Q32026'!F24,"")</f>
        <v>Must</v>
      </c>
      <c r="G183" t="str">
        <f>IF(AND('Q32026'!B24&lt;&gt;"",'Q32026'!E24&lt;&gt;""),'Q32026'!G24,"")</f>
        <v>WEB</v>
      </c>
      <c r="H183" t="str">
        <f>IF(AND('Q32026'!B24&lt;&gt;"",'Q32026'!E24&lt;&gt;""),"Q32026","")</f>
        <v>Q32026</v>
      </c>
      <c r="I183" t="str">
        <f>IF(A183="Q12026",COUNTIF($A$2:$A183,"Q12026"),"")</f>
        <v/>
      </c>
      <c r="J183" t="str">
        <f>IF(A183="Q22026",COUNTIF($A$2:$A183,"Q22026"),"")</f>
        <v/>
      </c>
      <c r="K183">
        <f>IF(A183="Q32026",COUNTIF($A$2:$A183,"Q32026"),"")</f>
        <v>20</v>
      </c>
      <c r="L183" t="str">
        <f>IF(A183="Q42026",COUNTIF($A$2:$A183,"Q42026"),"")</f>
        <v/>
      </c>
      <c r="M183" t="str">
        <f>IF(A183="Backlog",COUNTIF($A$2:$A183,"Backlog"),"")</f>
        <v/>
      </c>
    </row>
    <row r="184" spans="1:13">
      <c r="A184" t="str">
        <f>IF(AND('Q32026'!B25&lt;&gt;"",'Q32026'!E25&lt;&gt;""),'Q32026'!E25,"")</f>
        <v>Q32026</v>
      </c>
      <c r="B184" t="str">
        <f>IF(AND('Q32026'!B25&lt;&gt;"",'Q32026'!E25&lt;&gt;""),'Q32026'!B25,"")</f>
        <v>HeyRosi -&gt; API</v>
      </c>
      <c r="C184" t="str">
        <f>IF(AND('Q32026'!B25&lt;&gt;"",'Q32026'!E25&lt;&gt;""),'Q32026'!C25,"")</f>
        <v>M (10-20h)</v>
      </c>
      <c r="D184" t="str">
        <f>IF(AND('Q32026'!B25&lt;&gt;"",'Q32026'!E25&lt;&gt;""),'Q32026'!D25,"")</f>
        <v>Innovation</v>
      </c>
      <c r="E184">
        <f>IF(AND('Q32026'!B25&lt;&gt;"",'Q32026'!E25&lt;&gt;""),'Q32026'!H25,"")</f>
        <v>15</v>
      </c>
      <c r="F184" t="str">
        <f>IF(AND('Q32026'!B25&lt;&gt;"",'Q32026'!E25&lt;&gt;""),'Q32026'!F25,"")</f>
        <v>Should</v>
      </c>
      <c r="G184" t="str">
        <f>IF(AND('Q32026'!B25&lt;&gt;"",'Q32026'!E25&lt;&gt;""),'Q32026'!G25,"")</f>
        <v>WEB</v>
      </c>
      <c r="H184" t="str">
        <f>IF(AND('Q32026'!B25&lt;&gt;"",'Q32026'!E25&lt;&gt;""),"Q32026","")</f>
        <v>Q32026</v>
      </c>
      <c r="I184" t="str">
        <f>IF(A184="Q12026",COUNTIF($A$2:$A184,"Q12026"),"")</f>
        <v/>
      </c>
      <c r="J184" t="str">
        <f>IF(A184="Q22026",COUNTIF($A$2:$A184,"Q22026"),"")</f>
        <v/>
      </c>
      <c r="K184">
        <f>IF(A184="Q32026",COUNTIF($A$2:$A184,"Q32026"),"")</f>
        <v>21</v>
      </c>
      <c r="L184" t="str">
        <f>IF(A184="Q42026",COUNTIF($A$2:$A184,"Q42026"),"")</f>
        <v/>
      </c>
      <c r="M184" t="str">
        <f>IF(A184="Backlog",COUNTIF($A$2:$A184,"Backlog"),"")</f>
        <v/>
      </c>
    </row>
    <row r="185" spans="1:13">
      <c r="A185" t="str">
        <f>IF(AND('Q32026'!B26&lt;&gt;"",'Q32026'!E26&lt;&gt;""),'Q32026'!E26,"")</f>
        <v>Q32026</v>
      </c>
      <c r="B185" t="str">
        <f>IF(AND('Q32026'!B26&lt;&gt;"",'Q32026'!E26&lt;&gt;""),'Q32026'!B26,"")</f>
        <v>Landingpage zur Registrierung</v>
      </c>
      <c r="C185" t="str">
        <f>IF(AND('Q32026'!B26&lt;&gt;"",'Q32026'!E26&lt;&gt;""),'Q32026'!C26,"")</f>
        <v>M (10-20h)</v>
      </c>
      <c r="D185" t="str">
        <f>IF(AND('Q32026'!B26&lt;&gt;"",'Q32026'!E26&lt;&gt;""),'Q32026'!D26,"")</f>
        <v>Strengthen</v>
      </c>
      <c r="E185">
        <f>IF(AND('Q32026'!B26&lt;&gt;"",'Q32026'!E26&lt;&gt;""),'Q32026'!H26,"")</f>
        <v>15</v>
      </c>
      <c r="F185" t="str">
        <f>IF(AND('Q32026'!B26&lt;&gt;"",'Q32026'!E26&lt;&gt;""),'Q32026'!F26,"")</f>
        <v>Must</v>
      </c>
      <c r="G185" t="str">
        <f>IF(AND('Q32026'!B26&lt;&gt;"",'Q32026'!E26&lt;&gt;""),'Q32026'!G26,"")</f>
        <v>WEB</v>
      </c>
      <c r="H185" t="str">
        <f>IF(AND('Q32026'!B26&lt;&gt;"",'Q32026'!E26&lt;&gt;""),"Q32026","")</f>
        <v>Q32026</v>
      </c>
      <c r="I185" t="str">
        <f>IF(A185="Q12026",COUNTIF($A$2:$A185,"Q12026"),"")</f>
        <v/>
      </c>
      <c r="J185" t="str">
        <f>IF(A185="Q22026",COUNTIF($A$2:$A185,"Q22026"),"")</f>
        <v/>
      </c>
      <c r="K185">
        <f>IF(A185="Q32026",COUNTIF($A$2:$A185,"Q32026"),"")</f>
        <v>22</v>
      </c>
      <c r="L185" t="str">
        <f>IF(A185="Q42026",COUNTIF($A$2:$A185,"Q42026"),"")</f>
        <v/>
      </c>
      <c r="M185" t="str">
        <f>IF(A185="Backlog",COUNTIF($A$2:$A185,"Backlog"),"")</f>
        <v/>
      </c>
    </row>
    <row r="186" spans="1:13">
      <c r="A186" t="str">
        <f>IF(AND('Q32026'!B27&lt;&gt;"",'Q32026'!E27&lt;&gt;""),'Q32026'!E27,"")</f>
        <v>Q32026</v>
      </c>
      <c r="B186" t="str">
        <f>IF(AND('Q32026'!B27&lt;&gt;"",'Q32026'!E27&lt;&gt;""),'Q32026'!B27,"")</f>
        <v>UI / Code - Portalmodernisierung | Benutzer</v>
      </c>
      <c r="C186" t="str">
        <f>IF(AND('Q32026'!B27&lt;&gt;"",'Q32026'!E27&lt;&gt;""),'Q32026'!C27,"")</f>
        <v>XXL (&gt;160h)</v>
      </c>
      <c r="D186" t="str">
        <f>IF(AND('Q32026'!B27&lt;&gt;"",'Q32026'!E27&lt;&gt;""),'Q32026'!D27,"")</f>
        <v>Strengthen</v>
      </c>
      <c r="E186">
        <f>IF(AND('Q32026'!B27&lt;&gt;"",'Q32026'!E27&lt;&gt;""),'Q32026'!H27,"")</f>
        <v>168</v>
      </c>
      <c r="F186" t="str">
        <f>IF(AND('Q32026'!B27&lt;&gt;"",'Q32026'!E27&lt;&gt;""),'Q32026'!F27,"")</f>
        <v>Should</v>
      </c>
      <c r="G186" t="str">
        <f>IF(AND('Q32026'!B27&lt;&gt;"",'Q32026'!E27&lt;&gt;""),'Q32026'!G27,"")</f>
        <v>WEB</v>
      </c>
      <c r="H186" t="str">
        <f>IF(AND('Q32026'!B27&lt;&gt;"",'Q32026'!E27&lt;&gt;""),"Q32026","")</f>
        <v>Q32026</v>
      </c>
      <c r="I186" t="str">
        <f>IF(A186="Q12026",COUNTIF($A$2:$A186,"Q12026"),"")</f>
        <v/>
      </c>
      <c r="J186" t="str">
        <f>IF(A186="Q22026",COUNTIF($A$2:$A186,"Q22026"),"")</f>
        <v/>
      </c>
      <c r="K186">
        <f>IF(A186="Q32026",COUNTIF($A$2:$A186,"Q32026"),"")</f>
        <v>23</v>
      </c>
      <c r="L186" t="str">
        <f>IF(A186="Q42026",COUNTIF($A$2:$A186,"Q42026"),"")</f>
        <v/>
      </c>
      <c r="M186" t="str">
        <f>IF(A186="Backlog",COUNTIF($A$2:$A186,"Backlog"),"")</f>
        <v/>
      </c>
    </row>
    <row r="187" spans="1:13">
      <c r="A187" t="str">
        <f>IF(AND('Q32026'!B28&lt;&gt;"",'Q32026'!E28&lt;&gt;""),'Q32026'!E28,"")</f>
        <v>Q32026</v>
      </c>
      <c r="B187" t="str">
        <f>IF(AND('Q32026'!B28&lt;&gt;"",'Q32026'!E28&lt;&gt;""),'Q32026'!B28,"")</f>
        <v>Einmal einlösbare Coupons für die YourApp</v>
      </c>
      <c r="C187" t="str">
        <f>IF(AND('Q32026'!B28&lt;&gt;"",'Q32026'!E28&lt;&gt;""),'Q32026'!C28,"")</f>
        <v>XL (&gt;40h)</v>
      </c>
      <c r="D187" t="str">
        <f>IF(AND('Q32026'!B28&lt;&gt;"",'Q32026'!E28&lt;&gt;""),'Q32026'!D28,"")</f>
        <v>Strengthen</v>
      </c>
      <c r="E187">
        <f>IF(AND('Q32026'!B28&lt;&gt;"",'Q32026'!E28&lt;&gt;""),'Q32026'!H28,"")</f>
        <v>48</v>
      </c>
      <c r="F187" t="str">
        <f>IF(AND('Q32026'!B28&lt;&gt;"",'Q32026'!E28&lt;&gt;""),'Q32026'!F28,"")</f>
        <v>Must</v>
      </c>
      <c r="G187" t="str">
        <f>IF(AND('Q32026'!B28&lt;&gt;"",'Q32026'!E28&lt;&gt;""),'Q32026'!G28,"")</f>
        <v>WEB</v>
      </c>
      <c r="H187" t="str">
        <f>IF(AND('Q32026'!B28&lt;&gt;"",'Q32026'!E28&lt;&gt;""),"Q32026","")</f>
        <v>Q32026</v>
      </c>
      <c r="I187" t="str">
        <f>IF(A187="Q12026",COUNTIF($A$2:$A187,"Q12026"),"")</f>
        <v/>
      </c>
      <c r="J187" t="str">
        <f>IF(A187="Q22026",COUNTIF($A$2:$A187,"Q22026"),"")</f>
        <v/>
      </c>
      <c r="K187">
        <f>IF(A187="Q32026",COUNTIF($A$2:$A187,"Q32026"),"")</f>
        <v>24</v>
      </c>
      <c r="L187" t="str">
        <f>IF(A187="Q42026",COUNTIF($A$2:$A187,"Q42026"),"")</f>
        <v/>
      </c>
      <c r="M187" t="str">
        <f>IF(A187="Backlog",COUNTIF($A$2:$A187,"Backlog"),"")</f>
        <v/>
      </c>
    </row>
    <row r="188" spans="1:13">
      <c r="A188" t="str">
        <f>IF(AND('Q32026'!B29&lt;&gt;"",'Q32026'!E29&lt;&gt;""),'Q32026'!E29,"")</f>
        <v/>
      </c>
      <c r="B188" t="str">
        <f>IF(AND('Q32026'!B29&lt;&gt;"",'Q32026'!E29&lt;&gt;""),'Q32026'!B29,"")</f>
        <v/>
      </c>
      <c r="C188" t="str">
        <f>IF(AND('Q32026'!B29&lt;&gt;"",'Q32026'!E29&lt;&gt;""),'Q32026'!C29,"")</f>
        <v/>
      </c>
      <c r="D188" t="str">
        <f>IF(AND('Q32026'!B29&lt;&gt;"",'Q32026'!E29&lt;&gt;""),'Q32026'!D29,"")</f>
        <v/>
      </c>
      <c r="E188" t="str">
        <f>IF(AND('Q32026'!B29&lt;&gt;"",'Q32026'!E29&lt;&gt;""),'Q32026'!H29,"")</f>
        <v/>
      </c>
      <c r="F188" t="str">
        <f>IF(AND('Q32026'!B29&lt;&gt;"",'Q32026'!E29&lt;&gt;""),'Q32026'!F29,"")</f>
        <v/>
      </c>
      <c r="G188" t="str">
        <f>IF(AND('Q32026'!B29&lt;&gt;"",'Q32026'!E29&lt;&gt;""),'Q32026'!G29,"")</f>
        <v/>
      </c>
      <c r="H188" t="str">
        <f>IF(AND('Q32026'!B29&lt;&gt;"",'Q32026'!E29&lt;&gt;""),"Q32026","")</f>
        <v/>
      </c>
      <c r="I188" t="str">
        <f>IF(A188="Q12026",COUNTIF($A$2:$A188,"Q12026"),"")</f>
        <v/>
      </c>
      <c r="J188" t="str">
        <f>IF(A188="Q22026",COUNTIF($A$2:$A188,"Q22026"),"")</f>
        <v/>
      </c>
      <c r="K188" t="str">
        <f>IF(A188="Q32026",COUNTIF($A$2:$A188,"Q32026"),"")</f>
        <v/>
      </c>
      <c r="L188" t="str">
        <f>IF(A188="Q42026",COUNTIF($A$2:$A188,"Q42026"),"")</f>
        <v/>
      </c>
      <c r="M188" t="str">
        <f>IF(A188="Backlog",COUNTIF($A$2:$A188,"Backlog"),"")</f>
        <v/>
      </c>
    </row>
    <row r="189" spans="1:13">
      <c r="A189" t="str">
        <f>IF(AND('Q32026'!B30&lt;&gt;"",'Q32026'!E30&lt;&gt;""),'Q32026'!E30,"")</f>
        <v/>
      </c>
      <c r="B189" t="str">
        <f>IF(AND('Q32026'!B30&lt;&gt;"",'Q32026'!E30&lt;&gt;""),'Q32026'!B30,"")</f>
        <v/>
      </c>
      <c r="C189" t="str">
        <f>IF(AND('Q32026'!B30&lt;&gt;"",'Q32026'!E30&lt;&gt;""),'Q32026'!C30,"")</f>
        <v/>
      </c>
      <c r="D189" t="str">
        <f>IF(AND('Q32026'!B30&lt;&gt;"",'Q32026'!E30&lt;&gt;""),'Q32026'!D30,"")</f>
        <v/>
      </c>
      <c r="E189" t="str">
        <f>IF(AND('Q32026'!B30&lt;&gt;"",'Q32026'!E30&lt;&gt;""),'Q32026'!H30,"")</f>
        <v/>
      </c>
      <c r="F189" t="str">
        <f>IF(AND('Q32026'!B30&lt;&gt;"",'Q32026'!E30&lt;&gt;""),'Q32026'!F30,"")</f>
        <v/>
      </c>
      <c r="G189" t="str">
        <f>IF(AND('Q32026'!B30&lt;&gt;"",'Q32026'!E30&lt;&gt;""),'Q32026'!G30,"")</f>
        <v/>
      </c>
      <c r="H189" t="str">
        <f>IF(AND('Q32026'!B30&lt;&gt;"",'Q32026'!E30&lt;&gt;""),"Q32026","")</f>
        <v/>
      </c>
      <c r="I189" t="str">
        <f>IF(A189="Q12026",COUNTIF($A$2:$A189,"Q12026"),"")</f>
        <v/>
      </c>
      <c r="J189" t="str">
        <f>IF(A189="Q22026",COUNTIF($A$2:$A189,"Q22026"),"")</f>
        <v/>
      </c>
      <c r="K189" t="str">
        <f>IF(A189="Q32026",COUNTIF($A$2:$A189,"Q32026"),"")</f>
        <v/>
      </c>
      <c r="L189" t="str">
        <f>IF(A189="Q42026",COUNTIF($A$2:$A189,"Q42026"),"")</f>
        <v/>
      </c>
      <c r="M189" t="str">
        <f>IF(A189="Backlog",COUNTIF($A$2:$A189,"Backlog"),"")</f>
        <v/>
      </c>
    </row>
    <row r="190" spans="1:13">
      <c r="A190" t="str">
        <f>IF(AND('Q32026'!B31&lt;&gt;"",'Q32026'!E31&lt;&gt;""),'Q32026'!E31,"")</f>
        <v/>
      </c>
      <c r="B190" t="str">
        <f>IF(AND('Q32026'!B31&lt;&gt;"",'Q32026'!E31&lt;&gt;""),'Q32026'!B31,"")</f>
        <v/>
      </c>
      <c r="C190" t="str">
        <f>IF(AND('Q32026'!B31&lt;&gt;"",'Q32026'!E31&lt;&gt;""),'Q32026'!C31,"")</f>
        <v/>
      </c>
      <c r="D190" t="str">
        <f>IF(AND('Q32026'!B31&lt;&gt;"",'Q32026'!E31&lt;&gt;""),'Q32026'!D31,"")</f>
        <v/>
      </c>
      <c r="E190" t="str">
        <f>IF(AND('Q32026'!B31&lt;&gt;"",'Q32026'!E31&lt;&gt;""),'Q32026'!H31,"")</f>
        <v/>
      </c>
      <c r="F190" t="str">
        <f>IF(AND('Q32026'!B31&lt;&gt;"",'Q32026'!E31&lt;&gt;""),'Q32026'!F31,"")</f>
        <v/>
      </c>
      <c r="G190" t="str">
        <f>IF(AND('Q32026'!B31&lt;&gt;"",'Q32026'!E31&lt;&gt;""),'Q32026'!G31,"")</f>
        <v/>
      </c>
      <c r="H190" t="str">
        <f>IF(AND('Q32026'!B31&lt;&gt;"",'Q32026'!E31&lt;&gt;""),"Q32026","")</f>
        <v/>
      </c>
      <c r="I190" t="str">
        <f>IF(A190="Q12026",COUNTIF($A$2:$A190,"Q12026"),"")</f>
        <v/>
      </c>
      <c r="J190" t="str">
        <f>IF(A190="Q22026",COUNTIF($A$2:$A190,"Q22026"),"")</f>
        <v/>
      </c>
      <c r="K190" t="str">
        <f>IF(A190="Q32026",COUNTIF($A$2:$A190,"Q32026"),"")</f>
        <v/>
      </c>
      <c r="L190" t="str">
        <f>IF(A190="Q42026",COUNTIF($A$2:$A190,"Q42026"),"")</f>
        <v/>
      </c>
      <c r="M190" t="str">
        <f>IF(A190="Backlog",COUNTIF($A$2:$A190,"Backlog"),"")</f>
        <v/>
      </c>
    </row>
    <row r="191" spans="1:13">
      <c r="A191" t="str">
        <f>IF(AND('Q32026'!B32&lt;&gt;"",'Q32026'!E32&lt;&gt;""),'Q32026'!E32,"")</f>
        <v/>
      </c>
      <c r="B191" t="str">
        <f>IF(AND('Q32026'!B32&lt;&gt;"",'Q32026'!E32&lt;&gt;""),'Q32026'!B32,"")</f>
        <v/>
      </c>
      <c r="C191" t="str">
        <f>IF(AND('Q32026'!B32&lt;&gt;"",'Q32026'!E32&lt;&gt;""),'Q32026'!C32,"")</f>
        <v/>
      </c>
      <c r="D191" t="str">
        <f>IF(AND('Q32026'!B32&lt;&gt;"",'Q32026'!E32&lt;&gt;""),'Q32026'!D32,"")</f>
        <v/>
      </c>
      <c r="E191" t="str">
        <f>IF(AND('Q32026'!B32&lt;&gt;"",'Q32026'!E32&lt;&gt;""),'Q32026'!H32,"")</f>
        <v/>
      </c>
      <c r="F191" t="str">
        <f>IF(AND('Q32026'!B32&lt;&gt;"",'Q32026'!E32&lt;&gt;""),'Q32026'!F32,"")</f>
        <v/>
      </c>
      <c r="G191" t="str">
        <f>IF(AND('Q32026'!B32&lt;&gt;"",'Q32026'!E32&lt;&gt;""),'Q32026'!G32,"")</f>
        <v/>
      </c>
      <c r="H191" t="str">
        <f>IF(AND('Q32026'!B32&lt;&gt;"",'Q32026'!E32&lt;&gt;""),"Q32026","")</f>
        <v/>
      </c>
      <c r="I191" t="str">
        <f>IF(A191="Q12026",COUNTIF($A$2:$A191,"Q12026"),"")</f>
        <v/>
      </c>
      <c r="J191" t="str">
        <f>IF(A191="Q22026",COUNTIF($A$2:$A191,"Q22026"),"")</f>
        <v/>
      </c>
      <c r="K191" t="str">
        <f>IF(A191="Q32026",COUNTIF($A$2:$A191,"Q32026"),"")</f>
        <v/>
      </c>
      <c r="L191" t="str">
        <f>IF(A191="Q42026",COUNTIF($A$2:$A191,"Q42026"),"")</f>
        <v/>
      </c>
      <c r="M191" t="str">
        <f>IF(A191="Backlog",COUNTIF($A$2:$A191,"Backlog"),"")</f>
        <v/>
      </c>
    </row>
    <row r="192" spans="1:13">
      <c r="A192" t="str">
        <f>IF(AND('Q32026'!B33&lt;&gt;"",'Q32026'!E33&lt;&gt;""),'Q32026'!E33,"")</f>
        <v/>
      </c>
      <c r="B192" t="str">
        <f>IF(AND('Q32026'!B33&lt;&gt;"",'Q32026'!E33&lt;&gt;""),'Q32026'!B33,"")</f>
        <v/>
      </c>
      <c r="C192" t="str">
        <f>IF(AND('Q32026'!B33&lt;&gt;"",'Q32026'!E33&lt;&gt;""),'Q32026'!C33,"")</f>
        <v/>
      </c>
      <c r="D192" t="str">
        <f>IF(AND('Q32026'!B33&lt;&gt;"",'Q32026'!E33&lt;&gt;""),'Q32026'!D33,"")</f>
        <v/>
      </c>
      <c r="E192" t="str">
        <f>IF(AND('Q32026'!B33&lt;&gt;"",'Q32026'!E33&lt;&gt;""),'Q32026'!H33,"")</f>
        <v/>
      </c>
      <c r="F192" t="str">
        <f>IF(AND('Q32026'!B33&lt;&gt;"",'Q32026'!E33&lt;&gt;""),'Q32026'!F33,"")</f>
        <v/>
      </c>
      <c r="G192" t="str">
        <f>IF(AND('Q32026'!B33&lt;&gt;"",'Q32026'!E33&lt;&gt;""),'Q32026'!G33,"")</f>
        <v/>
      </c>
      <c r="H192" t="str">
        <f>IF(AND('Q32026'!B33&lt;&gt;"",'Q32026'!E33&lt;&gt;""),"Q32026","")</f>
        <v/>
      </c>
      <c r="I192" t="str">
        <f>IF(A192="Q12026",COUNTIF($A$2:$A192,"Q12026"),"")</f>
        <v/>
      </c>
      <c r="J192" t="str">
        <f>IF(A192="Q22026",COUNTIF($A$2:$A192,"Q22026"),"")</f>
        <v/>
      </c>
      <c r="K192" t="str">
        <f>IF(A192="Q32026",COUNTIF($A$2:$A192,"Q32026"),"")</f>
        <v/>
      </c>
      <c r="L192" t="str">
        <f>IF(A192="Q42026",COUNTIF($A$2:$A192,"Q42026"),"")</f>
        <v/>
      </c>
      <c r="M192" t="str">
        <f>IF(A192="Backlog",COUNTIF($A$2:$A192,"Backlog"),"")</f>
        <v/>
      </c>
    </row>
    <row r="193" spans="1:13">
      <c r="A193" t="str">
        <f>IF(AND('Q32026'!B34&lt;&gt;"",'Q32026'!E34&lt;&gt;""),'Q32026'!E34,"")</f>
        <v/>
      </c>
      <c r="B193" t="str">
        <f>IF(AND('Q32026'!B34&lt;&gt;"",'Q32026'!E34&lt;&gt;""),'Q32026'!B34,"")</f>
        <v/>
      </c>
      <c r="C193" t="str">
        <f>IF(AND('Q32026'!B34&lt;&gt;"",'Q32026'!E34&lt;&gt;""),'Q32026'!C34,"")</f>
        <v/>
      </c>
      <c r="D193" t="str">
        <f>IF(AND('Q32026'!B34&lt;&gt;"",'Q32026'!E34&lt;&gt;""),'Q32026'!D34,"")</f>
        <v/>
      </c>
      <c r="E193" t="str">
        <f>IF(AND('Q32026'!B34&lt;&gt;"",'Q32026'!E34&lt;&gt;""),'Q32026'!H34,"")</f>
        <v/>
      </c>
      <c r="F193" t="str">
        <f>IF(AND('Q32026'!B34&lt;&gt;"",'Q32026'!E34&lt;&gt;""),'Q32026'!F34,"")</f>
        <v/>
      </c>
      <c r="G193" t="str">
        <f>IF(AND('Q32026'!B34&lt;&gt;"",'Q32026'!E34&lt;&gt;""),'Q32026'!G34,"")</f>
        <v/>
      </c>
      <c r="H193" t="str">
        <f>IF(AND('Q32026'!B34&lt;&gt;"",'Q32026'!E34&lt;&gt;""),"Q32026","")</f>
        <v/>
      </c>
      <c r="I193" t="str">
        <f>IF(A193="Q12026",COUNTIF($A$2:$A193,"Q12026"),"")</f>
        <v/>
      </c>
      <c r="J193" t="str">
        <f>IF(A193="Q22026",COUNTIF($A$2:$A193,"Q22026"),"")</f>
        <v/>
      </c>
      <c r="K193" t="str">
        <f>IF(A193="Q32026",COUNTIF($A$2:$A193,"Q32026"),"")</f>
        <v/>
      </c>
      <c r="L193" t="str">
        <f>IF(A193="Q42026",COUNTIF($A$2:$A193,"Q42026"),"")</f>
        <v/>
      </c>
      <c r="M193" t="str">
        <f>IF(A193="Backlog",COUNTIF($A$2:$A193,"Backlog"),"")</f>
        <v/>
      </c>
    </row>
    <row r="194" spans="1:13">
      <c r="A194" t="str">
        <f>IF(AND('Q32026'!B35&lt;&gt;"",'Q32026'!E35&lt;&gt;""),'Q32026'!E35,"")</f>
        <v/>
      </c>
      <c r="B194" t="str">
        <f>IF(AND('Q32026'!B35&lt;&gt;"",'Q32026'!E35&lt;&gt;""),'Q32026'!B35,"")</f>
        <v/>
      </c>
      <c r="C194" t="str">
        <f>IF(AND('Q32026'!B35&lt;&gt;"",'Q32026'!E35&lt;&gt;""),'Q32026'!C35,"")</f>
        <v/>
      </c>
      <c r="D194" t="str">
        <f>IF(AND('Q32026'!B35&lt;&gt;"",'Q32026'!E35&lt;&gt;""),'Q32026'!D35,"")</f>
        <v/>
      </c>
      <c r="E194" t="str">
        <f>IF(AND('Q32026'!B35&lt;&gt;"",'Q32026'!E35&lt;&gt;""),'Q32026'!H35,"")</f>
        <v/>
      </c>
      <c r="F194" t="str">
        <f>IF(AND('Q32026'!B35&lt;&gt;"",'Q32026'!E35&lt;&gt;""),'Q32026'!F35,"")</f>
        <v/>
      </c>
      <c r="G194" t="str">
        <f>IF(AND('Q32026'!B35&lt;&gt;"",'Q32026'!E35&lt;&gt;""),'Q32026'!G35,"")</f>
        <v/>
      </c>
      <c r="H194" t="str">
        <f>IF(AND('Q32026'!B35&lt;&gt;"",'Q32026'!E35&lt;&gt;""),"Q32026","")</f>
        <v/>
      </c>
      <c r="I194" t="str">
        <f>IF(A194="Q12026",COUNTIF($A$2:$A194,"Q12026"),"")</f>
        <v/>
      </c>
      <c r="J194" t="str">
        <f>IF(A194="Q22026",COUNTIF($A$2:$A194,"Q22026"),"")</f>
        <v/>
      </c>
      <c r="K194" t="str">
        <f>IF(A194="Q32026",COUNTIF($A$2:$A194,"Q32026"),"")</f>
        <v/>
      </c>
      <c r="L194" t="str">
        <f>IF(A194="Q42026",COUNTIF($A$2:$A194,"Q42026"),"")</f>
        <v/>
      </c>
      <c r="M194" t="str">
        <f>IF(A194="Backlog",COUNTIF($A$2:$A194,"Backlog"),"")</f>
        <v/>
      </c>
    </row>
    <row r="195" spans="1:13">
      <c r="A195" t="str">
        <f>IF(AND('Q32026'!B36&lt;&gt;"",'Q32026'!E36&lt;&gt;""),'Q32026'!E36,"")</f>
        <v/>
      </c>
      <c r="B195" t="str">
        <f>IF(AND('Q32026'!B36&lt;&gt;"",'Q32026'!E36&lt;&gt;""),'Q32026'!B36,"")</f>
        <v/>
      </c>
      <c r="C195" t="str">
        <f>IF(AND('Q32026'!B36&lt;&gt;"",'Q32026'!E36&lt;&gt;""),'Q32026'!C36,"")</f>
        <v/>
      </c>
      <c r="D195" t="str">
        <f>IF(AND('Q32026'!B36&lt;&gt;"",'Q32026'!E36&lt;&gt;""),'Q32026'!D36,"")</f>
        <v/>
      </c>
      <c r="E195" t="str">
        <f>IF(AND('Q32026'!B36&lt;&gt;"",'Q32026'!E36&lt;&gt;""),'Q32026'!H36,"")</f>
        <v/>
      </c>
      <c r="F195" t="str">
        <f>IF(AND('Q32026'!B36&lt;&gt;"",'Q32026'!E36&lt;&gt;""),'Q32026'!F36,"")</f>
        <v/>
      </c>
      <c r="G195" t="str">
        <f>IF(AND('Q32026'!B36&lt;&gt;"",'Q32026'!E36&lt;&gt;""),'Q32026'!G36,"")</f>
        <v/>
      </c>
      <c r="H195" t="str">
        <f>IF(AND('Q32026'!B36&lt;&gt;"",'Q32026'!E36&lt;&gt;""),"Q32026","")</f>
        <v/>
      </c>
      <c r="I195" t="str">
        <f>IF(A195="Q12026",COUNTIF($A$2:$A195,"Q12026"),"")</f>
        <v/>
      </c>
      <c r="J195" t="str">
        <f>IF(A195="Q22026",COUNTIF($A$2:$A195,"Q22026"),"")</f>
        <v/>
      </c>
      <c r="K195" t="str">
        <f>IF(A195="Q32026",COUNTIF($A$2:$A195,"Q32026"),"")</f>
        <v/>
      </c>
      <c r="L195" t="str">
        <f>IF(A195="Q42026",COUNTIF($A$2:$A195,"Q42026"),"")</f>
        <v/>
      </c>
      <c r="M195" t="str">
        <f>IF(A195="Backlog",COUNTIF($A$2:$A195,"Backlog"),"")</f>
        <v/>
      </c>
    </row>
    <row r="196" spans="1:13">
      <c r="A196" t="str">
        <f>IF(AND('Q32026'!B37&lt;&gt;"",'Q32026'!E37&lt;&gt;""),'Q32026'!E37,"")</f>
        <v/>
      </c>
      <c r="B196" t="str">
        <f>IF(AND('Q32026'!B37&lt;&gt;"",'Q32026'!E37&lt;&gt;""),'Q32026'!B37,"")</f>
        <v/>
      </c>
      <c r="C196" t="str">
        <f>IF(AND('Q32026'!B37&lt;&gt;"",'Q32026'!E37&lt;&gt;""),'Q32026'!C37,"")</f>
        <v/>
      </c>
      <c r="D196" t="str">
        <f>IF(AND('Q32026'!B37&lt;&gt;"",'Q32026'!E37&lt;&gt;""),'Q32026'!D37,"")</f>
        <v/>
      </c>
      <c r="E196" t="str">
        <f>IF(AND('Q32026'!B37&lt;&gt;"",'Q32026'!E37&lt;&gt;""),'Q32026'!H37,"")</f>
        <v/>
      </c>
      <c r="F196" t="str">
        <f>IF(AND('Q32026'!B37&lt;&gt;"",'Q32026'!E37&lt;&gt;""),'Q32026'!F37,"")</f>
        <v/>
      </c>
      <c r="G196" t="str">
        <f>IF(AND('Q32026'!B37&lt;&gt;"",'Q32026'!E37&lt;&gt;""),'Q32026'!G37,"")</f>
        <v/>
      </c>
      <c r="H196" t="str">
        <f>IF(AND('Q32026'!B37&lt;&gt;"",'Q32026'!E37&lt;&gt;""),"Q32026","")</f>
        <v/>
      </c>
      <c r="I196" t="str">
        <f>IF(A196="Q12026",COUNTIF($A$2:$A196,"Q12026"),"")</f>
        <v/>
      </c>
      <c r="J196" t="str">
        <f>IF(A196="Q22026",COUNTIF($A$2:$A196,"Q22026"),"")</f>
        <v/>
      </c>
      <c r="K196" t="str">
        <f>IF(A196="Q32026",COUNTIF($A$2:$A196,"Q32026"),"")</f>
        <v/>
      </c>
      <c r="L196" t="str">
        <f>IF(A196="Q42026",COUNTIF($A$2:$A196,"Q42026"),"")</f>
        <v/>
      </c>
      <c r="M196" t="str">
        <f>IF(A196="Backlog",COUNTIF($A$2:$A196,"Backlog"),"")</f>
        <v/>
      </c>
    </row>
    <row r="197" spans="1:13">
      <c r="A197" t="str">
        <f>IF(AND('Q32026'!B38&lt;&gt;"",'Q32026'!E38&lt;&gt;""),'Q32026'!E38,"")</f>
        <v/>
      </c>
      <c r="B197" t="str">
        <f>IF(AND('Q32026'!B38&lt;&gt;"",'Q32026'!E38&lt;&gt;""),'Q32026'!B38,"")</f>
        <v/>
      </c>
      <c r="C197" t="str">
        <f>IF(AND('Q32026'!B38&lt;&gt;"",'Q32026'!E38&lt;&gt;""),'Q32026'!C38,"")</f>
        <v/>
      </c>
      <c r="D197" t="str">
        <f>IF(AND('Q32026'!B38&lt;&gt;"",'Q32026'!E38&lt;&gt;""),'Q32026'!D38,"")</f>
        <v/>
      </c>
      <c r="E197" t="str">
        <f>IF(AND('Q32026'!B38&lt;&gt;"",'Q32026'!E38&lt;&gt;""),'Q32026'!H38,"")</f>
        <v/>
      </c>
      <c r="F197" t="str">
        <f>IF(AND('Q32026'!B38&lt;&gt;"",'Q32026'!E38&lt;&gt;""),'Q32026'!F38,"")</f>
        <v/>
      </c>
      <c r="G197" t="str">
        <f>IF(AND('Q32026'!B38&lt;&gt;"",'Q32026'!E38&lt;&gt;""),'Q32026'!G38,"")</f>
        <v/>
      </c>
      <c r="H197" t="str">
        <f>IF(AND('Q32026'!B38&lt;&gt;"",'Q32026'!E38&lt;&gt;""),"Q32026","")</f>
        <v/>
      </c>
      <c r="I197" t="str">
        <f>IF(A197="Q12026",COUNTIF($A$2:$A197,"Q12026"),"")</f>
        <v/>
      </c>
      <c r="J197" t="str">
        <f>IF(A197="Q22026",COUNTIF($A$2:$A197,"Q22026"),"")</f>
        <v/>
      </c>
      <c r="K197" t="str">
        <f>IF(A197="Q32026",COUNTIF($A$2:$A197,"Q32026"),"")</f>
        <v/>
      </c>
      <c r="L197" t="str">
        <f>IF(A197="Q42026",COUNTIF($A$2:$A197,"Q42026"),"")</f>
        <v/>
      </c>
      <c r="M197" t="str">
        <f>IF(A197="Backlog",COUNTIF($A$2:$A197,"Backlog"),"")</f>
        <v/>
      </c>
    </row>
    <row r="198" spans="1:13">
      <c r="A198" t="str">
        <f>IF(AND('Q32026'!B39&lt;&gt;"",'Q32026'!E39&lt;&gt;""),'Q32026'!E39,"")</f>
        <v/>
      </c>
      <c r="B198" t="str">
        <f>IF(AND('Q32026'!B39&lt;&gt;"",'Q32026'!E39&lt;&gt;""),'Q32026'!B39,"")</f>
        <v/>
      </c>
      <c r="C198" t="str">
        <f>IF(AND('Q32026'!B39&lt;&gt;"",'Q32026'!E39&lt;&gt;""),'Q32026'!C39,"")</f>
        <v/>
      </c>
      <c r="D198" t="str">
        <f>IF(AND('Q32026'!B39&lt;&gt;"",'Q32026'!E39&lt;&gt;""),'Q32026'!D39,"")</f>
        <v/>
      </c>
      <c r="E198" t="str">
        <f>IF(AND('Q32026'!B39&lt;&gt;"",'Q32026'!E39&lt;&gt;""),'Q32026'!H39,"")</f>
        <v/>
      </c>
      <c r="F198" t="str">
        <f>IF(AND('Q32026'!B39&lt;&gt;"",'Q32026'!E39&lt;&gt;""),'Q32026'!F39,"")</f>
        <v/>
      </c>
      <c r="G198" t="str">
        <f>IF(AND('Q32026'!B39&lt;&gt;"",'Q32026'!E39&lt;&gt;""),'Q32026'!G39,"")</f>
        <v/>
      </c>
      <c r="H198" t="str">
        <f>IF(AND('Q32026'!B39&lt;&gt;"",'Q32026'!E39&lt;&gt;""),"Q32026","")</f>
        <v/>
      </c>
      <c r="I198" t="str">
        <f>IF(A198="Q12026",COUNTIF($A$2:$A198,"Q12026"),"")</f>
        <v/>
      </c>
      <c r="J198" t="str">
        <f>IF(A198="Q22026",COUNTIF($A$2:$A198,"Q22026"),"")</f>
        <v/>
      </c>
      <c r="K198" t="str">
        <f>IF(A198="Q32026",COUNTIF($A$2:$A198,"Q32026"),"")</f>
        <v/>
      </c>
      <c r="L198" t="str">
        <f>IF(A198="Q42026",COUNTIF($A$2:$A198,"Q42026"),"")</f>
        <v/>
      </c>
      <c r="M198" t="str">
        <f>IF(A198="Backlog",COUNTIF($A$2:$A198,"Backlog"),"")</f>
        <v/>
      </c>
    </row>
    <row r="199" spans="1:13">
      <c r="A199" t="str">
        <f>IF(AND('Q32026'!B40&lt;&gt;"",'Q32026'!E40&lt;&gt;""),'Q32026'!E40,"")</f>
        <v/>
      </c>
      <c r="B199" t="str">
        <f>IF(AND('Q32026'!B40&lt;&gt;"",'Q32026'!E40&lt;&gt;""),'Q32026'!B40,"")</f>
        <v/>
      </c>
      <c r="C199" t="str">
        <f>IF(AND('Q32026'!B40&lt;&gt;"",'Q32026'!E40&lt;&gt;""),'Q32026'!C40,"")</f>
        <v/>
      </c>
      <c r="D199" t="str">
        <f>IF(AND('Q32026'!B40&lt;&gt;"",'Q32026'!E40&lt;&gt;""),'Q32026'!D40,"")</f>
        <v/>
      </c>
      <c r="E199" t="str">
        <f>IF(AND('Q32026'!B40&lt;&gt;"",'Q32026'!E40&lt;&gt;""),'Q32026'!H40,"")</f>
        <v/>
      </c>
      <c r="F199" t="str">
        <f>IF(AND('Q32026'!B40&lt;&gt;"",'Q32026'!E40&lt;&gt;""),'Q32026'!F40,"")</f>
        <v/>
      </c>
      <c r="G199" t="str">
        <f>IF(AND('Q32026'!B40&lt;&gt;"",'Q32026'!E40&lt;&gt;""),'Q32026'!G40,"")</f>
        <v/>
      </c>
      <c r="H199" t="str">
        <f>IF(AND('Q32026'!B40&lt;&gt;"",'Q32026'!E40&lt;&gt;""),"Q32026","")</f>
        <v/>
      </c>
      <c r="I199" t="str">
        <f>IF(A199="Q12026",COUNTIF($A$2:$A199,"Q12026"),"")</f>
        <v/>
      </c>
      <c r="J199" t="str">
        <f>IF(A199="Q22026",COUNTIF($A$2:$A199,"Q22026"),"")</f>
        <v/>
      </c>
      <c r="K199" t="str">
        <f>IF(A199="Q32026",COUNTIF($A$2:$A199,"Q32026"),"")</f>
        <v/>
      </c>
      <c r="L199" t="str">
        <f>IF(A199="Q42026",COUNTIF($A$2:$A199,"Q42026"),"")</f>
        <v/>
      </c>
      <c r="M199" t="str">
        <f>IF(A199="Backlog",COUNTIF($A$2:$A199,"Backlog"),"")</f>
        <v/>
      </c>
    </row>
    <row r="200" spans="1:13">
      <c r="A200" t="str">
        <f>IF(AND('Q32026'!B41&lt;&gt;"",'Q32026'!E41&lt;&gt;""),'Q32026'!E41,"")</f>
        <v/>
      </c>
      <c r="B200" t="str">
        <f>IF(AND('Q32026'!B41&lt;&gt;"",'Q32026'!E41&lt;&gt;""),'Q32026'!B41,"")</f>
        <v/>
      </c>
      <c r="C200" t="str">
        <f>IF(AND('Q32026'!B41&lt;&gt;"",'Q32026'!E41&lt;&gt;""),'Q32026'!C41,"")</f>
        <v/>
      </c>
      <c r="D200" t="str">
        <f>IF(AND('Q32026'!B41&lt;&gt;"",'Q32026'!E41&lt;&gt;""),'Q32026'!D41,"")</f>
        <v/>
      </c>
      <c r="E200" t="str">
        <f>IF(AND('Q32026'!B41&lt;&gt;"",'Q32026'!E41&lt;&gt;""),'Q32026'!H41,"")</f>
        <v/>
      </c>
      <c r="F200" t="str">
        <f>IF(AND('Q32026'!B41&lt;&gt;"",'Q32026'!E41&lt;&gt;""),'Q32026'!F41,"")</f>
        <v/>
      </c>
      <c r="G200" t="str">
        <f>IF(AND('Q32026'!B41&lt;&gt;"",'Q32026'!E41&lt;&gt;""),'Q32026'!G41,"")</f>
        <v/>
      </c>
      <c r="H200" t="str">
        <f>IF(AND('Q32026'!B41&lt;&gt;"",'Q32026'!E41&lt;&gt;""),"Q32026","")</f>
        <v/>
      </c>
      <c r="I200" t="str">
        <f>IF(A200="Q12026",COUNTIF($A$2:$A200,"Q12026"),"")</f>
        <v/>
      </c>
      <c r="J200" t="str">
        <f>IF(A200="Q22026",COUNTIF($A$2:$A200,"Q22026"),"")</f>
        <v/>
      </c>
      <c r="K200" t="str">
        <f>IF(A200="Q32026",COUNTIF($A$2:$A200,"Q32026"),"")</f>
        <v/>
      </c>
      <c r="L200" t="str">
        <f>IF(A200="Q42026",COUNTIF($A$2:$A200,"Q42026"),"")</f>
        <v/>
      </c>
      <c r="M200" t="str">
        <f>IF(A200="Backlog",COUNTIF($A$2:$A200,"Backlog"),"")</f>
        <v/>
      </c>
    </row>
    <row r="201" spans="1:13">
      <c r="A201" t="str">
        <f>IF(AND('Q32026'!B42&lt;&gt;"",'Q32026'!E42&lt;&gt;""),'Q32026'!E42,"")</f>
        <v/>
      </c>
      <c r="B201" t="str">
        <f>IF(AND('Q32026'!B42&lt;&gt;"",'Q32026'!E42&lt;&gt;""),'Q32026'!B42,"")</f>
        <v/>
      </c>
      <c r="C201" t="str">
        <f>IF(AND('Q32026'!B42&lt;&gt;"",'Q32026'!E42&lt;&gt;""),'Q32026'!C42,"")</f>
        <v/>
      </c>
      <c r="D201" t="str">
        <f>IF(AND('Q32026'!B42&lt;&gt;"",'Q32026'!E42&lt;&gt;""),'Q32026'!D42,"")</f>
        <v/>
      </c>
      <c r="E201" t="str">
        <f>IF(AND('Q32026'!B42&lt;&gt;"",'Q32026'!E42&lt;&gt;""),'Q32026'!H42,"")</f>
        <v/>
      </c>
      <c r="F201" t="str">
        <f>IF(AND('Q32026'!B42&lt;&gt;"",'Q32026'!E42&lt;&gt;""),'Q32026'!F42,"")</f>
        <v/>
      </c>
      <c r="G201" t="str">
        <f>IF(AND('Q32026'!B42&lt;&gt;"",'Q32026'!E42&lt;&gt;""),'Q32026'!G42,"")</f>
        <v/>
      </c>
      <c r="H201" t="str">
        <f>IF(AND('Q32026'!B42&lt;&gt;"",'Q32026'!E42&lt;&gt;""),"Q32026","")</f>
        <v/>
      </c>
      <c r="I201" t="str">
        <f>IF(A201="Q12026",COUNTIF($A$2:$A201,"Q12026"),"")</f>
        <v/>
      </c>
      <c r="J201" t="str">
        <f>IF(A201="Q22026",COUNTIF($A$2:$A201,"Q22026"),"")</f>
        <v/>
      </c>
      <c r="K201" t="str">
        <f>IF(A201="Q32026",COUNTIF($A$2:$A201,"Q32026"),"")</f>
        <v/>
      </c>
      <c r="L201" t="str">
        <f>IF(A201="Q42026",COUNTIF($A$2:$A201,"Q42026"),"")</f>
        <v/>
      </c>
      <c r="M201" t="str">
        <f>IF(A201="Backlog",COUNTIF($A$2:$A201,"Backlog"),"")</f>
        <v/>
      </c>
    </row>
    <row r="202" spans="1:13">
      <c r="A202" t="str">
        <f>IF(AND('Q32026'!B43&lt;&gt;"",'Q32026'!E43&lt;&gt;""),'Q32026'!E43,"")</f>
        <v/>
      </c>
      <c r="B202" t="str">
        <f>IF(AND('Q32026'!B43&lt;&gt;"",'Q32026'!E43&lt;&gt;""),'Q32026'!B43,"")</f>
        <v/>
      </c>
      <c r="C202" t="str">
        <f>IF(AND('Q32026'!B43&lt;&gt;"",'Q32026'!E43&lt;&gt;""),'Q32026'!C43,"")</f>
        <v/>
      </c>
      <c r="D202" t="str">
        <f>IF(AND('Q32026'!B43&lt;&gt;"",'Q32026'!E43&lt;&gt;""),'Q32026'!D43,"")</f>
        <v/>
      </c>
      <c r="E202" t="str">
        <f>IF(AND('Q32026'!B43&lt;&gt;"",'Q32026'!E43&lt;&gt;""),'Q32026'!H43,"")</f>
        <v/>
      </c>
      <c r="F202" t="str">
        <f>IF(AND('Q32026'!B43&lt;&gt;"",'Q32026'!E43&lt;&gt;""),'Q32026'!F43,"")</f>
        <v/>
      </c>
      <c r="G202" t="str">
        <f>IF(AND('Q32026'!B43&lt;&gt;"",'Q32026'!E43&lt;&gt;""),'Q32026'!G43,"")</f>
        <v/>
      </c>
      <c r="H202" t="str">
        <f>IF(AND('Q32026'!B43&lt;&gt;"",'Q32026'!E43&lt;&gt;""),"Q32026","")</f>
        <v/>
      </c>
      <c r="I202" t="str">
        <f>IF(A202="Q12026",COUNTIF($A$2:$A202,"Q12026"),"")</f>
        <v/>
      </c>
      <c r="J202" t="str">
        <f>IF(A202="Q22026",COUNTIF($A$2:$A202,"Q22026"),"")</f>
        <v/>
      </c>
      <c r="K202" t="str">
        <f>IF(A202="Q32026",COUNTIF($A$2:$A202,"Q32026"),"")</f>
        <v/>
      </c>
      <c r="L202" t="str">
        <f>IF(A202="Q42026",COUNTIF($A$2:$A202,"Q42026"),"")</f>
        <v/>
      </c>
      <c r="M202" t="str">
        <f>IF(A202="Backlog",COUNTIF($A$2:$A202,"Backlog"),"")</f>
        <v/>
      </c>
    </row>
    <row r="203" spans="1:13">
      <c r="A203" t="str">
        <f>IF(AND('Q32026'!B44&lt;&gt;"",'Q32026'!E44&lt;&gt;""),'Q32026'!E44,"")</f>
        <v/>
      </c>
      <c r="B203" t="str">
        <f>IF(AND('Q32026'!B44&lt;&gt;"",'Q32026'!E44&lt;&gt;""),'Q32026'!B44,"")</f>
        <v/>
      </c>
      <c r="C203" t="str">
        <f>IF(AND('Q32026'!B44&lt;&gt;"",'Q32026'!E44&lt;&gt;""),'Q32026'!C44,"")</f>
        <v/>
      </c>
      <c r="D203" t="str">
        <f>IF(AND('Q32026'!B44&lt;&gt;"",'Q32026'!E44&lt;&gt;""),'Q32026'!D44,"")</f>
        <v/>
      </c>
      <c r="E203" t="str">
        <f>IF(AND('Q32026'!B44&lt;&gt;"",'Q32026'!E44&lt;&gt;""),'Q32026'!H44,"")</f>
        <v/>
      </c>
      <c r="F203" t="str">
        <f>IF(AND('Q32026'!B44&lt;&gt;"",'Q32026'!E44&lt;&gt;""),'Q32026'!F44,"")</f>
        <v/>
      </c>
      <c r="G203" t="str">
        <f>IF(AND('Q32026'!B44&lt;&gt;"",'Q32026'!E44&lt;&gt;""),'Q32026'!G44,"")</f>
        <v/>
      </c>
      <c r="H203" t="str">
        <f>IF(AND('Q32026'!B44&lt;&gt;"",'Q32026'!E44&lt;&gt;""),"Q32026","")</f>
        <v/>
      </c>
      <c r="I203" t="str">
        <f>IF(A203="Q12026",COUNTIF($A$2:$A203,"Q12026"),"")</f>
        <v/>
      </c>
      <c r="J203" t="str">
        <f>IF(A203="Q22026",COUNTIF($A$2:$A203,"Q22026"),"")</f>
        <v/>
      </c>
      <c r="K203" t="str">
        <f>IF(A203="Q32026",COUNTIF($A$2:$A203,"Q32026"),"")</f>
        <v/>
      </c>
      <c r="L203" t="str">
        <f>IF(A203="Q42026",COUNTIF($A$2:$A203,"Q42026"),"")</f>
        <v/>
      </c>
      <c r="M203" t="str">
        <f>IF(A203="Backlog",COUNTIF($A$2:$A203,"Backlog"),"")</f>
        <v/>
      </c>
    </row>
    <row r="204" spans="1:13">
      <c r="A204" t="str">
        <f>IF(AND('Q32026'!B45&lt;&gt;"",'Q32026'!E45&lt;&gt;""),'Q32026'!E45,"")</f>
        <v/>
      </c>
      <c r="B204" t="str">
        <f>IF(AND('Q32026'!B45&lt;&gt;"",'Q32026'!E45&lt;&gt;""),'Q32026'!B45,"")</f>
        <v/>
      </c>
      <c r="C204" t="str">
        <f>IF(AND('Q32026'!B45&lt;&gt;"",'Q32026'!E45&lt;&gt;""),'Q32026'!C45,"")</f>
        <v/>
      </c>
      <c r="D204" t="str">
        <f>IF(AND('Q32026'!B45&lt;&gt;"",'Q32026'!E45&lt;&gt;""),'Q32026'!D45,"")</f>
        <v/>
      </c>
      <c r="E204" t="str">
        <f>IF(AND('Q32026'!B45&lt;&gt;"",'Q32026'!E45&lt;&gt;""),'Q32026'!H45,"")</f>
        <v/>
      </c>
      <c r="F204" t="str">
        <f>IF(AND('Q32026'!B45&lt;&gt;"",'Q32026'!E45&lt;&gt;""),'Q32026'!F45,"")</f>
        <v/>
      </c>
      <c r="G204" t="str">
        <f>IF(AND('Q32026'!B45&lt;&gt;"",'Q32026'!E45&lt;&gt;""),'Q32026'!G45,"")</f>
        <v/>
      </c>
      <c r="H204" t="str">
        <f>IF(AND('Q32026'!B45&lt;&gt;"",'Q32026'!E45&lt;&gt;""),"Q32026","")</f>
        <v/>
      </c>
      <c r="I204" t="str">
        <f>IF(A204="Q12026",COUNTIF($A$2:$A204,"Q12026"),"")</f>
        <v/>
      </c>
      <c r="J204" t="str">
        <f>IF(A204="Q22026",COUNTIF($A$2:$A204,"Q22026"),"")</f>
        <v/>
      </c>
      <c r="K204" t="str">
        <f>IF(A204="Q32026",COUNTIF($A$2:$A204,"Q32026"),"")</f>
        <v/>
      </c>
      <c r="L204" t="str">
        <f>IF(A204="Q42026",COUNTIF($A$2:$A204,"Q42026"),"")</f>
        <v/>
      </c>
      <c r="M204" t="str">
        <f>IF(A204="Backlog",COUNTIF($A$2:$A204,"Backlog"),"")</f>
        <v/>
      </c>
    </row>
    <row r="205" spans="1:13">
      <c r="A205" t="str">
        <f>IF(AND('Q32026'!B46&lt;&gt;"",'Q32026'!E46&lt;&gt;""),'Q32026'!E46,"")</f>
        <v/>
      </c>
      <c r="B205" t="str">
        <f>IF(AND('Q32026'!B46&lt;&gt;"",'Q32026'!E46&lt;&gt;""),'Q32026'!B46,"")</f>
        <v/>
      </c>
      <c r="C205" t="str">
        <f>IF(AND('Q32026'!B46&lt;&gt;"",'Q32026'!E46&lt;&gt;""),'Q32026'!C46,"")</f>
        <v/>
      </c>
      <c r="D205" t="str">
        <f>IF(AND('Q32026'!B46&lt;&gt;"",'Q32026'!E46&lt;&gt;""),'Q32026'!D46,"")</f>
        <v/>
      </c>
      <c r="E205" t="str">
        <f>IF(AND('Q32026'!B46&lt;&gt;"",'Q32026'!E46&lt;&gt;""),'Q32026'!H46,"")</f>
        <v/>
      </c>
      <c r="F205" t="str">
        <f>IF(AND('Q32026'!B46&lt;&gt;"",'Q32026'!E46&lt;&gt;""),'Q32026'!F46,"")</f>
        <v/>
      </c>
      <c r="G205" t="str">
        <f>IF(AND('Q32026'!B46&lt;&gt;"",'Q32026'!E46&lt;&gt;""),'Q32026'!G46,"")</f>
        <v/>
      </c>
      <c r="H205" t="str">
        <f>IF(AND('Q32026'!B46&lt;&gt;"",'Q32026'!E46&lt;&gt;""),"Q32026","")</f>
        <v/>
      </c>
      <c r="I205" t="str">
        <f>IF(A205="Q12026",COUNTIF($A$2:$A205,"Q12026"),"")</f>
        <v/>
      </c>
      <c r="J205" t="str">
        <f>IF(A205="Q22026",COUNTIF($A$2:$A205,"Q22026"),"")</f>
        <v/>
      </c>
      <c r="K205" t="str">
        <f>IF(A205="Q32026",COUNTIF($A$2:$A205,"Q32026"),"")</f>
        <v/>
      </c>
      <c r="L205" t="str">
        <f>IF(A205="Q42026",COUNTIF($A$2:$A205,"Q42026"),"")</f>
        <v/>
      </c>
      <c r="M205" t="str">
        <f>IF(A205="Backlog",COUNTIF($A$2:$A205,"Backlog"),"")</f>
        <v/>
      </c>
    </row>
    <row r="206" spans="1:13">
      <c r="A206" t="str">
        <f>IF(AND('Q32026'!B47&lt;&gt;"",'Q32026'!E47&lt;&gt;""),'Q32026'!E47,"")</f>
        <v/>
      </c>
      <c r="B206" t="str">
        <f>IF(AND('Q32026'!B47&lt;&gt;"",'Q32026'!E47&lt;&gt;""),'Q32026'!B47,"")</f>
        <v/>
      </c>
      <c r="C206" t="str">
        <f>IF(AND('Q32026'!B47&lt;&gt;"",'Q32026'!E47&lt;&gt;""),'Q32026'!C47,"")</f>
        <v/>
      </c>
      <c r="D206" t="str">
        <f>IF(AND('Q32026'!B47&lt;&gt;"",'Q32026'!E47&lt;&gt;""),'Q32026'!D47,"")</f>
        <v/>
      </c>
      <c r="E206" t="str">
        <f>IF(AND('Q32026'!B47&lt;&gt;"",'Q32026'!E47&lt;&gt;""),'Q32026'!H47,"")</f>
        <v/>
      </c>
      <c r="F206" t="str">
        <f>IF(AND('Q32026'!B47&lt;&gt;"",'Q32026'!E47&lt;&gt;""),'Q32026'!F47,"")</f>
        <v/>
      </c>
      <c r="G206" t="str">
        <f>IF(AND('Q32026'!B47&lt;&gt;"",'Q32026'!E47&lt;&gt;""),'Q32026'!G47,"")</f>
        <v/>
      </c>
      <c r="H206" t="str">
        <f>IF(AND('Q32026'!B47&lt;&gt;"",'Q32026'!E47&lt;&gt;""),"Q32026","")</f>
        <v/>
      </c>
      <c r="I206" t="str">
        <f>IF(A206="Q12026",COUNTIF($A$2:$A206,"Q12026"),"")</f>
        <v/>
      </c>
      <c r="J206" t="str">
        <f>IF(A206="Q22026",COUNTIF($A$2:$A206,"Q22026"),"")</f>
        <v/>
      </c>
      <c r="K206" t="str">
        <f>IF(A206="Q32026",COUNTIF($A$2:$A206,"Q32026"),"")</f>
        <v/>
      </c>
      <c r="L206" t="str">
        <f>IF(A206="Q42026",COUNTIF($A$2:$A206,"Q42026"),"")</f>
        <v/>
      </c>
      <c r="M206" t="str">
        <f>IF(A206="Backlog",COUNTIF($A$2:$A206,"Backlog"),"")</f>
        <v/>
      </c>
    </row>
    <row r="207" spans="1:13">
      <c r="A207" t="str">
        <f>IF(AND('Q32026'!B48&lt;&gt;"",'Q32026'!E48&lt;&gt;""),'Q32026'!E48,"")</f>
        <v/>
      </c>
      <c r="B207" t="str">
        <f>IF(AND('Q32026'!B48&lt;&gt;"",'Q32026'!E48&lt;&gt;""),'Q32026'!B48,"")</f>
        <v/>
      </c>
      <c r="C207" t="str">
        <f>IF(AND('Q32026'!B48&lt;&gt;"",'Q32026'!E48&lt;&gt;""),'Q32026'!C48,"")</f>
        <v/>
      </c>
      <c r="D207" t="str">
        <f>IF(AND('Q32026'!B48&lt;&gt;"",'Q32026'!E48&lt;&gt;""),'Q32026'!D48,"")</f>
        <v/>
      </c>
      <c r="E207" t="str">
        <f>IF(AND('Q32026'!B48&lt;&gt;"",'Q32026'!E48&lt;&gt;""),'Q32026'!H48,"")</f>
        <v/>
      </c>
      <c r="F207" t="str">
        <f>IF(AND('Q32026'!B48&lt;&gt;"",'Q32026'!E48&lt;&gt;""),'Q32026'!F48,"")</f>
        <v/>
      </c>
      <c r="G207" t="str">
        <f>IF(AND('Q32026'!B48&lt;&gt;"",'Q32026'!E48&lt;&gt;""),'Q32026'!G48,"")</f>
        <v/>
      </c>
      <c r="H207" t="str">
        <f>IF(AND('Q32026'!B48&lt;&gt;"",'Q32026'!E48&lt;&gt;""),"Q32026","")</f>
        <v/>
      </c>
      <c r="I207" t="str">
        <f>IF(A207="Q12026",COUNTIF($A$2:$A207,"Q12026"),"")</f>
        <v/>
      </c>
      <c r="J207" t="str">
        <f>IF(A207="Q22026",COUNTIF($A$2:$A207,"Q22026"),"")</f>
        <v/>
      </c>
      <c r="K207" t="str">
        <f>IF(A207="Q32026",COUNTIF($A$2:$A207,"Q32026"),"")</f>
        <v/>
      </c>
      <c r="L207" t="str">
        <f>IF(A207="Q42026",COUNTIF($A$2:$A207,"Q42026"),"")</f>
        <v/>
      </c>
      <c r="M207" t="str">
        <f>IF(A207="Backlog",COUNTIF($A$2:$A207,"Backlog"),"")</f>
        <v/>
      </c>
    </row>
    <row r="208" spans="1:13">
      <c r="A208" t="str">
        <f>IF(AND('Q32026'!B49&lt;&gt;"",'Q32026'!E49&lt;&gt;""),'Q32026'!E49,"")</f>
        <v/>
      </c>
      <c r="B208" t="str">
        <f>IF(AND('Q32026'!B49&lt;&gt;"",'Q32026'!E49&lt;&gt;""),'Q32026'!B49,"")</f>
        <v/>
      </c>
      <c r="C208" t="str">
        <f>IF(AND('Q32026'!B49&lt;&gt;"",'Q32026'!E49&lt;&gt;""),'Q32026'!C49,"")</f>
        <v/>
      </c>
      <c r="D208" t="str">
        <f>IF(AND('Q32026'!B49&lt;&gt;"",'Q32026'!E49&lt;&gt;""),'Q32026'!D49,"")</f>
        <v/>
      </c>
      <c r="E208" t="str">
        <f>IF(AND('Q32026'!B49&lt;&gt;"",'Q32026'!E49&lt;&gt;""),'Q32026'!H49,"")</f>
        <v/>
      </c>
      <c r="F208" t="str">
        <f>IF(AND('Q32026'!B49&lt;&gt;"",'Q32026'!E49&lt;&gt;""),'Q32026'!F49,"")</f>
        <v/>
      </c>
      <c r="G208" t="str">
        <f>IF(AND('Q32026'!B49&lt;&gt;"",'Q32026'!E49&lt;&gt;""),'Q32026'!G49,"")</f>
        <v/>
      </c>
      <c r="H208" t="str">
        <f>IF(AND('Q32026'!B49&lt;&gt;"",'Q32026'!E49&lt;&gt;""),"Q32026","")</f>
        <v/>
      </c>
      <c r="I208" t="str">
        <f>IF(A208="Q12026",COUNTIF($A$2:$A208,"Q12026"),"")</f>
        <v/>
      </c>
      <c r="J208" t="str">
        <f>IF(A208="Q22026",COUNTIF($A$2:$A208,"Q22026"),"")</f>
        <v/>
      </c>
      <c r="K208" t="str">
        <f>IF(A208="Q32026",COUNTIF($A$2:$A208,"Q32026"),"")</f>
        <v/>
      </c>
      <c r="L208" t="str">
        <f>IF(A208="Q42026",COUNTIF($A$2:$A208,"Q42026"),"")</f>
        <v/>
      </c>
      <c r="M208" t="str">
        <f>IF(A208="Backlog",COUNTIF($A$2:$A208,"Backlog"),"")</f>
        <v/>
      </c>
    </row>
    <row r="209" spans="1:13">
      <c r="A209" t="str">
        <f>IF(AND('Q32026'!B50&lt;&gt;"",'Q32026'!E50&lt;&gt;""),'Q32026'!E50,"")</f>
        <v/>
      </c>
      <c r="B209" t="str">
        <f>IF(AND('Q32026'!B50&lt;&gt;"",'Q32026'!E50&lt;&gt;""),'Q32026'!B50,"")</f>
        <v/>
      </c>
      <c r="C209" t="str">
        <f>IF(AND('Q32026'!B50&lt;&gt;"",'Q32026'!E50&lt;&gt;""),'Q32026'!C50,"")</f>
        <v/>
      </c>
      <c r="D209" t="str">
        <f>IF(AND('Q32026'!B50&lt;&gt;"",'Q32026'!E50&lt;&gt;""),'Q32026'!D50,"")</f>
        <v/>
      </c>
      <c r="E209" t="str">
        <f>IF(AND('Q32026'!B50&lt;&gt;"",'Q32026'!E50&lt;&gt;""),'Q32026'!H50,"")</f>
        <v/>
      </c>
      <c r="F209" t="str">
        <f>IF(AND('Q32026'!B50&lt;&gt;"",'Q32026'!E50&lt;&gt;""),'Q32026'!F50,"")</f>
        <v/>
      </c>
      <c r="G209" t="str">
        <f>IF(AND('Q32026'!B50&lt;&gt;"",'Q32026'!E50&lt;&gt;""),'Q32026'!G50,"")</f>
        <v/>
      </c>
      <c r="H209" t="str">
        <f>IF(AND('Q32026'!B50&lt;&gt;"",'Q32026'!E50&lt;&gt;""),"Q32026","")</f>
        <v/>
      </c>
      <c r="I209" t="str">
        <f>IF(A209="Q12026",COUNTIF($A$2:$A209,"Q12026"),"")</f>
        <v/>
      </c>
      <c r="J209" t="str">
        <f>IF(A209="Q22026",COUNTIF($A$2:$A209,"Q22026"),"")</f>
        <v/>
      </c>
      <c r="K209" t="str">
        <f>IF(A209="Q32026",COUNTIF($A$2:$A209,"Q32026"),"")</f>
        <v/>
      </c>
      <c r="L209" t="str">
        <f>IF(A209="Q42026",COUNTIF($A$2:$A209,"Q42026"),"")</f>
        <v/>
      </c>
      <c r="M209" t="str">
        <f>IF(A209="Backlog",COUNTIF($A$2:$A209,"Backlog"),"")</f>
        <v/>
      </c>
    </row>
    <row r="210" spans="1:13">
      <c r="A210" t="str">
        <f>IF(AND('Q32026'!B51&lt;&gt;"",'Q32026'!E51&lt;&gt;""),'Q32026'!E51,"")</f>
        <v/>
      </c>
      <c r="B210" t="str">
        <f>IF(AND('Q32026'!B51&lt;&gt;"",'Q32026'!E51&lt;&gt;""),'Q32026'!B51,"")</f>
        <v/>
      </c>
      <c r="C210" t="str">
        <f>IF(AND('Q32026'!B51&lt;&gt;"",'Q32026'!E51&lt;&gt;""),'Q32026'!C51,"")</f>
        <v/>
      </c>
      <c r="D210" t="str">
        <f>IF(AND('Q32026'!B51&lt;&gt;"",'Q32026'!E51&lt;&gt;""),'Q32026'!D51,"")</f>
        <v/>
      </c>
      <c r="E210" t="str">
        <f>IF(AND('Q32026'!B51&lt;&gt;"",'Q32026'!E51&lt;&gt;""),'Q32026'!H51,"")</f>
        <v/>
      </c>
      <c r="F210" t="str">
        <f>IF(AND('Q32026'!B51&lt;&gt;"",'Q32026'!E51&lt;&gt;""),'Q32026'!F51,"")</f>
        <v/>
      </c>
      <c r="G210" t="str">
        <f>IF(AND('Q32026'!B51&lt;&gt;"",'Q32026'!E51&lt;&gt;""),'Q32026'!G51,"")</f>
        <v/>
      </c>
      <c r="H210" t="str">
        <f>IF(AND('Q32026'!B51&lt;&gt;"",'Q32026'!E51&lt;&gt;""),"Q32026","")</f>
        <v/>
      </c>
      <c r="I210" t="str">
        <f>IF(A210="Q12026",COUNTIF($A$2:$A210,"Q12026"),"")</f>
        <v/>
      </c>
      <c r="J210" t="str">
        <f>IF(A210="Q22026",COUNTIF($A$2:$A210,"Q22026"),"")</f>
        <v/>
      </c>
      <c r="K210" t="str">
        <f>IF(A210="Q32026",COUNTIF($A$2:$A210,"Q32026"),"")</f>
        <v/>
      </c>
      <c r="L210" t="str">
        <f>IF(A210="Q42026",COUNTIF($A$2:$A210,"Q42026"),"")</f>
        <v/>
      </c>
      <c r="M210" t="str">
        <f>IF(A210="Backlog",COUNTIF($A$2:$A210,"Backlog"),"")</f>
        <v/>
      </c>
    </row>
    <row r="211" spans="1:13">
      <c r="A211" t="str">
        <f>IF(AND('Q32026'!B52&lt;&gt;"",'Q32026'!E52&lt;&gt;""),'Q32026'!E52,"")</f>
        <v/>
      </c>
      <c r="B211" t="str">
        <f>IF(AND('Q32026'!B52&lt;&gt;"",'Q32026'!E52&lt;&gt;""),'Q32026'!B52,"")</f>
        <v/>
      </c>
      <c r="C211" t="str">
        <f>IF(AND('Q32026'!B52&lt;&gt;"",'Q32026'!E52&lt;&gt;""),'Q32026'!C52,"")</f>
        <v/>
      </c>
      <c r="D211" t="str">
        <f>IF(AND('Q32026'!B52&lt;&gt;"",'Q32026'!E52&lt;&gt;""),'Q32026'!D52,"")</f>
        <v/>
      </c>
      <c r="E211" t="str">
        <f>IF(AND('Q32026'!B52&lt;&gt;"",'Q32026'!E52&lt;&gt;""),'Q32026'!H52,"")</f>
        <v/>
      </c>
      <c r="F211" t="str">
        <f>IF(AND('Q32026'!B52&lt;&gt;"",'Q32026'!E52&lt;&gt;""),'Q32026'!F52,"")</f>
        <v/>
      </c>
      <c r="G211" t="str">
        <f>IF(AND('Q32026'!B52&lt;&gt;"",'Q32026'!E52&lt;&gt;""),'Q32026'!G52,"")</f>
        <v/>
      </c>
      <c r="H211" t="str">
        <f>IF(AND('Q32026'!B52&lt;&gt;"",'Q32026'!E52&lt;&gt;""),"Q32026","")</f>
        <v/>
      </c>
      <c r="I211" t="str">
        <f>IF(A211="Q12026",COUNTIF($A$2:$A211,"Q12026"),"")</f>
        <v/>
      </c>
      <c r="J211" t="str">
        <f>IF(A211="Q22026",COUNTIF($A$2:$A211,"Q22026"),"")</f>
        <v/>
      </c>
      <c r="K211" t="str">
        <f>IF(A211="Q32026",COUNTIF($A$2:$A211,"Q32026"),"")</f>
        <v/>
      </c>
      <c r="L211" t="str">
        <f>IF(A211="Q42026",COUNTIF($A$2:$A211,"Q42026"),"")</f>
        <v/>
      </c>
      <c r="M211" t="str">
        <f>IF(A211="Backlog",COUNTIF($A$2:$A211,"Backlog"),"")</f>
        <v/>
      </c>
    </row>
    <row r="212" spans="1:13">
      <c r="A212" t="str">
        <f>IF(AND('Q32026'!B53&lt;&gt;"",'Q32026'!E53&lt;&gt;""),'Q32026'!E53,"")</f>
        <v/>
      </c>
      <c r="B212" t="str">
        <f>IF(AND('Q32026'!B53&lt;&gt;"",'Q32026'!E53&lt;&gt;""),'Q32026'!B53,"")</f>
        <v/>
      </c>
      <c r="C212" t="str">
        <f>IF(AND('Q32026'!B53&lt;&gt;"",'Q32026'!E53&lt;&gt;""),'Q32026'!C53,"")</f>
        <v/>
      </c>
      <c r="D212" t="str">
        <f>IF(AND('Q32026'!B53&lt;&gt;"",'Q32026'!E53&lt;&gt;""),'Q32026'!D53,"")</f>
        <v/>
      </c>
      <c r="E212" t="str">
        <f>IF(AND('Q32026'!B53&lt;&gt;"",'Q32026'!E53&lt;&gt;""),'Q32026'!H53,"")</f>
        <v/>
      </c>
      <c r="F212" t="str">
        <f>IF(AND('Q32026'!B53&lt;&gt;"",'Q32026'!E53&lt;&gt;""),'Q32026'!F53,"")</f>
        <v/>
      </c>
      <c r="G212" t="str">
        <f>IF(AND('Q32026'!B53&lt;&gt;"",'Q32026'!E53&lt;&gt;""),'Q32026'!G53,"")</f>
        <v/>
      </c>
      <c r="H212" t="str">
        <f>IF(AND('Q32026'!B53&lt;&gt;"",'Q32026'!E53&lt;&gt;""),"Q32026","")</f>
        <v/>
      </c>
      <c r="I212" t="str">
        <f>IF(A212="Q12026",COUNTIF($A$2:$A212,"Q12026"),"")</f>
        <v/>
      </c>
      <c r="J212" t="str">
        <f>IF(A212="Q22026",COUNTIF($A$2:$A212,"Q22026"),"")</f>
        <v/>
      </c>
      <c r="K212" t="str">
        <f>IF(A212="Q32026",COUNTIF($A$2:$A212,"Q32026"),"")</f>
        <v/>
      </c>
      <c r="L212" t="str">
        <f>IF(A212="Q42026",COUNTIF($A$2:$A212,"Q42026"),"")</f>
        <v/>
      </c>
      <c r="M212" t="str">
        <f>IF(A212="Backlog",COUNTIF($A$2:$A212,"Backlog"),"")</f>
        <v/>
      </c>
    </row>
    <row r="213" spans="1:13">
      <c r="A213" t="str">
        <f>IF(AND('Q32026'!B54&lt;&gt;"",'Q32026'!E54&lt;&gt;""),'Q32026'!E54,"")</f>
        <v/>
      </c>
      <c r="B213" t="str">
        <f>IF(AND('Q32026'!B54&lt;&gt;"",'Q32026'!E54&lt;&gt;""),'Q32026'!B54,"")</f>
        <v/>
      </c>
      <c r="C213" t="str">
        <f>IF(AND('Q32026'!B54&lt;&gt;"",'Q32026'!E54&lt;&gt;""),'Q32026'!C54,"")</f>
        <v/>
      </c>
      <c r="D213" t="str">
        <f>IF(AND('Q32026'!B54&lt;&gt;"",'Q32026'!E54&lt;&gt;""),'Q32026'!D54,"")</f>
        <v/>
      </c>
      <c r="E213" t="str">
        <f>IF(AND('Q32026'!B54&lt;&gt;"",'Q32026'!E54&lt;&gt;""),'Q32026'!H54,"")</f>
        <v/>
      </c>
      <c r="F213" t="str">
        <f>IF(AND('Q32026'!B54&lt;&gt;"",'Q32026'!E54&lt;&gt;""),'Q32026'!F54,"")</f>
        <v/>
      </c>
      <c r="G213" t="str">
        <f>IF(AND('Q32026'!B54&lt;&gt;"",'Q32026'!E54&lt;&gt;""),'Q32026'!G54,"")</f>
        <v/>
      </c>
      <c r="H213" t="str">
        <f>IF(AND('Q32026'!B54&lt;&gt;"",'Q32026'!E54&lt;&gt;""),"Q32026","")</f>
        <v/>
      </c>
      <c r="I213" t="str">
        <f>IF(A213="Q12026",COUNTIF($A$2:$A213,"Q12026"),"")</f>
        <v/>
      </c>
      <c r="J213" t="str">
        <f>IF(A213="Q22026",COUNTIF($A$2:$A213,"Q22026"),"")</f>
        <v/>
      </c>
      <c r="K213" t="str">
        <f>IF(A213="Q32026",COUNTIF($A$2:$A213,"Q32026"),"")</f>
        <v/>
      </c>
      <c r="L213" t="str">
        <f>IF(A213="Q42026",COUNTIF($A$2:$A213,"Q42026"),"")</f>
        <v/>
      </c>
      <c r="M213" t="str">
        <f>IF(A213="Backlog",COUNTIF($A$2:$A213,"Backlog"),"")</f>
        <v/>
      </c>
    </row>
    <row r="214" spans="1:13">
      <c r="A214" t="str">
        <f>IF(AND('Q32026'!B55&lt;&gt;"",'Q32026'!E55&lt;&gt;""),'Q32026'!E55,"")</f>
        <v/>
      </c>
      <c r="B214" t="str">
        <f>IF(AND('Q32026'!B55&lt;&gt;"",'Q32026'!E55&lt;&gt;""),'Q32026'!B55,"")</f>
        <v/>
      </c>
      <c r="C214" t="str">
        <f>IF(AND('Q32026'!B55&lt;&gt;"",'Q32026'!E55&lt;&gt;""),'Q32026'!C55,"")</f>
        <v/>
      </c>
      <c r="D214" t="str">
        <f>IF(AND('Q32026'!B55&lt;&gt;"",'Q32026'!E55&lt;&gt;""),'Q32026'!D55,"")</f>
        <v/>
      </c>
      <c r="E214" t="str">
        <f>IF(AND('Q32026'!B55&lt;&gt;"",'Q32026'!E55&lt;&gt;""),'Q32026'!H55,"")</f>
        <v/>
      </c>
      <c r="F214" t="str">
        <f>IF(AND('Q32026'!B55&lt;&gt;"",'Q32026'!E55&lt;&gt;""),'Q32026'!F55,"")</f>
        <v/>
      </c>
      <c r="G214" t="str">
        <f>IF(AND('Q32026'!B55&lt;&gt;"",'Q32026'!E55&lt;&gt;""),'Q32026'!G55,"")</f>
        <v/>
      </c>
      <c r="H214" t="str">
        <f>IF(AND('Q32026'!B55&lt;&gt;"",'Q32026'!E55&lt;&gt;""),"Q32026","")</f>
        <v/>
      </c>
      <c r="I214" t="str">
        <f>IF(A214="Q12026",COUNTIF($A$2:$A214,"Q12026"),"")</f>
        <v/>
      </c>
      <c r="J214" t="str">
        <f>IF(A214="Q22026",COUNTIF($A$2:$A214,"Q22026"),"")</f>
        <v/>
      </c>
      <c r="K214" t="str">
        <f>IF(A214="Q32026",COUNTIF($A$2:$A214,"Q32026"),"")</f>
        <v/>
      </c>
      <c r="L214" t="str">
        <f>IF(A214="Q42026",COUNTIF($A$2:$A214,"Q42026"),"")</f>
        <v/>
      </c>
      <c r="M214" t="str">
        <f>IF(A214="Backlog",COUNTIF($A$2:$A214,"Backlog"),"")</f>
        <v/>
      </c>
    </row>
    <row r="215" spans="1:13">
      <c r="A215" t="str">
        <f>IF(AND('Q32026'!B56&lt;&gt;"",'Q32026'!E56&lt;&gt;""),'Q32026'!E56,"")</f>
        <v/>
      </c>
      <c r="B215" t="str">
        <f>IF(AND('Q32026'!B56&lt;&gt;"",'Q32026'!E56&lt;&gt;""),'Q32026'!B56,"")</f>
        <v/>
      </c>
      <c r="C215" t="str">
        <f>IF(AND('Q32026'!B56&lt;&gt;"",'Q32026'!E56&lt;&gt;""),'Q32026'!C56,"")</f>
        <v/>
      </c>
      <c r="D215" t="str">
        <f>IF(AND('Q32026'!B56&lt;&gt;"",'Q32026'!E56&lt;&gt;""),'Q32026'!D56,"")</f>
        <v/>
      </c>
      <c r="E215" t="str">
        <f>IF(AND('Q32026'!B56&lt;&gt;"",'Q32026'!E56&lt;&gt;""),'Q32026'!H56,"")</f>
        <v/>
      </c>
      <c r="F215" t="str">
        <f>IF(AND('Q32026'!B56&lt;&gt;"",'Q32026'!E56&lt;&gt;""),'Q32026'!F56,"")</f>
        <v/>
      </c>
      <c r="G215" t="str">
        <f>IF(AND('Q32026'!B56&lt;&gt;"",'Q32026'!E56&lt;&gt;""),'Q32026'!G56,"")</f>
        <v/>
      </c>
      <c r="H215" t="str">
        <f>IF(AND('Q32026'!B56&lt;&gt;"",'Q32026'!E56&lt;&gt;""),"Q32026","")</f>
        <v/>
      </c>
      <c r="I215" t="str">
        <f>IF(A215="Q12026",COUNTIF($A$2:$A215,"Q12026"),"")</f>
        <v/>
      </c>
      <c r="J215" t="str">
        <f>IF(A215="Q22026",COUNTIF($A$2:$A215,"Q22026"),"")</f>
        <v/>
      </c>
      <c r="K215" t="str">
        <f>IF(A215="Q32026",COUNTIF($A$2:$A215,"Q32026"),"")</f>
        <v/>
      </c>
      <c r="L215" t="str">
        <f>IF(A215="Q42026",COUNTIF($A$2:$A215,"Q42026"),"")</f>
        <v/>
      </c>
      <c r="M215" t="str">
        <f>IF(A215="Backlog",COUNTIF($A$2:$A215,"Backlog"),"")</f>
        <v/>
      </c>
    </row>
    <row r="216" spans="1:13">
      <c r="A216" t="str">
        <f>IF(AND('Q32026'!B57&lt;&gt;"",'Q32026'!E57&lt;&gt;""),'Q32026'!E57,"")</f>
        <v/>
      </c>
      <c r="B216" t="str">
        <f>IF(AND('Q32026'!B57&lt;&gt;"",'Q32026'!E57&lt;&gt;""),'Q32026'!B57,"")</f>
        <v/>
      </c>
      <c r="C216" t="str">
        <f>IF(AND('Q32026'!B57&lt;&gt;"",'Q32026'!E57&lt;&gt;""),'Q32026'!C57,"")</f>
        <v/>
      </c>
      <c r="D216" t="str">
        <f>IF(AND('Q32026'!B57&lt;&gt;"",'Q32026'!E57&lt;&gt;""),'Q32026'!D57,"")</f>
        <v/>
      </c>
      <c r="E216" t="str">
        <f>IF(AND('Q32026'!B57&lt;&gt;"",'Q32026'!E57&lt;&gt;""),'Q32026'!H57,"")</f>
        <v/>
      </c>
      <c r="F216" t="str">
        <f>IF(AND('Q32026'!B57&lt;&gt;"",'Q32026'!E57&lt;&gt;""),'Q32026'!F57,"")</f>
        <v/>
      </c>
      <c r="G216" t="str">
        <f>IF(AND('Q32026'!B57&lt;&gt;"",'Q32026'!E57&lt;&gt;""),'Q32026'!G57,"")</f>
        <v/>
      </c>
      <c r="H216" t="str">
        <f>IF(AND('Q32026'!B57&lt;&gt;"",'Q32026'!E57&lt;&gt;""),"Q32026","")</f>
        <v/>
      </c>
      <c r="I216" t="str">
        <f>IF(A216="Q12026",COUNTIF($A$2:$A216,"Q12026"),"")</f>
        <v/>
      </c>
      <c r="J216" t="str">
        <f>IF(A216="Q22026",COUNTIF($A$2:$A216,"Q22026"),"")</f>
        <v/>
      </c>
      <c r="K216" t="str">
        <f>IF(A216="Q32026",COUNTIF($A$2:$A216,"Q32026"),"")</f>
        <v/>
      </c>
      <c r="L216" t="str">
        <f>IF(A216="Q42026",COUNTIF($A$2:$A216,"Q42026"),"")</f>
        <v/>
      </c>
      <c r="M216" t="str">
        <f>IF(A216="Backlog",COUNTIF($A$2:$A216,"Backlog"),"")</f>
        <v/>
      </c>
    </row>
    <row r="217" spans="1:13">
      <c r="A217" t="str">
        <f>IF(AND('Q32026'!B58&lt;&gt;"",'Q32026'!E58&lt;&gt;""),'Q32026'!E58,"")</f>
        <v/>
      </c>
      <c r="B217" t="str">
        <f>IF(AND('Q32026'!B58&lt;&gt;"",'Q32026'!E58&lt;&gt;""),'Q32026'!B58,"")</f>
        <v/>
      </c>
      <c r="C217" t="str">
        <f>IF(AND('Q32026'!B58&lt;&gt;"",'Q32026'!E58&lt;&gt;""),'Q32026'!C58,"")</f>
        <v/>
      </c>
      <c r="D217" t="str">
        <f>IF(AND('Q32026'!B58&lt;&gt;"",'Q32026'!E58&lt;&gt;""),'Q32026'!D58,"")</f>
        <v/>
      </c>
      <c r="E217" t="str">
        <f>IF(AND('Q32026'!B58&lt;&gt;"",'Q32026'!E58&lt;&gt;""),'Q32026'!H58,"")</f>
        <v/>
      </c>
      <c r="F217" t="str">
        <f>IF(AND('Q32026'!B58&lt;&gt;"",'Q32026'!E58&lt;&gt;""),'Q32026'!F58,"")</f>
        <v/>
      </c>
      <c r="G217" t="str">
        <f>IF(AND('Q32026'!B58&lt;&gt;"",'Q32026'!E58&lt;&gt;""),'Q32026'!G58,"")</f>
        <v/>
      </c>
      <c r="H217" t="str">
        <f>IF(AND('Q32026'!B58&lt;&gt;"",'Q32026'!E58&lt;&gt;""),"Q32026","")</f>
        <v/>
      </c>
      <c r="I217" t="str">
        <f>IF(A217="Q12026",COUNTIF($A$2:$A217,"Q12026"),"")</f>
        <v/>
      </c>
      <c r="J217" t="str">
        <f>IF(A217="Q22026",COUNTIF($A$2:$A217,"Q22026"),"")</f>
        <v/>
      </c>
      <c r="K217" t="str">
        <f>IF(A217="Q32026",COUNTIF($A$2:$A217,"Q32026"),"")</f>
        <v/>
      </c>
      <c r="L217" t="str">
        <f>IF(A217="Q42026",COUNTIF($A$2:$A217,"Q42026"),"")</f>
        <v/>
      </c>
      <c r="M217" t="str">
        <f>IF(A217="Backlog",COUNTIF($A$2:$A217,"Backlog"),"")</f>
        <v/>
      </c>
    </row>
    <row r="218" spans="1:13">
      <c r="A218" t="str">
        <f>IF(AND('Q32026'!B59&lt;&gt;"",'Q32026'!E59&lt;&gt;""),'Q32026'!E59,"")</f>
        <v/>
      </c>
      <c r="B218" t="str">
        <f>IF(AND('Q32026'!B59&lt;&gt;"",'Q32026'!E59&lt;&gt;""),'Q32026'!B59,"")</f>
        <v/>
      </c>
      <c r="C218" t="str">
        <f>IF(AND('Q32026'!B59&lt;&gt;"",'Q32026'!E59&lt;&gt;""),'Q32026'!C59,"")</f>
        <v/>
      </c>
      <c r="D218" t="str">
        <f>IF(AND('Q32026'!B59&lt;&gt;"",'Q32026'!E59&lt;&gt;""),'Q32026'!D59,"")</f>
        <v/>
      </c>
      <c r="E218" t="str">
        <f>IF(AND('Q32026'!B59&lt;&gt;"",'Q32026'!E59&lt;&gt;""),'Q32026'!H59,"")</f>
        <v/>
      </c>
      <c r="F218" t="str">
        <f>IF(AND('Q32026'!B59&lt;&gt;"",'Q32026'!E59&lt;&gt;""),'Q32026'!F59,"")</f>
        <v/>
      </c>
      <c r="G218" t="str">
        <f>IF(AND('Q32026'!B59&lt;&gt;"",'Q32026'!E59&lt;&gt;""),'Q32026'!G59,"")</f>
        <v/>
      </c>
      <c r="H218" t="str">
        <f>IF(AND('Q32026'!B59&lt;&gt;"",'Q32026'!E59&lt;&gt;""),"Q32026","")</f>
        <v/>
      </c>
      <c r="I218" t="str">
        <f>IF(A218="Q12026",COUNTIF($A$2:$A218,"Q12026"),"")</f>
        <v/>
      </c>
      <c r="J218" t="str">
        <f>IF(A218="Q22026",COUNTIF($A$2:$A218,"Q22026"),"")</f>
        <v/>
      </c>
      <c r="K218" t="str">
        <f>IF(A218="Q32026",COUNTIF($A$2:$A218,"Q32026"),"")</f>
        <v/>
      </c>
      <c r="L218" t="str">
        <f>IF(A218="Q42026",COUNTIF($A$2:$A218,"Q42026"),"")</f>
        <v/>
      </c>
      <c r="M218" t="str">
        <f>IF(A218="Backlog",COUNTIF($A$2:$A218,"Backlog"),"")</f>
        <v/>
      </c>
    </row>
    <row r="219" spans="1:13">
      <c r="A219" t="str">
        <f>IF(AND('Q32026'!B60&lt;&gt;"",'Q32026'!E60&lt;&gt;""),'Q32026'!E60,"")</f>
        <v/>
      </c>
      <c r="B219" t="str">
        <f>IF(AND('Q32026'!B60&lt;&gt;"",'Q32026'!E60&lt;&gt;""),'Q32026'!B60,"")</f>
        <v/>
      </c>
      <c r="C219" t="str">
        <f>IF(AND('Q32026'!B60&lt;&gt;"",'Q32026'!E60&lt;&gt;""),'Q32026'!C60,"")</f>
        <v/>
      </c>
      <c r="D219" t="str">
        <f>IF(AND('Q32026'!B60&lt;&gt;"",'Q32026'!E60&lt;&gt;""),'Q32026'!D60,"")</f>
        <v/>
      </c>
      <c r="E219" t="str">
        <f>IF(AND('Q32026'!B60&lt;&gt;"",'Q32026'!E60&lt;&gt;""),'Q32026'!H60,"")</f>
        <v/>
      </c>
      <c r="F219" t="str">
        <f>IF(AND('Q32026'!B60&lt;&gt;"",'Q32026'!E60&lt;&gt;""),'Q32026'!F60,"")</f>
        <v/>
      </c>
      <c r="G219" t="str">
        <f>IF(AND('Q32026'!B60&lt;&gt;"",'Q32026'!E60&lt;&gt;""),'Q32026'!G60,"")</f>
        <v/>
      </c>
      <c r="H219" t="str">
        <f>IF(AND('Q32026'!B60&lt;&gt;"",'Q32026'!E60&lt;&gt;""),"Q32026","")</f>
        <v/>
      </c>
      <c r="I219" t="str">
        <f>IF(A219="Q12026",COUNTIF($A$2:$A219,"Q12026"),"")</f>
        <v/>
      </c>
      <c r="J219" t="str">
        <f>IF(A219="Q22026",COUNTIF($A$2:$A219,"Q22026"),"")</f>
        <v/>
      </c>
      <c r="K219" t="str">
        <f>IF(A219="Q32026",COUNTIF($A$2:$A219,"Q32026"),"")</f>
        <v/>
      </c>
      <c r="L219" t="str">
        <f>IF(A219="Q42026",COUNTIF($A$2:$A219,"Q42026"),"")</f>
        <v/>
      </c>
      <c r="M219" t="str">
        <f>IF(A219="Backlog",COUNTIF($A$2:$A219,"Backlog"),"")</f>
        <v/>
      </c>
    </row>
    <row r="220" spans="1:13">
      <c r="A220" t="str">
        <f>IF(AND('Q32026'!B61&lt;&gt;"",'Q32026'!E61&lt;&gt;""),'Q32026'!E61,"")</f>
        <v/>
      </c>
      <c r="B220" t="str">
        <f>IF(AND('Q32026'!B61&lt;&gt;"",'Q32026'!E61&lt;&gt;""),'Q32026'!B61,"")</f>
        <v/>
      </c>
      <c r="C220" t="str">
        <f>IF(AND('Q32026'!B61&lt;&gt;"",'Q32026'!E61&lt;&gt;""),'Q32026'!C61,"")</f>
        <v/>
      </c>
      <c r="D220" t="str">
        <f>IF(AND('Q32026'!B61&lt;&gt;"",'Q32026'!E61&lt;&gt;""),'Q32026'!D61,"")</f>
        <v/>
      </c>
      <c r="E220" t="str">
        <f>IF(AND('Q32026'!B61&lt;&gt;"",'Q32026'!E61&lt;&gt;""),'Q32026'!H61,"")</f>
        <v/>
      </c>
      <c r="F220" t="str">
        <f>IF(AND('Q32026'!B61&lt;&gt;"",'Q32026'!E61&lt;&gt;""),'Q32026'!F61,"")</f>
        <v/>
      </c>
      <c r="G220" t="str">
        <f>IF(AND('Q32026'!B61&lt;&gt;"",'Q32026'!E61&lt;&gt;""),'Q32026'!G61,"")</f>
        <v/>
      </c>
      <c r="H220" t="str">
        <f>IF(AND('Q32026'!B61&lt;&gt;"",'Q32026'!E61&lt;&gt;""),"Q32026","")</f>
        <v/>
      </c>
      <c r="I220" t="str">
        <f>IF(A220="Q12026",COUNTIF($A$2:$A220,"Q12026"),"")</f>
        <v/>
      </c>
      <c r="J220" t="str">
        <f>IF(A220="Q22026",COUNTIF($A$2:$A220,"Q22026"),"")</f>
        <v/>
      </c>
      <c r="K220" t="str">
        <f>IF(A220="Q32026",COUNTIF($A$2:$A220,"Q32026"),"")</f>
        <v/>
      </c>
      <c r="L220" t="str">
        <f>IF(A220="Q42026",COUNTIF($A$2:$A220,"Q42026"),"")</f>
        <v/>
      </c>
      <c r="M220" t="str">
        <f>IF(A220="Backlog",COUNTIF($A$2:$A220,"Backlog"),"")</f>
        <v/>
      </c>
    </row>
    <row r="221" spans="1:13">
      <c r="A221" t="str">
        <f>IF(AND('Q32026'!B62&lt;&gt;"",'Q32026'!E62&lt;&gt;""),'Q32026'!E62,"")</f>
        <v/>
      </c>
      <c r="B221" t="str">
        <f>IF(AND('Q32026'!B62&lt;&gt;"",'Q32026'!E62&lt;&gt;""),'Q32026'!B62,"")</f>
        <v/>
      </c>
      <c r="C221" t="str">
        <f>IF(AND('Q32026'!B62&lt;&gt;"",'Q32026'!E62&lt;&gt;""),'Q32026'!C62,"")</f>
        <v/>
      </c>
      <c r="D221" t="str">
        <f>IF(AND('Q32026'!B62&lt;&gt;"",'Q32026'!E62&lt;&gt;""),'Q32026'!D62,"")</f>
        <v/>
      </c>
      <c r="E221" t="str">
        <f>IF(AND('Q32026'!B62&lt;&gt;"",'Q32026'!E62&lt;&gt;""),'Q32026'!H62,"")</f>
        <v/>
      </c>
      <c r="F221" t="str">
        <f>IF(AND('Q32026'!B62&lt;&gt;"",'Q32026'!E62&lt;&gt;""),'Q32026'!F62,"")</f>
        <v/>
      </c>
      <c r="G221" t="str">
        <f>IF(AND('Q32026'!B62&lt;&gt;"",'Q32026'!E62&lt;&gt;""),'Q32026'!G62,"")</f>
        <v/>
      </c>
      <c r="H221" t="str">
        <f>IF(AND('Q32026'!B62&lt;&gt;"",'Q32026'!E62&lt;&gt;""),"Q32026","")</f>
        <v/>
      </c>
      <c r="I221" t="str">
        <f>IF(A221="Q12026",COUNTIF($A$2:$A221,"Q12026"),"")</f>
        <v/>
      </c>
      <c r="J221" t="str">
        <f>IF(A221="Q22026",COUNTIF($A$2:$A221,"Q22026"),"")</f>
        <v/>
      </c>
      <c r="K221" t="str">
        <f>IF(A221="Q32026",COUNTIF($A$2:$A221,"Q32026"),"")</f>
        <v/>
      </c>
      <c r="L221" t="str">
        <f>IF(A221="Q42026",COUNTIF($A$2:$A221,"Q42026"),"")</f>
        <v/>
      </c>
      <c r="M221" t="str">
        <f>IF(A221="Backlog",COUNTIF($A$2:$A221,"Backlog"),"")</f>
        <v/>
      </c>
    </row>
    <row r="222" spans="1:13">
      <c r="A222" t="str">
        <f>IF(AND('Q32026'!B63&lt;&gt;"",'Q32026'!E63&lt;&gt;""),'Q32026'!E63,"")</f>
        <v/>
      </c>
      <c r="B222" t="str">
        <f>IF(AND('Q32026'!B63&lt;&gt;"",'Q32026'!E63&lt;&gt;""),'Q32026'!B63,"")</f>
        <v/>
      </c>
      <c r="C222" t="str">
        <f>IF(AND('Q32026'!B63&lt;&gt;"",'Q32026'!E63&lt;&gt;""),'Q32026'!C63,"")</f>
        <v/>
      </c>
      <c r="D222" t="str">
        <f>IF(AND('Q32026'!B63&lt;&gt;"",'Q32026'!E63&lt;&gt;""),'Q32026'!D63,"")</f>
        <v/>
      </c>
      <c r="E222" t="str">
        <f>IF(AND('Q32026'!B63&lt;&gt;"",'Q32026'!E63&lt;&gt;""),'Q32026'!H63,"")</f>
        <v/>
      </c>
      <c r="F222" t="str">
        <f>IF(AND('Q32026'!B63&lt;&gt;"",'Q32026'!E63&lt;&gt;""),'Q32026'!F63,"")</f>
        <v/>
      </c>
      <c r="G222" t="str">
        <f>IF(AND('Q32026'!B63&lt;&gt;"",'Q32026'!E63&lt;&gt;""),'Q32026'!G63,"")</f>
        <v/>
      </c>
      <c r="H222" t="str">
        <f>IF(AND('Q32026'!B63&lt;&gt;"",'Q32026'!E63&lt;&gt;""),"Q32026","")</f>
        <v/>
      </c>
      <c r="I222" t="str">
        <f>IF(A222="Q12026",COUNTIF($A$2:$A222,"Q12026"),"")</f>
        <v/>
      </c>
      <c r="J222" t="str">
        <f>IF(A222="Q22026",COUNTIF($A$2:$A222,"Q22026"),"")</f>
        <v/>
      </c>
      <c r="K222" t="str">
        <f>IF(A222="Q32026",COUNTIF($A$2:$A222,"Q32026"),"")</f>
        <v/>
      </c>
      <c r="L222" t="str">
        <f>IF(A222="Q42026",COUNTIF($A$2:$A222,"Q42026"),"")</f>
        <v/>
      </c>
      <c r="M222" t="str">
        <f>IF(A222="Backlog",COUNTIF($A$2:$A222,"Backlog"),"")</f>
        <v/>
      </c>
    </row>
    <row r="223" spans="1:13">
      <c r="A223" t="str">
        <f>IF(AND('Q32026'!B64&lt;&gt;"",'Q32026'!E64&lt;&gt;""),'Q32026'!E64,"")</f>
        <v/>
      </c>
      <c r="B223" t="str">
        <f>IF(AND('Q32026'!B64&lt;&gt;"",'Q32026'!E64&lt;&gt;""),'Q32026'!B64,"")</f>
        <v/>
      </c>
      <c r="C223" t="str">
        <f>IF(AND('Q32026'!B64&lt;&gt;"",'Q32026'!E64&lt;&gt;""),'Q32026'!C64,"")</f>
        <v/>
      </c>
      <c r="D223" t="str">
        <f>IF(AND('Q32026'!B64&lt;&gt;"",'Q32026'!E64&lt;&gt;""),'Q32026'!D64,"")</f>
        <v/>
      </c>
      <c r="E223" t="str">
        <f>IF(AND('Q32026'!B64&lt;&gt;"",'Q32026'!E64&lt;&gt;""),'Q32026'!H64,"")</f>
        <v/>
      </c>
      <c r="F223" t="str">
        <f>IF(AND('Q32026'!B64&lt;&gt;"",'Q32026'!E64&lt;&gt;""),'Q32026'!F64,"")</f>
        <v/>
      </c>
      <c r="G223" t="str">
        <f>IF(AND('Q32026'!B64&lt;&gt;"",'Q32026'!E64&lt;&gt;""),'Q32026'!G64,"")</f>
        <v/>
      </c>
      <c r="H223" t="str">
        <f>IF(AND('Q32026'!B64&lt;&gt;"",'Q32026'!E64&lt;&gt;""),"Q32026","")</f>
        <v/>
      </c>
      <c r="I223" t="str">
        <f>IF(A223="Q12026",COUNTIF($A$2:$A223,"Q12026"),"")</f>
        <v/>
      </c>
      <c r="J223" t="str">
        <f>IF(A223="Q22026",COUNTIF($A$2:$A223,"Q22026"),"")</f>
        <v/>
      </c>
      <c r="K223" t="str">
        <f>IF(A223="Q32026",COUNTIF($A$2:$A223,"Q32026"),"")</f>
        <v/>
      </c>
      <c r="L223" t="str">
        <f>IF(A223="Q42026",COUNTIF($A$2:$A223,"Q42026"),"")</f>
        <v/>
      </c>
      <c r="M223" t="str">
        <f>IF(A223="Backlog",COUNTIF($A$2:$A223,"Backlog"),"")</f>
        <v/>
      </c>
    </row>
    <row r="224" spans="1:13">
      <c r="A224" t="str">
        <f>IF(AND('Q32026'!B65&lt;&gt;"",'Q32026'!E65&lt;&gt;""),'Q32026'!E65,"")</f>
        <v/>
      </c>
      <c r="B224" t="str">
        <f>IF(AND('Q32026'!B65&lt;&gt;"",'Q32026'!E65&lt;&gt;""),'Q32026'!B65,"")</f>
        <v/>
      </c>
      <c r="C224" t="str">
        <f>IF(AND('Q32026'!B65&lt;&gt;"",'Q32026'!E65&lt;&gt;""),'Q32026'!C65,"")</f>
        <v/>
      </c>
      <c r="D224" t="str">
        <f>IF(AND('Q32026'!B65&lt;&gt;"",'Q32026'!E65&lt;&gt;""),'Q32026'!D65,"")</f>
        <v/>
      </c>
      <c r="E224" t="str">
        <f>IF(AND('Q32026'!B65&lt;&gt;"",'Q32026'!E65&lt;&gt;""),'Q32026'!H65,"")</f>
        <v/>
      </c>
      <c r="F224" t="str">
        <f>IF(AND('Q32026'!B65&lt;&gt;"",'Q32026'!E65&lt;&gt;""),'Q32026'!F65,"")</f>
        <v/>
      </c>
      <c r="G224" t="str">
        <f>IF(AND('Q32026'!B65&lt;&gt;"",'Q32026'!E65&lt;&gt;""),'Q32026'!G65,"")</f>
        <v/>
      </c>
      <c r="H224" t="str">
        <f>IF(AND('Q32026'!B65&lt;&gt;"",'Q32026'!E65&lt;&gt;""),"Q32026","")</f>
        <v/>
      </c>
      <c r="I224" t="str">
        <f>IF(A224="Q12026",COUNTIF($A$2:$A224,"Q12026"),"")</f>
        <v/>
      </c>
      <c r="J224" t="str">
        <f>IF(A224="Q22026",COUNTIF($A$2:$A224,"Q22026"),"")</f>
        <v/>
      </c>
      <c r="K224" t="str">
        <f>IF(A224="Q32026",COUNTIF($A$2:$A224,"Q32026"),"")</f>
        <v/>
      </c>
      <c r="L224" t="str">
        <f>IF(A224="Q42026",COUNTIF($A$2:$A224,"Q42026"),"")</f>
        <v/>
      </c>
      <c r="M224" t="str">
        <f>IF(A224="Backlog",COUNTIF($A$2:$A224,"Backlog"),"")</f>
        <v/>
      </c>
    </row>
    <row r="225" spans="1:13">
      <c r="A225" t="str">
        <f>IF(AND('Q32026'!B66&lt;&gt;"",'Q32026'!E66&lt;&gt;""),'Q32026'!E66,"")</f>
        <v/>
      </c>
      <c r="B225" t="str">
        <f>IF(AND('Q32026'!B66&lt;&gt;"",'Q32026'!E66&lt;&gt;""),'Q32026'!B66,"")</f>
        <v/>
      </c>
      <c r="C225" t="str">
        <f>IF(AND('Q32026'!B66&lt;&gt;"",'Q32026'!E66&lt;&gt;""),'Q32026'!C66,"")</f>
        <v/>
      </c>
      <c r="D225" t="str">
        <f>IF(AND('Q32026'!B66&lt;&gt;"",'Q32026'!E66&lt;&gt;""),'Q32026'!D66,"")</f>
        <v/>
      </c>
      <c r="E225" t="str">
        <f>IF(AND('Q32026'!B66&lt;&gt;"",'Q32026'!E66&lt;&gt;""),'Q32026'!H66,"")</f>
        <v/>
      </c>
      <c r="F225" t="str">
        <f>IF(AND('Q32026'!B66&lt;&gt;"",'Q32026'!E66&lt;&gt;""),'Q32026'!F66,"")</f>
        <v/>
      </c>
      <c r="G225" t="str">
        <f>IF(AND('Q32026'!B66&lt;&gt;"",'Q32026'!E66&lt;&gt;""),'Q32026'!G66,"")</f>
        <v/>
      </c>
      <c r="H225" t="str">
        <f>IF(AND('Q32026'!B66&lt;&gt;"",'Q32026'!E66&lt;&gt;""),"Q32026","")</f>
        <v/>
      </c>
      <c r="I225" t="str">
        <f>IF(A225="Q12026",COUNTIF($A$2:$A225,"Q12026"),"")</f>
        <v/>
      </c>
      <c r="J225" t="str">
        <f>IF(A225="Q22026",COUNTIF($A$2:$A225,"Q22026"),"")</f>
        <v/>
      </c>
      <c r="K225" t="str">
        <f>IF(A225="Q32026",COUNTIF($A$2:$A225,"Q32026"),"")</f>
        <v/>
      </c>
      <c r="L225" t="str">
        <f>IF(A225="Q42026",COUNTIF($A$2:$A225,"Q42026"),"")</f>
        <v/>
      </c>
      <c r="M225" t="str">
        <f>IF(A225="Backlog",COUNTIF($A$2:$A225,"Backlog"),"")</f>
        <v/>
      </c>
    </row>
    <row r="226" spans="1:13">
      <c r="A226" t="str">
        <f>IF(AND('Q32026'!B67&lt;&gt;"",'Q32026'!E67&lt;&gt;""),'Q32026'!E67,"")</f>
        <v/>
      </c>
      <c r="B226" t="str">
        <f>IF(AND('Q32026'!B67&lt;&gt;"",'Q32026'!E67&lt;&gt;""),'Q32026'!B67,"")</f>
        <v/>
      </c>
      <c r="C226" t="str">
        <f>IF(AND('Q32026'!B67&lt;&gt;"",'Q32026'!E67&lt;&gt;""),'Q32026'!C67,"")</f>
        <v/>
      </c>
      <c r="D226" t="str">
        <f>IF(AND('Q32026'!B67&lt;&gt;"",'Q32026'!E67&lt;&gt;""),'Q32026'!D67,"")</f>
        <v/>
      </c>
      <c r="E226" t="str">
        <f>IF(AND('Q32026'!B67&lt;&gt;"",'Q32026'!E67&lt;&gt;""),'Q32026'!H67,"")</f>
        <v/>
      </c>
      <c r="F226" t="str">
        <f>IF(AND('Q32026'!B67&lt;&gt;"",'Q32026'!E67&lt;&gt;""),'Q32026'!F67,"")</f>
        <v/>
      </c>
      <c r="G226" t="str">
        <f>IF(AND('Q32026'!B67&lt;&gt;"",'Q32026'!E67&lt;&gt;""),'Q32026'!G67,"")</f>
        <v/>
      </c>
      <c r="H226" t="str">
        <f>IF(AND('Q32026'!B67&lt;&gt;"",'Q32026'!E67&lt;&gt;""),"Q32026","")</f>
        <v/>
      </c>
      <c r="I226" t="str">
        <f>IF(A226="Q12026",COUNTIF($A$2:$A226,"Q12026"),"")</f>
        <v/>
      </c>
      <c r="J226" t="str">
        <f>IF(A226="Q22026",COUNTIF($A$2:$A226,"Q22026"),"")</f>
        <v/>
      </c>
      <c r="K226" t="str">
        <f>IF(A226="Q32026",COUNTIF($A$2:$A226,"Q32026"),"")</f>
        <v/>
      </c>
      <c r="L226" t="str">
        <f>IF(A226="Q42026",COUNTIF($A$2:$A226,"Q42026"),"")</f>
        <v/>
      </c>
      <c r="M226" t="str">
        <f>IF(A226="Backlog",COUNTIF($A$2:$A226,"Backlog"),"")</f>
        <v/>
      </c>
    </row>
    <row r="227" spans="1:13">
      <c r="A227" t="str">
        <f>IF(AND('Q32026'!B68&lt;&gt;"",'Q32026'!E68&lt;&gt;""),'Q32026'!E68,"")</f>
        <v/>
      </c>
      <c r="B227" t="str">
        <f>IF(AND('Q32026'!B68&lt;&gt;"",'Q32026'!E68&lt;&gt;""),'Q32026'!B68,"")</f>
        <v/>
      </c>
      <c r="C227" t="str">
        <f>IF(AND('Q32026'!B68&lt;&gt;"",'Q32026'!E68&lt;&gt;""),'Q32026'!C68,"")</f>
        <v/>
      </c>
      <c r="D227" t="str">
        <f>IF(AND('Q32026'!B68&lt;&gt;"",'Q32026'!E68&lt;&gt;""),'Q32026'!D68,"")</f>
        <v/>
      </c>
      <c r="E227" t="str">
        <f>IF(AND('Q32026'!B68&lt;&gt;"",'Q32026'!E68&lt;&gt;""),'Q32026'!H68,"")</f>
        <v/>
      </c>
      <c r="F227" t="str">
        <f>IF(AND('Q32026'!B68&lt;&gt;"",'Q32026'!E68&lt;&gt;""),'Q32026'!F68,"")</f>
        <v/>
      </c>
      <c r="G227" t="str">
        <f>IF(AND('Q32026'!B68&lt;&gt;"",'Q32026'!E68&lt;&gt;""),'Q32026'!G68,"")</f>
        <v/>
      </c>
      <c r="H227" t="str">
        <f>IF(AND('Q32026'!B68&lt;&gt;"",'Q32026'!E68&lt;&gt;""),"Q32026","")</f>
        <v/>
      </c>
      <c r="I227" t="str">
        <f>IF(A227="Q12026",COUNTIF($A$2:$A227,"Q12026"),"")</f>
        <v/>
      </c>
      <c r="J227" t="str">
        <f>IF(A227="Q22026",COUNTIF($A$2:$A227,"Q22026"),"")</f>
        <v/>
      </c>
      <c r="K227" t="str">
        <f>IF(A227="Q32026",COUNTIF($A$2:$A227,"Q32026"),"")</f>
        <v/>
      </c>
      <c r="L227" t="str">
        <f>IF(A227="Q42026",COUNTIF($A$2:$A227,"Q42026"),"")</f>
        <v/>
      </c>
      <c r="M227" t="str">
        <f>IF(A227="Backlog",COUNTIF($A$2:$A227,"Backlog"),"")</f>
        <v/>
      </c>
    </row>
    <row r="228" spans="1:13">
      <c r="A228" t="str">
        <f>IF(AND('Q32026'!B69&lt;&gt;"",'Q32026'!E69&lt;&gt;""),'Q32026'!E69,"")</f>
        <v/>
      </c>
      <c r="B228" t="str">
        <f>IF(AND('Q32026'!B69&lt;&gt;"",'Q32026'!E69&lt;&gt;""),'Q32026'!B69,"")</f>
        <v/>
      </c>
      <c r="C228" t="str">
        <f>IF(AND('Q32026'!B69&lt;&gt;"",'Q32026'!E69&lt;&gt;""),'Q32026'!C69,"")</f>
        <v/>
      </c>
      <c r="D228" t="str">
        <f>IF(AND('Q32026'!B69&lt;&gt;"",'Q32026'!E69&lt;&gt;""),'Q32026'!D69,"")</f>
        <v/>
      </c>
      <c r="E228" t="str">
        <f>IF(AND('Q32026'!B69&lt;&gt;"",'Q32026'!E69&lt;&gt;""),'Q32026'!H69,"")</f>
        <v/>
      </c>
      <c r="F228" t="str">
        <f>IF(AND('Q32026'!B69&lt;&gt;"",'Q32026'!E69&lt;&gt;""),'Q32026'!F69,"")</f>
        <v/>
      </c>
      <c r="G228" t="str">
        <f>IF(AND('Q32026'!B69&lt;&gt;"",'Q32026'!E69&lt;&gt;""),'Q32026'!G69,"")</f>
        <v/>
      </c>
      <c r="H228" t="str">
        <f>IF(AND('Q32026'!B69&lt;&gt;"",'Q32026'!E69&lt;&gt;""),"Q32026","")</f>
        <v/>
      </c>
      <c r="I228" t="str">
        <f>IF(A228="Q12026",COUNTIF($A$2:$A228,"Q12026"),"")</f>
        <v/>
      </c>
      <c r="J228" t="str">
        <f>IF(A228="Q22026",COUNTIF($A$2:$A228,"Q22026"),"")</f>
        <v/>
      </c>
      <c r="K228" t="str">
        <f>IF(A228="Q32026",COUNTIF($A$2:$A228,"Q32026"),"")</f>
        <v/>
      </c>
      <c r="L228" t="str">
        <f>IF(A228="Q42026",COUNTIF($A$2:$A228,"Q42026"),"")</f>
        <v/>
      </c>
      <c r="M228" t="str">
        <f>IF(A228="Backlog",COUNTIF($A$2:$A228,"Backlog"),"")</f>
        <v/>
      </c>
    </row>
    <row r="229" spans="1:13">
      <c r="A229" t="str">
        <f>IF(AND('Q32026'!B70&lt;&gt;"",'Q32026'!E70&lt;&gt;""),'Q32026'!E70,"")</f>
        <v/>
      </c>
      <c r="B229" t="str">
        <f>IF(AND('Q32026'!B70&lt;&gt;"",'Q32026'!E70&lt;&gt;""),'Q32026'!B70,"")</f>
        <v/>
      </c>
      <c r="C229" t="str">
        <f>IF(AND('Q32026'!B70&lt;&gt;"",'Q32026'!E70&lt;&gt;""),'Q32026'!C70,"")</f>
        <v/>
      </c>
      <c r="D229" t="str">
        <f>IF(AND('Q32026'!B70&lt;&gt;"",'Q32026'!E70&lt;&gt;""),'Q32026'!D70,"")</f>
        <v/>
      </c>
      <c r="E229" t="str">
        <f>IF(AND('Q32026'!B70&lt;&gt;"",'Q32026'!E70&lt;&gt;""),'Q32026'!H70,"")</f>
        <v/>
      </c>
      <c r="F229" t="str">
        <f>IF(AND('Q32026'!B70&lt;&gt;"",'Q32026'!E70&lt;&gt;""),'Q32026'!F70,"")</f>
        <v/>
      </c>
      <c r="G229" t="str">
        <f>IF(AND('Q32026'!B70&lt;&gt;"",'Q32026'!E70&lt;&gt;""),'Q32026'!G70,"")</f>
        <v/>
      </c>
      <c r="H229" t="str">
        <f>IF(AND('Q32026'!B70&lt;&gt;"",'Q32026'!E70&lt;&gt;""),"Q32026","")</f>
        <v/>
      </c>
      <c r="I229" t="str">
        <f>IF(A229="Q12026",COUNTIF($A$2:$A229,"Q12026"),"")</f>
        <v/>
      </c>
      <c r="J229" t="str">
        <f>IF(A229="Q22026",COUNTIF($A$2:$A229,"Q22026"),"")</f>
        <v/>
      </c>
      <c r="K229" t="str">
        <f>IF(A229="Q32026",COUNTIF($A$2:$A229,"Q32026"),"")</f>
        <v/>
      </c>
      <c r="L229" t="str">
        <f>IF(A229="Q42026",COUNTIF($A$2:$A229,"Q42026"),"")</f>
        <v/>
      </c>
      <c r="M229" t="str">
        <f>IF(A229="Backlog",COUNTIF($A$2:$A229,"Backlog"),"")</f>
        <v/>
      </c>
    </row>
    <row r="230" spans="1:13">
      <c r="A230" t="str">
        <f>IF(AND('Q32026'!B71&lt;&gt;"",'Q32026'!E71&lt;&gt;""),'Q32026'!E71,"")</f>
        <v/>
      </c>
      <c r="B230" t="str">
        <f>IF(AND('Q32026'!B71&lt;&gt;"",'Q32026'!E71&lt;&gt;""),'Q32026'!B71,"")</f>
        <v/>
      </c>
      <c r="C230" t="str">
        <f>IF(AND('Q32026'!B71&lt;&gt;"",'Q32026'!E71&lt;&gt;""),'Q32026'!C71,"")</f>
        <v/>
      </c>
      <c r="D230" t="str">
        <f>IF(AND('Q32026'!B71&lt;&gt;"",'Q32026'!E71&lt;&gt;""),'Q32026'!D71,"")</f>
        <v/>
      </c>
      <c r="E230" t="str">
        <f>IF(AND('Q32026'!B71&lt;&gt;"",'Q32026'!E71&lt;&gt;""),'Q32026'!H71,"")</f>
        <v/>
      </c>
      <c r="F230" t="str">
        <f>IF(AND('Q32026'!B71&lt;&gt;"",'Q32026'!E71&lt;&gt;""),'Q32026'!F71,"")</f>
        <v/>
      </c>
      <c r="G230" t="str">
        <f>IF(AND('Q32026'!B71&lt;&gt;"",'Q32026'!E71&lt;&gt;""),'Q32026'!G71,"")</f>
        <v/>
      </c>
      <c r="H230" t="str">
        <f>IF(AND('Q32026'!B71&lt;&gt;"",'Q32026'!E71&lt;&gt;""),"Q32026","")</f>
        <v/>
      </c>
      <c r="I230" t="str">
        <f>IF(A230="Q12026",COUNTIF($A$2:$A230,"Q12026"),"")</f>
        <v/>
      </c>
      <c r="J230" t="str">
        <f>IF(A230="Q22026",COUNTIF($A$2:$A230,"Q22026"),"")</f>
        <v/>
      </c>
      <c r="K230" t="str">
        <f>IF(A230="Q32026",COUNTIF($A$2:$A230,"Q32026"),"")</f>
        <v/>
      </c>
      <c r="L230" t="str">
        <f>IF(A230="Q42026",COUNTIF($A$2:$A230,"Q42026"),"")</f>
        <v/>
      </c>
      <c r="M230" t="str">
        <f>IF(A230="Backlog",COUNTIF($A$2:$A230,"Backlog"),"")</f>
        <v/>
      </c>
    </row>
    <row r="231" spans="1:13">
      <c r="A231" t="str">
        <f>IF(AND('Q32026'!B72&lt;&gt;"",'Q32026'!E72&lt;&gt;""),'Q32026'!E72,"")</f>
        <v/>
      </c>
      <c r="B231" t="str">
        <f>IF(AND('Q32026'!B72&lt;&gt;"",'Q32026'!E72&lt;&gt;""),'Q32026'!B72,"")</f>
        <v/>
      </c>
      <c r="C231" t="str">
        <f>IF(AND('Q32026'!B72&lt;&gt;"",'Q32026'!E72&lt;&gt;""),'Q32026'!C72,"")</f>
        <v/>
      </c>
      <c r="D231" t="str">
        <f>IF(AND('Q32026'!B72&lt;&gt;"",'Q32026'!E72&lt;&gt;""),'Q32026'!D72,"")</f>
        <v/>
      </c>
      <c r="E231" t="str">
        <f>IF(AND('Q32026'!B72&lt;&gt;"",'Q32026'!E72&lt;&gt;""),'Q32026'!H72,"")</f>
        <v/>
      </c>
      <c r="F231" t="str">
        <f>IF(AND('Q32026'!B72&lt;&gt;"",'Q32026'!E72&lt;&gt;""),'Q32026'!F72,"")</f>
        <v/>
      </c>
      <c r="G231" t="str">
        <f>IF(AND('Q32026'!B72&lt;&gt;"",'Q32026'!E72&lt;&gt;""),'Q32026'!G72,"")</f>
        <v/>
      </c>
      <c r="H231" t="str">
        <f>IF(AND('Q32026'!B72&lt;&gt;"",'Q32026'!E72&lt;&gt;""),"Q32026","")</f>
        <v/>
      </c>
      <c r="I231" t="str">
        <f>IF(A231="Q12026",COUNTIF($A$2:$A231,"Q12026"),"")</f>
        <v/>
      </c>
      <c r="J231" t="str">
        <f>IF(A231="Q22026",COUNTIF($A$2:$A231,"Q22026"),"")</f>
        <v/>
      </c>
      <c r="K231" t="str">
        <f>IF(A231="Q32026",COUNTIF($A$2:$A231,"Q32026"),"")</f>
        <v/>
      </c>
      <c r="L231" t="str">
        <f>IF(A231="Q42026",COUNTIF($A$2:$A231,"Q42026"),"")</f>
        <v/>
      </c>
      <c r="M231" t="str">
        <f>IF(A231="Backlog",COUNTIF($A$2:$A231,"Backlog"),"")</f>
        <v/>
      </c>
    </row>
    <row r="232" spans="1:13">
      <c r="A232" t="str">
        <f>IF(AND('Q32026'!B73&lt;&gt;"",'Q32026'!E73&lt;&gt;""),'Q32026'!E73,"")</f>
        <v/>
      </c>
      <c r="B232" t="str">
        <f>IF(AND('Q32026'!B73&lt;&gt;"",'Q32026'!E73&lt;&gt;""),'Q32026'!B73,"")</f>
        <v/>
      </c>
      <c r="C232" t="str">
        <f>IF(AND('Q32026'!B73&lt;&gt;"",'Q32026'!E73&lt;&gt;""),'Q32026'!C73,"")</f>
        <v/>
      </c>
      <c r="D232" t="str">
        <f>IF(AND('Q32026'!B73&lt;&gt;"",'Q32026'!E73&lt;&gt;""),'Q32026'!D73,"")</f>
        <v/>
      </c>
      <c r="E232" t="str">
        <f>IF(AND('Q32026'!B73&lt;&gt;"",'Q32026'!E73&lt;&gt;""),'Q32026'!H73,"")</f>
        <v/>
      </c>
      <c r="F232" t="str">
        <f>IF(AND('Q32026'!B73&lt;&gt;"",'Q32026'!E73&lt;&gt;""),'Q32026'!F73,"")</f>
        <v/>
      </c>
      <c r="G232" t="str">
        <f>IF(AND('Q32026'!B73&lt;&gt;"",'Q32026'!E73&lt;&gt;""),'Q32026'!G73,"")</f>
        <v/>
      </c>
      <c r="H232" t="str">
        <f>IF(AND('Q32026'!B73&lt;&gt;"",'Q32026'!E73&lt;&gt;""),"Q32026","")</f>
        <v/>
      </c>
      <c r="I232" t="str">
        <f>IF(A232="Q12026",COUNTIF($A$2:$A232,"Q12026"),"")</f>
        <v/>
      </c>
      <c r="J232" t="str">
        <f>IF(A232="Q22026",COUNTIF($A$2:$A232,"Q22026"),"")</f>
        <v/>
      </c>
      <c r="K232" t="str">
        <f>IF(A232="Q32026",COUNTIF($A$2:$A232,"Q32026"),"")</f>
        <v/>
      </c>
      <c r="L232" t="str">
        <f>IF(A232="Q42026",COUNTIF($A$2:$A232,"Q42026"),"")</f>
        <v/>
      </c>
      <c r="M232" t="str">
        <f>IF(A232="Backlog",COUNTIF($A$2:$A232,"Backlog"),"")</f>
        <v/>
      </c>
    </row>
    <row r="233" spans="1:13">
      <c r="A233" t="str">
        <f>IF(AND('Q32026'!B74&lt;&gt;"",'Q32026'!E74&lt;&gt;""),'Q32026'!E74,"")</f>
        <v/>
      </c>
      <c r="B233" t="str">
        <f>IF(AND('Q32026'!B74&lt;&gt;"",'Q32026'!E74&lt;&gt;""),'Q32026'!B74,"")</f>
        <v/>
      </c>
      <c r="C233" t="str">
        <f>IF(AND('Q32026'!B74&lt;&gt;"",'Q32026'!E74&lt;&gt;""),'Q32026'!C74,"")</f>
        <v/>
      </c>
      <c r="D233" t="str">
        <f>IF(AND('Q32026'!B74&lt;&gt;"",'Q32026'!E74&lt;&gt;""),'Q32026'!D74,"")</f>
        <v/>
      </c>
      <c r="E233" t="str">
        <f>IF(AND('Q32026'!B74&lt;&gt;"",'Q32026'!E74&lt;&gt;""),'Q32026'!H74,"")</f>
        <v/>
      </c>
      <c r="F233" t="str">
        <f>IF(AND('Q32026'!B74&lt;&gt;"",'Q32026'!E74&lt;&gt;""),'Q32026'!F74,"")</f>
        <v/>
      </c>
      <c r="G233" t="str">
        <f>IF(AND('Q32026'!B74&lt;&gt;"",'Q32026'!E74&lt;&gt;""),'Q32026'!G74,"")</f>
        <v/>
      </c>
      <c r="H233" t="str">
        <f>IF(AND('Q32026'!B74&lt;&gt;"",'Q32026'!E74&lt;&gt;""),"Q32026","")</f>
        <v/>
      </c>
      <c r="I233" t="str">
        <f>IF(A233="Q12026",COUNTIF($A$2:$A233,"Q12026"),"")</f>
        <v/>
      </c>
      <c r="J233" t="str">
        <f>IF(A233="Q22026",COUNTIF($A$2:$A233,"Q22026"),"")</f>
        <v/>
      </c>
      <c r="K233" t="str">
        <f>IF(A233="Q32026",COUNTIF($A$2:$A233,"Q32026"),"")</f>
        <v/>
      </c>
      <c r="L233" t="str">
        <f>IF(A233="Q42026",COUNTIF($A$2:$A233,"Q42026"),"")</f>
        <v/>
      </c>
      <c r="M233" t="str">
        <f>IF(A233="Backlog",COUNTIF($A$2:$A233,"Backlog"),"")</f>
        <v/>
      </c>
    </row>
    <row r="234" spans="1:13">
      <c r="A234" t="str">
        <f>IF(AND('Q32026'!B75&lt;&gt;"",'Q32026'!E75&lt;&gt;""),'Q32026'!E75,"")</f>
        <v/>
      </c>
      <c r="B234" t="str">
        <f>IF(AND('Q32026'!B75&lt;&gt;"",'Q32026'!E75&lt;&gt;""),'Q32026'!B75,"")</f>
        <v/>
      </c>
      <c r="C234" t="str">
        <f>IF(AND('Q32026'!B75&lt;&gt;"",'Q32026'!E75&lt;&gt;""),'Q32026'!C75,"")</f>
        <v/>
      </c>
      <c r="D234" t="str">
        <f>IF(AND('Q32026'!B75&lt;&gt;"",'Q32026'!E75&lt;&gt;""),'Q32026'!D75,"")</f>
        <v/>
      </c>
      <c r="E234" t="str">
        <f>IF(AND('Q32026'!B75&lt;&gt;"",'Q32026'!E75&lt;&gt;""),'Q32026'!H75,"")</f>
        <v/>
      </c>
      <c r="F234" t="str">
        <f>IF(AND('Q32026'!B75&lt;&gt;"",'Q32026'!E75&lt;&gt;""),'Q32026'!F75,"")</f>
        <v/>
      </c>
      <c r="G234" t="str">
        <f>IF(AND('Q32026'!B75&lt;&gt;"",'Q32026'!E75&lt;&gt;""),'Q32026'!G75,"")</f>
        <v/>
      </c>
      <c r="H234" t="str">
        <f>IF(AND('Q32026'!B75&lt;&gt;"",'Q32026'!E75&lt;&gt;""),"Q32026","")</f>
        <v/>
      </c>
      <c r="I234" t="str">
        <f>IF(A234="Q12026",COUNTIF($A$2:$A234,"Q12026"),"")</f>
        <v/>
      </c>
      <c r="J234" t="str">
        <f>IF(A234="Q22026",COUNTIF($A$2:$A234,"Q22026"),"")</f>
        <v/>
      </c>
      <c r="K234" t="str">
        <f>IF(A234="Q32026",COUNTIF($A$2:$A234,"Q32026"),"")</f>
        <v/>
      </c>
      <c r="L234" t="str">
        <f>IF(A234="Q42026",COUNTIF($A$2:$A234,"Q42026"),"")</f>
        <v/>
      </c>
      <c r="M234" t="str">
        <f>IF(A234="Backlog",COUNTIF($A$2:$A234,"Backlog"),"")</f>
        <v/>
      </c>
    </row>
    <row r="235" spans="1:13">
      <c r="A235" t="str">
        <f>IF(AND('Q32026'!B76&lt;&gt;"",'Q32026'!E76&lt;&gt;""),'Q32026'!E76,"")</f>
        <v/>
      </c>
      <c r="B235" t="str">
        <f>IF(AND('Q32026'!B76&lt;&gt;"",'Q32026'!E76&lt;&gt;""),'Q32026'!B76,"")</f>
        <v/>
      </c>
      <c r="C235" t="str">
        <f>IF(AND('Q32026'!B76&lt;&gt;"",'Q32026'!E76&lt;&gt;""),'Q32026'!C76,"")</f>
        <v/>
      </c>
      <c r="D235" t="str">
        <f>IF(AND('Q32026'!B76&lt;&gt;"",'Q32026'!E76&lt;&gt;""),'Q32026'!D76,"")</f>
        <v/>
      </c>
      <c r="E235" t="str">
        <f>IF(AND('Q32026'!B76&lt;&gt;"",'Q32026'!E76&lt;&gt;""),'Q32026'!H76,"")</f>
        <v/>
      </c>
      <c r="F235" t="str">
        <f>IF(AND('Q32026'!B76&lt;&gt;"",'Q32026'!E76&lt;&gt;""),'Q32026'!F76,"")</f>
        <v/>
      </c>
      <c r="G235" t="str">
        <f>IF(AND('Q32026'!B76&lt;&gt;"",'Q32026'!E76&lt;&gt;""),'Q32026'!G76,"")</f>
        <v/>
      </c>
      <c r="H235" t="str">
        <f>IF(AND('Q32026'!B76&lt;&gt;"",'Q32026'!E76&lt;&gt;""),"Q32026","")</f>
        <v/>
      </c>
      <c r="I235" t="str">
        <f>IF(A235="Q12026",COUNTIF($A$2:$A235,"Q12026"),"")</f>
        <v/>
      </c>
      <c r="J235" t="str">
        <f>IF(A235="Q22026",COUNTIF($A$2:$A235,"Q22026"),"")</f>
        <v/>
      </c>
      <c r="K235" t="str">
        <f>IF(A235="Q32026",COUNTIF($A$2:$A235,"Q32026"),"")</f>
        <v/>
      </c>
      <c r="L235" t="str">
        <f>IF(A235="Q42026",COUNTIF($A$2:$A235,"Q42026"),"")</f>
        <v/>
      </c>
      <c r="M235" t="str">
        <f>IF(A235="Backlog",COUNTIF($A$2:$A235,"Backlog"),"")</f>
        <v/>
      </c>
    </row>
    <row r="236" spans="1:13">
      <c r="A236" t="str">
        <f>IF(AND('Q32026'!B77&lt;&gt;"",'Q32026'!E77&lt;&gt;""),'Q32026'!E77,"")</f>
        <v/>
      </c>
      <c r="B236" t="str">
        <f>IF(AND('Q32026'!B77&lt;&gt;"",'Q32026'!E77&lt;&gt;""),'Q32026'!B77,"")</f>
        <v/>
      </c>
      <c r="C236" t="str">
        <f>IF(AND('Q32026'!B77&lt;&gt;"",'Q32026'!E77&lt;&gt;""),'Q32026'!C77,"")</f>
        <v/>
      </c>
      <c r="D236" t="str">
        <f>IF(AND('Q32026'!B77&lt;&gt;"",'Q32026'!E77&lt;&gt;""),'Q32026'!D77,"")</f>
        <v/>
      </c>
      <c r="E236" t="str">
        <f>IF(AND('Q32026'!B77&lt;&gt;"",'Q32026'!E77&lt;&gt;""),'Q32026'!H77,"")</f>
        <v/>
      </c>
      <c r="F236" t="str">
        <f>IF(AND('Q32026'!B77&lt;&gt;"",'Q32026'!E77&lt;&gt;""),'Q32026'!F77,"")</f>
        <v/>
      </c>
      <c r="G236" t="str">
        <f>IF(AND('Q32026'!B77&lt;&gt;"",'Q32026'!E77&lt;&gt;""),'Q32026'!G77,"")</f>
        <v/>
      </c>
      <c r="H236" t="str">
        <f>IF(AND('Q32026'!B77&lt;&gt;"",'Q32026'!E77&lt;&gt;""),"Q32026","")</f>
        <v/>
      </c>
      <c r="I236" t="str">
        <f>IF(A236="Q12026",COUNTIF($A$2:$A236,"Q12026"),"")</f>
        <v/>
      </c>
      <c r="J236" t="str">
        <f>IF(A236="Q22026",COUNTIF($A$2:$A236,"Q22026"),"")</f>
        <v/>
      </c>
      <c r="K236" t="str">
        <f>IF(A236="Q32026",COUNTIF($A$2:$A236,"Q32026"),"")</f>
        <v/>
      </c>
      <c r="L236" t="str">
        <f>IF(A236="Q42026",COUNTIF($A$2:$A236,"Q42026"),"")</f>
        <v/>
      </c>
      <c r="M236" t="str">
        <f>IF(A236="Backlog",COUNTIF($A$2:$A236,"Backlog"),"")</f>
        <v/>
      </c>
    </row>
    <row r="237" spans="1:13">
      <c r="A237" t="str">
        <f>IF(AND('Q32026'!B78&lt;&gt;"",'Q32026'!E78&lt;&gt;""),'Q32026'!E78,"")</f>
        <v/>
      </c>
      <c r="B237" t="str">
        <f>IF(AND('Q32026'!B78&lt;&gt;"",'Q32026'!E78&lt;&gt;""),'Q32026'!B78,"")</f>
        <v/>
      </c>
      <c r="C237" t="str">
        <f>IF(AND('Q32026'!B78&lt;&gt;"",'Q32026'!E78&lt;&gt;""),'Q32026'!C78,"")</f>
        <v/>
      </c>
      <c r="D237" t="str">
        <f>IF(AND('Q32026'!B78&lt;&gt;"",'Q32026'!E78&lt;&gt;""),'Q32026'!D78,"")</f>
        <v/>
      </c>
      <c r="E237" t="str">
        <f>IF(AND('Q32026'!B78&lt;&gt;"",'Q32026'!E78&lt;&gt;""),'Q32026'!H78,"")</f>
        <v/>
      </c>
      <c r="F237" t="str">
        <f>IF(AND('Q32026'!B78&lt;&gt;"",'Q32026'!E78&lt;&gt;""),'Q32026'!F78,"")</f>
        <v/>
      </c>
      <c r="G237" t="str">
        <f>IF(AND('Q32026'!B78&lt;&gt;"",'Q32026'!E78&lt;&gt;""),'Q32026'!G78,"")</f>
        <v/>
      </c>
      <c r="H237" t="str">
        <f>IF(AND('Q32026'!B78&lt;&gt;"",'Q32026'!E78&lt;&gt;""),"Q32026","")</f>
        <v/>
      </c>
      <c r="I237" t="str">
        <f>IF(A237="Q12026",COUNTIF($A$2:$A237,"Q12026"),"")</f>
        <v/>
      </c>
      <c r="J237" t="str">
        <f>IF(A237="Q22026",COUNTIF($A$2:$A237,"Q22026"),"")</f>
        <v/>
      </c>
      <c r="K237" t="str">
        <f>IF(A237="Q32026",COUNTIF($A$2:$A237,"Q32026"),"")</f>
        <v/>
      </c>
      <c r="L237" t="str">
        <f>IF(A237="Q42026",COUNTIF($A$2:$A237,"Q42026"),"")</f>
        <v/>
      </c>
      <c r="M237" t="str">
        <f>IF(A237="Backlog",COUNTIF($A$2:$A237,"Backlog"),"")</f>
        <v/>
      </c>
    </row>
    <row r="238" spans="1:13">
      <c r="A238" t="str">
        <f>IF(AND('Q32026'!B79&lt;&gt;"",'Q32026'!E79&lt;&gt;""),'Q32026'!E79,"")</f>
        <v/>
      </c>
      <c r="B238" t="str">
        <f>IF(AND('Q32026'!B79&lt;&gt;"",'Q32026'!E79&lt;&gt;""),'Q32026'!B79,"")</f>
        <v/>
      </c>
      <c r="C238" t="str">
        <f>IF(AND('Q32026'!B79&lt;&gt;"",'Q32026'!E79&lt;&gt;""),'Q32026'!C79,"")</f>
        <v/>
      </c>
      <c r="D238" t="str">
        <f>IF(AND('Q32026'!B79&lt;&gt;"",'Q32026'!E79&lt;&gt;""),'Q32026'!D79,"")</f>
        <v/>
      </c>
      <c r="E238" t="str">
        <f>IF(AND('Q32026'!B79&lt;&gt;"",'Q32026'!E79&lt;&gt;""),'Q32026'!H79,"")</f>
        <v/>
      </c>
      <c r="F238" t="str">
        <f>IF(AND('Q32026'!B79&lt;&gt;"",'Q32026'!E79&lt;&gt;""),'Q32026'!F79,"")</f>
        <v/>
      </c>
      <c r="G238" t="str">
        <f>IF(AND('Q32026'!B79&lt;&gt;"",'Q32026'!E79&lt;&gt;""),'Q32026'!G79,"")</f>
        <v/>
      </c>
      <c r="H238" t="str">
        <f>IF(AND('Q32026'!B79&lt;&gt;"",'Q32026'!E79&lt;&gt;""),"Q32026","")</f>
        <v/>
      </c>
      <c r="I238" t="str">
        <f>IF(A238="Q12026",COUNTIF($A$2:$A238,"Q12026"),"")</f>
        <v/>
      </c>
      <c r="J238" t="str">
        <f>IF(A238="Q22026",COUNTIF($A$2:$A238,"Q22026"),"")</f>
        <v/>
      </c>
      <c r="K238" t="str">
        <f>IF(A238="Q32026",COUNTIF($A$2:$A238,"Q32026"),"")</f>
        <v/>
      </c>
      <c r="L238" t="str">
        <f>IF(A238="Q42026",COUNTIF($A$2:$A238,"Q42026"),"")</f>
        <v/>
      </c>
      <c r="M238" t="str">
        <f>IF(A238="Backlog",COUNTIF($A$2:$A238,"Backlog"),"")</f>
        <v/>
      </c>
    </row>
    <row r="239" spans="1:13">
      <c r="A239" t="str">
        <f>IF(AND('Q32026'!B80&lt;&gt;"",'Q32026'!E80&lt;&gt;""),'Q32026'!E80,"")</f>
        <v/>
      </c>
      <c r="B239" t="str">
        <f>IF(AND('Q32026'!B80&lt;&gt;"",'Q32026'!E80&lt;&gt;""),'Q32026'!B80,"")</f>
        <v/>
      </c>
      <c r="C239" t="str">
        <f>IF(AND('Q32026'!B80&lt;&gt;"",'Q32026'!E80&lt;&gt;""),'Q32026'!C80,"")</f>
        <v/>
      </c>
      <c r="D239" t="str">
        <f>IF(AND('Q32026'!B80&lt;&gt;"",'Q32026'!E80&lt;&gt;""),'Q32026'!D80,"")</f>
        <v/>
      </c>
      <c r="E239" t="str">
        <f>IF(AND('Q32026'!B80&lt;&gt;"",'Q32026'!E80&lt;&gt;""),'Q32026'!H80,"")</f>
        <v/>
      </c>
      <c r="F239" t="str">
        <f>IF(AND('Q32026'!B80&lt;&gt;"",'Q32026'!E80&lt;&gt;""),'Q32026'!F80,"")</f>
        <v/>
      </c>
      <c r="G239" t="str">
        <f>IF(AND('Q32026'!B80&lt;&gt;"",'Q32026'!E80&lt;&gt;""),'Q32026'!G80,"")</f>
        <v/>
      </c>
      <c r="H239" t="str">
        <f>IF(AND('Q32026'!B80&lt;&gt;"",'Q32026'!E80&lt;&gt;""),"Q32026","")</f>
        <v/>
      </c>
      <c r="I239" t="str">
        <f>IF(A239="Q12026",COUNTIF($A$2:$A239,"Q12026"),"")</f>
        <v/>
      </c>
      <c r="J239" t="str">
        <f>IF(A239="Q22026",COUNTIF($A$2:$A239,"Q22026"),"")</f>
        <v/>
      </c>
      <c r="K239" t="str">
        <f>IF(A239="Q32026",COUNTIF($A$2:$A239,"Q32026"),"")</f>
        <v/>
      </c>
      <c r="L239" t="str">
        <f>IF(A239="Q42026",COUNTIF($A$2:$A239,"Q42026"),"")</f>
        <v/>
      </c>
      <c r="M239" t="str">
        <f>IF(A239="Backlog",COUNTIF($A$2:$A239,"Backlog"),"")</f>
        <v/>
      </c>
    </row>
    <row r="240" spans="1:13">
      <c r="A240" t="str">
        <f>IF(AND('Q32026'!B81&lt;&gt;"",'Q32026'!E81&lt;&gt;""),'Q32026'!E81,"")</f>
        <v/>
      </c>
      <c r="B240" t="str">
        <f>IF(AND('Q32026'!B81&lt;&gt;"",'Q32026'!E81&lt;&gt;""),'Q32026'!B81,"")</f>
        <v/>
      </c>
      <c r="C240" t="str">
        <f>IF(AND('Q32026'!B81&lt;&gt;"",'Q32026'!E81&lt;&gt;""),'Q32026'!C81,"")</f>
        <v/>
      </c>
      <c r="D240" t="str">
        <f>IF(AND('Q32026'!B81&lt;&gt;"",'Q32026'!E81&lt;&gt;""),'Q32026'!D81,"")</f>
        <v/>
      </c>
      <c r="E240" t="str">
        <f>IF(AND('Q32026'!B81&lt;&gt;"",'Q32026'!E81&lt;&gt;""),'Q32026'!H81,"")</f>
        <v/>
      </c>
      <c r="F240" t="str">
        <f>IF(AND('Q32026'!B81&lt;&gt;"",'Q32026'!E81&lt;&gt;""),'Q32026'!F81,"")</f>
        <v/>
      </c>
      <c r="G240" t="str">
        <f>IF(AND('Q32026'!B81&lt;&gt;"",'Q32026'!E81&lt;&gt;""),'Q32026'!G81,"")</f>
        <v/>
      </c>
      <c r="H240" t="str">
        <f>IF(AND('Q32026'!B81&lt;&gt;"",'Q32026'!E81&lt;&gt;""),"Q32026","")</f>
        <v/>
      </c>
      <c r="I240" t="str">
        <f>IF(A240="Q12026",COUNTIF($A$2:$A240,"Q12026"),"")</f>
        <v/>
      </c>
      <c r="J240" t="str">
        <f>IF(A240="Q22026",COUNTIF($A$2:$A240,"Q22026"),"")</f>
        <v/>
      </c>
      <c r="K240" t="str">
        <f>IF(A240="Q32026",COUNTIF($A$2:$A240,"Q32026"),"")</f>
        <v/>
      </c>
      <c r="L240" t="str">
        <f>IF(A240="Q42026",COUNTIF($A$2:$A240,"Q42026"),"")</f>
        <v/>
      </c>
      <c r="M240" t="str">
        <f>IF(A240="Backlog",COUNTIF($A$2:$A240,"Backlog"),"")</f>
        <v/>
      </c>
    </row>
    <row r="241" spans="1:13">
      <c r="A241" t="str">
        <f>IF(AND('Q32026'!B82&lt;&gt;"",'Q32026'!E82&lt;&gt;""),'Q32026'!E82,"")</f>
        <v/>
      </c>
      <c r="B241" t="str">
        <f>IF(AND('Q32026'!B82&lt;&gt;"",'Q32026'!E82&lt;&gt;""),'Q32026'!B82,"")</f>
        <v/>
      </c>
      <c r="C241" t="str">
        <f>IF(AND('Q32026'!B82&lt;&gt;"",'Q32026'!E82&lt;&gt;""),'Q32026'!C82,"")</f>
        <v/>
      </c>
      <c r="D241" t="str">
        <f>IF(AND('Q32026'!B82&lt;&gt;"",'Q32026'!E82&lt;&gt;""),'Q32026'!D82,"")</f>
        <v/>
      </c>
      <c r="E241" t="str">
        <f>IF(AND('Q32026'!B82&lt;&gt;"",'Q32026'!E82&lt;&gt;""),'Q32026'!H82,"")</f>
        <v/>
      </c>
      <c r="F241" t="str">
        <f>IF(AND('Q32026'!B82&lt;&gt;"",'Q32026'!E82&lt;&gt;""),'Q32026'!F82,"")</f>
        <v/>
      </c>
      <c r="G241" t="str">
        <f>IF(AND('Q32026'!B82&lt;&gt;"",'Q32026'!E82&lt;&gt;""),'Q32026'!G82,"")</f>
        <v/>
      </c>
      <c r="H241" t="str">
        <f>IF(AND('Q32026'!B82&lt;&gt;"",'Q32026'!E82&lt;&gt;""),"Q32026","")</f>
        <v/>
      </c>
      <c r="I241" t="str">
        <f>IF(A241="Q12026",COUNTIF($A$2:$A241,"Q12026"),"")</f>
        <v/>
      </c>
      <c r="J241" t="str">
        <f>IF(A241="Q22026",COUNTIF($A$2:$A241,"Q22026"),"")</f>
        <v/>
      </c>
      <c r="K241" t="str">
        <f>IF(A241="Q32026",COUNTIF($A$2:$A241,"Q32026"),"")</f>
        <v/>
      </c>
      <c r="L241" t="str">
        <f>IF(A241="Q42026",COUNTIF($A$2:$A241,"Q42026"),"")</f>
        <v/>
      </c>
      <c r="M241" t="str">
        <f>IF(A241="Backlog",COUNTIF($A$2:$A241,"Backlog"),"")</f>
        <v/>
      </c>
    </row>
    <row r="242" spans="1:13">
      <c r="A242" t="str">
        <f>IF(AND('Q42026'!B3&lt;&gt;"",'Q42026'!E3&lt;&gt;""),'Q42026'!E3,"")</f>
        <v>Q42026</v>
      </c>
      <c r="B242" t="str">
        <f>IF(AND('Q42026'!B3&lt;&gt;"",'Q42026'!E3&lt;&gt;""),'Q42026'!B3,"")</f>
        <v>ReFund Zahlung POS | Refund bei Adyen | Pfand-Gutschrift bei Kartenzahlung</v>
      </c>
      <c r="C242">
        <f>IF(AND('Q42026'!B3&lt;&gt;"",'Q42026'!E3&lt;&gt;""),'Q42026'!C3,"")</f>
        <v>0</v>
      </c>
      <c r="D242">
        <f>IF(AND('Q42026'!B3&lt;&gt;"",'Q42026'!E3&lt;&gt;""),'Q42026'!D3,"")</f>
        <v>0</v>
      </c>
      <c r="E242" t="str">
        <f>IF(AND('Q42026'!B3&lt;&gt;"",'Q42026'!E3&lt;&gt;""),'Q42026'!H3,"")</f>
        <v/>
      </c>
      <c r="F242">
        <f>IF(AND('Q42026'!B3&lt;&gt;"",'Q42026'!E3&lt;&gt;""),'Q42026'!F3,"")</f>
        <v>0</v>
      </c>
      <c r="G242">
        <f>IF(AND('Q42026'!B3&lt;&gt;"",'Q42026'!E3&lt;&gt;""),'Q42026'!G3,"")</f>
        <v>0</v>
      </c>
      <c r="H242" t="str">
        <f>IF(AND('Q42026'!B3&lt;&gt;"",'Q42026'!E3&lt;&gt;""),"Q42026","")</f>
        <v>Q42026</v>
      </c>
      <c r="I242" t="str">
        <f>IF(A242="Q12026",COUNTIF($A$2:$A242,"Q12026"),"")</f>
        <v/>
      </c>
      <c r="J242" t="str">
        <f>IF(A242="Q22026",COUNTIF($A$2:$A242,"Q22026"),"")</f>
        <v/>
      </c>
      <c r="K242" t="str">
        <f>IF(A242="Q32026",COUNTIF($A$2:$A242,"Q32026"),"")</f>
        <v/>
      </c>
      <c r="L242">
        <f>IF(A242="Q42026",COUNTIF($A$2:$A242,"Q42026"),"")</f>
        <v>1</v>
      </c>
      <c r="M242" t="str">
        <f>IF(A242="Backlog",COUNTIF($A$2:$A242,"Backlog"),"")</f>
        <v/>
      </c>
    </row>
    <row r="243" spans="1:13">
      <c r="A243" t="str">
        <f>IF(AND('Q42026'!B4&lt;&gt;"",'Q42026'!E4&lt;&gt;""),'Q42026'!E4,"")</f>
        <v>Q42026</v>
      </c>
      <c r="B243" t="str">
        <f>IF(AND('Q42026'!B4&lt;&gt;"",'Q42026'!E4&lt;&gt;""),'Q42026'!B4,"")</f>
        <v>Abholmonitor (ggf. extern) | API</v>
      </c>
      <c r="C243">
        <f>IF(AND('Q42026'!B4&lt;&gt;"",'Q42026'!E4&lt;&gt;""),'Q42026'!C4,"")</f>
        <v>0</v>
      </c>
      <c r="D243">
        <f>IF(AND('Q42026'!B4&lt;&gt;"",'Q42026'!E4&lt;&gt;""),'Q42026'!D4,"")</f>
        <v>0</v>
      </c>
      <c r="E243" t="str">
        <f>IF(AND('Q42026'!B4&lt;&gt;"",'Q42026'!E4&lt;&gt;""),'Q42026'!H4,"")</f>
        <v/>
      </c>
      <c r="F243">
        <f>IF(AND('Q42026'!B4&lt;&gt;"",'Q42026'!E4&lt;&gt;""),'Q42026'!F4,"")</f>
        <v>0</v>
      </c>
      <c r="G243">
        <f>IF(AND('Q42026'!B4&lt;&gt;"",'Q42026'!E4&lt;&gt;""),'Q42026'!G4,"")</f>
        <v>0</v>
      </c>
      <c r="H243" t="str">
        <f>IF(AND('Q42026'!B4&lt;&gt;"",'Q42026'!E4&lt;&gt;""),"Q42026","")</f>
        <v>Q42026</v>
      </c>
      <c r="I243" t="str">
        <f>IF(A243="Q12026",COUNTIF($A$2:$A243,"Q12026"),"")</f>
        <v/>
      </c>
      <c r="J243" t="str">
        <f>IF(A243="Q22026",COUNTIF($A$2:$A243,"Q22026"),"")</f>
        <v/>
      </c>
      <c r="K243" t="str">
        <f>IF(A243="Q32026",COUNTIF($A$2:$A243,"Q32026"),"")</f>
        <v/>
      </c>
      <c r="L243">
        <f>IF(A243="Q42026",COUNTIF($A$2:$A243,"Q42026"),"")</f>
        <v>2</v>
      </c>
      <c r="M243" t="str">
        <f>IF(A243="Backlog",COUNTIF($A$2:$A243,"Backlog"),"")</f>
        <v/>
      </c>
    </row>
    <row r="244" spans="1:13">
      <c r="A244" t="str">
        <f>IF(AND('Q42026'!B5&lt;&gt;"",'Q42026'!E5&lt;&gt;""),'Q42026'!E5,"")</f>
        <v>Q42026</v>
      </c>
      <c r="B244" t="str">
        <f>IF(AND('Q42026'!B5&lt;&gt;"",'Q42026'!E5&lt;&gt;""),'Q42026'!B5,"")</f>
        <v>Portal &amp; POS - UX Update (1)</v>
      </c>
      <c r="C244">
        <f>IF(AND('Q42026'!B5&lt;&gt;"",'Q42026'!E5&lt;&gt;""),'Q42026'!C5,"")</f>
        <v>0</v>
      </c>
      <c r="D244">
        <f>IF(AND('Q42026'!B5&lt;&gt;"",'Q42026'!E5&lt;&gt;""),'Q42026'!D5,"")</f>
        <v>0</v>
      </c>
      <c r="E244" t="str">
        <f>IF(AND('Q42026'!B5&lt;&gt;"",'Q42026'!E5&lt;&gt;""),'Q42026'!H5,"")</f>
        <v/>
      </c>
      <c r="F244">
        <f>IF(AND('Q42026'!B5&lt;&gt;"",'Q42026'!E5&lt;&gt;""),'Q42026'!F5,"")</f>
        <v>0</v>
      </c>
      <c r="G244">
        <f>IF(AND('Q42026'!B5&lt;&gt;"",'Q42026'!E5&lt;&gt;""),'Q42026'!G5,"")</f>
        <v>0</v>
      </c>
      <c r="H244" t="str">
        <f>IF(AND('Q42026'!B5&lt;&gt;"",'Q42026'!E5&lt;&gt;""),"Q42026","")</f>
        <v>Q42026</v>
      </c>
      <c r="I244" t="str">
        <f>IF(A244="Q12026",COUNTIF($A$2:$A244,"Q12026"),"")</f>
        <v/>
      </c>
      <c r="J244" t="str">
        <f>IF(A244="Q22026",COUNTIF($A$2:$A244,"Q22026"),"")</f>
        <v/>
      </c>
      <c r="K244" t="str">
        <f>IF(A244="Q32026",COUNTIF($A$2:$A244,"Q32026"),"")</f>
        <v/>
      </c>
      <c r="L244">
        <f>IF(A244="Q42026",COUNTIF($A$2:$A244,"Q42026"),"")</f>
        <v>3</v>
      </c>
      <c r="M244" t="str">
        <f>IF(A244="Backlog",COUNTIF($A$2:$A244,"Backlog"),"")</f>
        <v/>
      </c>
    </row>
    <row r="245" spans="1:13">
      <c r="A245" t="str">
        <f>IF(AND('Q42026'!B6&lt;&gt;"",'Q42026'!E6&lt;&gt;""),'Q42026'!E6,"")</f>
        <v>Q42026</v>
      </c>
      <c r="B245" t="str">
        <f>IF(AND('Q42026'!B6&lt;&gt;"",'Q42026'!E6&lt;&gt;""),'Q42026'!B6,"")</f>
        <v>Artikelbestandteile im eCom abwählen</v>
      </c>
      <c r="C245">
        <f>IF(AND('Q42026'!B6&lt;&gt;"",'Q42026'!E6&lt;&gt;""),'Q42026'!C6,"")</f>
        <v>0</v>
      </c>
      <c r="D245">
        <f>IF(AND('Q42026'!B6&lt;&gt;"",'Q42026'!E6&lt;&gt;""),'Q42026'!D6,"")</f>
        <v>0</v>
      </c>
      <c r="E245" t="str">
        <f>IF(AND('Q42026'!B6&lt;&gt;"",'Q42026'!E6&lt;&gt;""),'Q42026'!H6,"")</f>
        <v/>
      </c>
      <c r="F245">
        <f>IF(AND('Q42026'!B6&lt;&gt;"",'Q42026'!E6&lt;&gt;""),'Q42026'!F6,"")</f>
        <v>0</v>
      </c>
      <c r="G245">
        <f>IF(AND('Q42026'!B6&lt;&gt;"",'Q42026'!E6&lt;&gt;""),'Q42026'!G6,"")</f>
        <v>0</v>
      </c>
      <c r="H245" t="str">
        <f>IF(AND('Q42026'!B6&lt;&gt;"",'Q42026'!E6&lt;&gt;""),"Q42026","")</f>
        <v>Q42026</v>
      </c>
      <c r="I245" t="str">
        <f>IF(A245="Q12026",COUNTIF($A$2:$A245,"Q12026"),"")</f>
        <v/>
      </c>
      <c r="J245" t="str">
        <f>IF(A245="Q22026",COUNTIF($A$2:$A245,"Q22026"),"")</f>
        <v/>
      </c>
      <c r="K245" t="str">
        <f>IF(A245="Q32026",COUNTIF($A$2:$A245,"Q32026"),"")</f>
        <v/>
      </c>
      <c r="L245">
        <f>IF(A245="Q42026",COUNTIF($A$2:$A245,"Q42026"),"")</f>
        <v>4</v>
      </c>
      <c r="M245" t="str">
        <f>IF(A245="Backlog",COUNTIF($A$2:$A245,"Backlog"),"")</f>
        <v/>
      </c>
    </row>
    <row r="246" spans="1:13">
      <c r="A246" t="str">
        <f>IF(AND('Q42026'!B7&lt;&gt;"",'Q42026'!E7&lt;&gt;""),'Q42026'!E7,"")</f>
        <v>Q42026</v>
      </c>
      <c r="B246" t="str">
        <f>IF(AND('Q42026'!B7&lt;&gt;"",'Q42026'!E7&lt;&gt;""),'Q42026'!B7,"")</f>
        <v>KPI Dashboard mit KI</v>
      </c>
      <c r="C246">
        <f>IF(AND('Q42026'!B7&lt;&gt;"",'Q42026'!E7&lt;&gt;""),'Q42026'!C7,"")</f>
        <v>0</v>
      </c>
      <c r="D246">
        <f>IF(AND('Q42026'!B7&lt;&gt;"",'Q42026'!E7&lt;&gt;""),'Q42026'!D7,"")</f>
        <v>0</v>
      </c>
      <c r="E246" t="str">
        <f>IF(AND('Q42026'!B7&lt;&gt;"",'Q42026'!E7&lt;&gt;""),'Q42026'!H7,"")</f>
        <v/>
      </c>
      <c r="F246">
        <f>IF(AND('Q42026'!B7&lt;&gt;"",'Q42026'!E7&lt;&gt;""),'Q42026'!F7,"")</f>
        <v>0</v>
      </c>
      <c r="G246">
        <f>IF(AND('Q42026'!B7&lt;&gt;"",'Q42026'!E7&lt;&gt;""),'Q42026'!G7,"")</f>
        <v>0</v>
      </c>
      <c r="H246" t="str">
        <f>IF(AND('Q42026'!B7&lt;&gt;"",'Q42026'!E7&lt;&gt;""),"Q42026","")</f>
        <v>Q42026</v>
      </c>
      <c r="I246" t="str">
        <f>IF(A246="Q12026",COUNTIF($A$2:$A246,"Q12026"),"")</f>
        <v/>
      </c>
      <c r="J246" t="str">
        <f>IF(A246="Q22026",COUNTIF($A$2:$A246,"Q22026"),"")</f>
        <v/>
      </c>
      <c r="K246" t="str">
        <f>IF(A246="Q32026",COUNTIF($A$2:$A246,"Q32026"),"")</f>
        <v/>
      </c>
      <c r="L246">
        <f>IF(A246="Q42026",COUNTIF($A$2:$A246,"Q42026"),"")</f>
        <v>5</v>
      </c>
      <c r="M246" t="str">
        <f>IF(A246="Backlog",COUNTIF($A$2:$A246,"Backlog"),"")</f>
        <v/>
      </c>
    </row>
    <row r="247" spans="1:13">
      <c r="A247" t="str">
        <f>IF(AND('Q42026'!B8&lt;&gt;"",'Q42026'!E8&lt;&gt;""),'Q42026'!E8,"")</f>
        <v>Q42026</v>
      </c>
      <c r="B247" t="str">
        <f>IF(AND('Q42026'!B8&lt;&gt;"",'Q42026'!E8&lt;&gt;""),'Q42026'!B8,"")</f>
        <v>Loyalty (4) | DataWarehouse und KI NOCH NICHT GEPLANT</v>
      </c>
      <c r="C247">
        <f>IF(AND('Q42026'!B8&lt;&gt;"",'Q42026'!E8&lt;&gt;""),'Q42026'!C8,"")</f>
        <v>0</v>
      </c>
      <c r="D247">
        <f>IF(AND('Q42026'!B8&lt;&gt;"",'Q42026'!E8&lt;&gt;""),'Q42026'!D8,"")</f>
        <v>0</v>
      </c>
      <c r="E247" t="str">
        <f>IF(AND('Q42026'!B8&lt;&gt;"",'Q42026'!E8&lt;&gt;""),'Q42026'!H8,"")</f>
        <v/>
      </c>
      <c r="F247">
        <f>IF(AND('Q42026'!B8&lt;&gt;"",'Q42026'!E8&lt;&gt;""),'Q42026'!F8,"")</f>
        <v>0</v>
      </c>
      <c r="G247">
        <f>IF(AND('Q42026'!B8&lt;&gt;"",'Q42026'!E8&lt;&gt;""),'Q42026'!G8,"")</f>
        <v>0</v>
      </c>
      <c r="H247" t="str">
        <f>IF(AND('Q42026'!B8&lt;&gt;"",'Q42026'!E8&lt;&gt;""),"Q42026","")</f>
        <v>Q42026</v>
      </c>
      <c r="I247" t="str">
        <f>IF(A247="Q12026",COUNTIF($A$2:$A247,"Q12026"),"")</f>
        <v/>
      </c>
      <c r="J247" t="str">
        <f>IF(A247="Q22026",COUNTIF($A$2:$A247,"Q22026"),"")</f>
        <v/>
      </c>
      <c r="K247" t="str">
        <f>IF(A247="Q32026",COUNTIF($A$2:$A247,"Q32026"),"")</f>
        <v/>
      </c>
      <c r="L247">
        <f>IF(A247="Q42026",COUNTIF($A$2:$A247,"Q42026"),"")</f>
        <v>6</v>
      </c>
      <c r="M247" t="str">
        <f>IF(A247="Backlog",COUNTIF($A$2:$A247,"Backlog"),"")</f>
        <v/>
      </c>
    </row>
    <row r="248" spans="1:13">
      <c r="A248" t="str">
        <f>IF(AND('Q42026'!B9&lt;&gt;"",'Q42026'!E9&lt;&gt;""),'Q42026'!E9,"")</f>
        <v>Q42026</v>
      </c>
      <c r="B248" t="str">
        <f>IF(AND('Q42026'!B9&lt;&gt;"",'Q42026'!E9&lt;&gt;""),'Q42026'!B9,"")</f>
        <v>Jouney Gaps  (3)</v>
      </c>
      <c r="C248">
        <f>IF(AND('Q42026'!B9&lt;&gt;"",'Q42026'!E9&lt;&gt;""),'Q42026'!C9,"")</f>
        <v>0</v>
      </c>
      <c r="D248">
        <f>IF(AND('Q42026'!B9&lt;&gt;"",'Q42026'!E9&lt;&gt;""),'Q42026'!D9,"")</f>
        <v>0</v>
      </c>
      <c r="E248" t="str">
        <f>IF(AND('Q42026'!B9&lt;&gt;"",'Q42026'!E9&lt;&gt;""),'Q42026'!H9,"")</f>
        <v/>
      </c>
      <c r="F248">
        <f>IF(AND('Q42026'!B9&lt;&gt;"",'Q42026'!E9&lt;&gt;""),'Q42026'!F9,"")</f>
        <v>0</v>
      </c>
      <c r="G248">
        <f>IF(AND('Q42026'!B9&lt;&gt;"",'Q42026'!E9&lt;&gt;""),'Q42026'!G9,"")</f>
        <v>0</v>
      </c>
      <c r="H248" t="str">
        <f>IF(AND('Q42026'!B9&lt;&gt;"",'Q42026'!E9&lt;&gt;""),"Q42026","")</f>
        <v>Q42026</v>
      </c>
      <c r="I248" t="str">
        <f>IF(A248="Q12026",COUNTIF($A$2:$A248,"Q12026"),"")</f>
        <v/>
      </c>
      <c r="J248" t="str">
        <f>IF(A248="Q22026",COUNTIF($A$2:$A248,"Q22026"),"")</f>
        <v/>
      </c>
      <c r="K248" t="str">
        <f>IF(A248="Q32026",COUNTIF($A$2:$A248,"Q32026"),"")</f>
        <v/>
      </c>
      <c r="L248">
        <f>IF(A248="Q42026",COUNTIF($A$2:$A248,"Q42026"),"")</f>
        <v>7</v>
      </c>
      <c r="M248" t="str">
        <f>IF(A248="Backlog",COUNTIF($A$2:$A248,"Backlog"),"")</f>
        <v/>
      </c>
    </row>
    <row r="249" spans="1:13">
      <c r="A249" t="str">
        <f>IF(AND('Q42026'!B10&lt;&gt;"",'Q42026'!E10&lt;&gt;""),'Q42026'!E10,"")</f>
        <v>Q42026</v>
      </c>
      <c r="B249" t="str">
        <f>IF(AND('Q42026'!B10&lt;&gt;"",'Q42026'!E10&lt;&gt;""),'Q42026'!B10,"")</f>
        <v>Artikelgenaue Übergabe an PMS-Interface (MEWS)</v>
      </c>
      <c r="C249">
        <f>IF(AND('Q42026'!B10&lt;&gt;"",'Q42026'!E10&lt;&gt;""),'Q42026'!C10,"")</f>
        <v>0</v>
      </c>
      <c r="D249" t="str">
        <f>IF(AND('Q42026'!B10&lt;&gt;"",'Q42026'!E10&lt;&gt;""),'Q42026'!D10,"")</f>
        <v>Strengthen</v>
      </c>
      <c r="E249" t="str">
        <f>IF(AND('Q42026'!B10&lt;&gt;"",'Q42026'!E10&lt;&gt;""),'Q42026'!H10,"")</f>
        <v/>
      </c>
      <c r="F249" t="str">
        <f>IF(AND('Q42026'!B10&lt;&gt;"",'Q42026'!E10&lt;&gt;""),'Q42026'!F10,"")</f>
        <v>Should</v>
      </c>
      <c r="G249">
        <f>IF(AND('Q42026'!B10&lt;&gt;"",'Q42026'!E10&lt;&gt;""),'Q42026'!G10,"")</f>
        <v>0</v>
      </c>
      <c r="H249" t="str">
        <f>IF(AND('Q42026'!B10&lt;&gt;"",'Q42026'!E10&lt;&gt;""),"Q42026","")</f>
        <v>Q42026</v>
      </c>
      <c r="I249" t="str">
        <f>IF(A249="Q12026",COUNTIF($A$2:$A249,"Q12026"),"")</f>
        <v/>
      </c>
      <c r="J249" t="str">
        <f>IF(A249="Q22026",COUNTIF($A$2:$A249,"Q22026"),"")</f>
        <v/>
      </c>
      <c r="K249" t="str">
        <f>IF(A249="Q32026",COUNTIF($A$2:$A249,"Q32026"),"")</f>
        <v/>
      </c>
      <c r="L249">
        <f>IF(A249="Q42026",COUNTIF($A$2:$A249,"Q42026"),"")</f>
        <v>8</v>
      </c>
      <c r="M249" t="str">
        <f>IF(A249="Backlog",COUNTIF($A$2:$A249,"Backlog"),"")</f>
        <v/>
      </c>
    </row>
    <row r="250" spans="1:13">
      <c r="A250" t="str">
        <f>IF(AND('Q42026'!B11&lt;&gt;"",'Q42026'!E11&lt;&gt;""),'Q42026'!E11,"")</f>
        <v>Q42026</v>
      </c>
      <c r="B250" t="str">
        <f>IF(AND('Q42026'!B11&lt;&gt;"",'Q42026'!E11&lt;&gt;""),'Q42026'!B11,"")</f>
        <v>ePOS Campaigns</v>
      </c>
      <c r="C250">
        <f>IF(AND('Q42026'!B11&lt;&gt;"",'Q42026'!E11&lt;&gt;""),'Q42026'!C11,"")</f>
        <v>0</v>
      </c>
      <c r="D250" t="str">
        <f>IF(AND('Q42026'!B11&lt;&gt;"",'Q42026'!E11&lt;&gt;""),'Q42026'!D11,"")</f>
        <v>Repair</v>
      </c>
      <c r="E250" t="str">
        <f>IF(AND('Q42026'!B11&lt;&gt;"",'Q42026'!E11&lt;&gt;""),'Q42026'!H11,"")</f>
        <v/>
      </c>
      <c r="F250" t="str">
        <f>IF(AND('Q42026'!B11&lt;&gt;"",'Q42026'!E11&lt;&gt;""),'Q42026'!F11,"")</f>
        <v>Should</v>
      </c>
      <c r="G250">
        <f>IF(AND('Q42026'!B11&lt;&gt;"",'Q42026'!E11&lt;&gt;""),'Q42026'!G11,"")</f>
        <v>0</v>
      </c>
      <c r="H250" t="str">
        <f>IF(AND('Q42026'!B11&lt;&gt;"",'Q42026'!E11&lt;&gt;""),"Q42026","")</f>
        <v>Q42026</v>
      </c>
      <c r="I250" t="str">
        <f>IF(A250="Q12026",COUNTIF($A$2:$A250,"Q12026"),"")</f>
        <v/>
      </c>
      <c r="J250" t="str">
        <f>IF(A250="Q22026",COUNTIF($A$2:$A250,"Q22026"),"")</f>
        <v/>
      </c>
      <c r="K250" t="str">
        <f>IF(A250="Q32026",COUNTIF($A$2:$A250,"Q32026"),"")</f>
        <v/>
      </c>
      <c r="L250">
        <f>IF(A250="Q42026",COUNTIF($A$2:$A250,"Q42026"),"")</f>
        <v>9</v>
      </c>
      <c r="M250" t="str">
        <f>IF(A250="Backlog",COUNTIF($A$2:$A250,"Backlog"),"")</f>
        <v/>
      </c>
    </row>
    <row r="251" spans="1:13">
      <c r="A251" t="str">
        <f>IF(AND('Q42026'!B12&lt;&gt;"",'Q42026'!E12&lt;&gt;""),'Q42026'!E12,"")</f>
        <v>Q42026</v>
      </c>
      <c r="B251" t="str">
        <f>IF(AND('Q42026'!B12&lt;&gt;"",'Q42026'!E12&lt;&gt;""),'Q42026'!B12,"")</f>
        <v>Deaktivierung von Order Channel an POS</v>
      </c>
      <c r="C251">
        <f>IF(AND('Q42026'!B12&lt;&gt;"",'Q42026'!E12&lt;&gt;""),'Q42026'!C12,"")</f>
        <v>0</v>
      </c>
      <c r="D251" t="str">
        <f>IF(AND('Q42026'!B12&lt;&gt;"",'Q42026'!E12&lt;&gt;""),'Q42026'!D12,"")</f>
        <v>Innovation</v>
      </c>
      <c r="E251" t="str">
        <f>IF(AND('Q42026'!B12&lt;&gt;"",'Q42026'!E12&lt;&gt;""),'Q42026'!H12,"")</f>
        <v/>
      </c>
      <c r="F251" t="str">
        <f>IF(AND('Q42026'!B12&lt;&gt;"",'Q42026'!E12&lt;&gt;""),'Q42026'!F12,"")</f>
        <v>Should</v>
      </c>
      <c r="G251">
        <f>IF(AND('Q42026'!B12&lt;&gt;"",'Q42026'!E12&lt;&gt;""),'Q42026'!G12,"")</f>
        <v>0</v>
      </c>
      <c r="H251" t="str">
        <f>IF(AND('Q42026'!B12&lt;&gt;"",'Q42026'!E12&lt;&gt;""),"Q42026","")</f>
        <v>Q42026</v>
      </c>
      <c r="I251" t="str">
        <f>IF(A251="Q12026",COUNTIF($A$2:$A251,"Q12026"),"")</f>
        <v/>
      </c>
      <c r="J251" t="str">
        <f>IF(A251="Q22026",COUNTIF($A$2:$A251,"Q22026"),"")</f>
        <v/>
      </c>
      <c r="K251" t="str">
        <f>IF(A251="Q32026",COUNTIF($A$2:$A251,"Q32026"),"")</f>
        <v/>
      </c>
      <c r="L251">
        <f>IF(A251="Q42026",COUNTIF($A$2:$A251,"Q42026"),"")</f>
        <v>10</v>
      </c>
      <c r="M251" t="str">
        <f>IF(A251="Backlog",COUNTIF($A$2:$A251,"Backlog"),"")</f>
        <v/>
      </c>
    </row>
    <row r="252" spans="1:13">
      <c r="A252" t="str">
        <f>IF(AND('Q42026'!B13&lt;&gt;"",'Q42026'!E13&lt;&gt;""),'Q42026'!E13,"")</f>
        <v>Q42026</v>
      </c>
      <c r="B252" t="str">
        <f>IF(AND('Q42026'!B13&lt;&gt;"",'Q42026'!E13&lt;&gt;""),'Q42026'!B13,"")</f>
        <v>Accounting in YourAPP</v>
      </c>
      <c r="C252">
        <f>IF(AND('Q42026'!B13&lt;&gt;"",'Q42026'!E13&lt;&gt;""),'Q42026'!C13,"")</f>
        <v>0</v>
      </c>
      <c r="D252" t="str">
        <f>IF(AND('Q42026'!B13&lt;&gt;"",'Q42026'!E13&lt;&gt;""),'Q42026'!D13,"")</f>
        <v>Innovation</v>
      </c>
      <c r="E252" t="str">
        <f>IF(AND('Q42026'!B13&lt;&gt;"",'Q42026'!E13&lt;&gt;""),'Q42026'!H13,"")</f>
        <v/>
      </c>
      <c r="F252" t="str">
        <f>IF(AND('Q42026'!B13&lt;&gt;"",'Q42026'!E13&lt;&gt;""),'Q42026'!F13,"")</f>
        <v>Could</v>
      </c>
      <c r="G252">
        <f>IF(AND('Q42026'!B13&lt;&gt;"",'Q42026'!E13&lt;&gt;""),'Q42026'!G13,"")</f>
        <v>0</v>
      </c>
      <c r="H252" t="str">
        <f>IF(AND('Q42026'!B13&lt;&gt;"",'Q42026'!E13&lt;&gt;""),"Q42026","")</f>
        <v>Q42026</v>
      </c>
      <c r="I252" t="str">
        <f>IF(A252="Q12026",COUNTIF($A$2:$A252,"Q12026"),"")</f>
        <v/>
      </c>
      <c r="J252" t="str">
        <f>IF(A252="Q22026",COUNTIF($A$2:$A252,"Q22026"),"")</f>
        <v/>
      </c>
      <c r="K252" t="str">
        <f>IF(A252="Q32026",COUNTIF($A$2:$A252,"Q32026"),"")</f>
        <v/>
      </c>
      <c r="L252">
        <f>IF(A252="Q42026",COUNTIF($A$2:$A252,"Q42026"),"")</f>
        <v>11</v>
      </c>
      <c r="M252" t="str">
        <f>IF(A252="Backlog",COUNTIF($A$2:$A252,"Backlog"),"")</f>
        <v/>
      </c>
    </row>
    <row r="253" spans="1:13">
      <c r="A253" t="str">
        <f>IF(AND('Q42026'!B14&lt;&gt;"",'Q42026'!E14&lt;&gt;""),'Q42026'!E14,"")</f>
        <v>Q42026</v>
      </c>
      <c r="B253" t="str">
        <f>IF(AND('Q42026'!B14&lt;&gt;"",'Q42026'!E14&lt;&gt;""),'Q42026'!B14,"")</f>
        <v>Signum Orga-Soft API erweitern</v>
      </c>
      <c r="C253">
        <f>IF(AND('Q42026'!B14&lt;&gt;"",'Q42026'!E14&lt;&gt;""),'Q42026'!C14,"")</f>
        <v>0</v>
      </c>
      <c r="D253" t="str">
        <f>IF(AND('Q42026'!B14&lt;&gt;"",'Q42026'!E14&lt;&gt;""),'Q42026'!D14,"")</f>
        <v>Strengthen</v>
      </c>
      <c r="E253" t="str">
        <f>IF(AND('Q42026'!B14&lt;&gt;"",'Q42026'!E14&lt;&gt;""),'Q42026'!H14,"")</f>
        <v/>
      </c>
      <c r="F253">
        <f>IF(AND('Q42026'!B14&lt;&gt;"",'Q42026'!E14&lt;&gt;""),'Q42026'!F14,"")</f>
        <v>0</v>
      </c>
      <c r="G253">
        <f>IF(AND('Q42026'!B14&lt;&gt;"",'Q42026'!E14&lt;&gt;""),'Q42026'!G14,"")</f>
        <v>0</v>
      </c>
      <c r="H253" t="str">
        <f>IF(AND('Q42026'!B14&lt;&gt;"",'Q42026'!E14&lt;&gt;""),"Q42026","")</f>
        <v>Q42026</v>
      </c>
      <c r="I253" t="str">
        <f>IF(A253="Q12026",COUNTIF($A$2:$A253,"Q12026"),"")</f>
        <v/>
      </c>
      <c r="J253" t="str">
        <f>IF(A253="Q22026",COUNTIF($A$2:$A253,"Q22026"),"")</f>
        <v/>
      </c>
      <c r="K253" t="str">
        <f>IF(A253="Q32026",COUNTIF($A$2:$A253,"Q32026"),"")</f>
        <v/>
      </c>
      <c r="L253">
        <f>IF(A253="Q42026",COUNTIF($A$2:$A253,"Q42026"),"")</f>
        <v>12</v>
      </c>
      <c r="M253" t="str">
        <f>IF(A253="Backlog",COUNTIF($A$2:$A253,"Backlog"),"")</f>
        <v/>
      </c>
    </row>
    <row r="254" spans="1:13">
      <c r="A254" t="str">
        <f>IF(AND('Q42026'!B15&lt;&gt;"",'Q42026'!E15&lt;&gt;""),'Q42026'!E15,"")</f>
        <v>Q42026</v>
      </c>
      <c r="B254" t="str">
        <f>IF(AND('Q42026'!B15&lt;&gt;"",'Q42026'!E15&lt;&gt;""),'Q42026'!B15,"")</f>
        <v>Loyalty (3) | Couopons 2.0 NOCH NICHT GEPLANT</v>
      </c>
      <c r="C254">
        <f>IF(AND('Q42026'!B15&lt;&gt;"",'Q42026'!E15&lt;&gt;""),'Q42026'!C15,"")</f>
        <v>0</v>
      </c>
      <c r="D254" t="str">
        <f>IF(AND('Q42026'!B15&lt;&gt;"",'Q42026'!E15&lt;&gt;""),'Q42026'!D15,"")</f>
        <v>Innovation</v>
      </c>
      <c r="E254" t="str">
        <f>IF(AND('Q42026'!B15&lt;&gt;"",'Q42026'!E15&lt;&gt;""),'Q42026'!H15,"")</f>
        <v/>
      </c>
      <c r="F254">
        <f>IF(AND('Q42026'!B15&lt;&gt;"",'Q42026'!E15&lt;&gt;""),'Q42026'!F15,"")</f>
        <v>0</v>
      </c>
      <c r="G254">
        <f>IF(AND('Q42026'!B15&lt;&gt;"",'Q42026'!E15&lt;&gt;""),'Q42026'!G15,"")</f>
        <v>0</v>
      </c>
      <c r="H254" t="str">
        <f>IF(AND('Q42026'!B15&lt;&gt;"",'Q42026'!E15&lt;&gt;""),"Q42026","")</f>
        <v>Q42026</v>
      </c>
      <c r="I254" t="str">
        <f>IF(A254="Q12026",COUNTIF($A$2:$A254,"Q12026"),"")</f>
        <v/>
      </c>
      <c r="J254" t="str">
        <f>IF(A254="Q22026",COUNTIF($A$2:$A254,"Q22026"),"")</f>
        <v/>
      </c>
      <c r="K254" t="str">
        <f>IF(A254="Q32026",COUNTIF($A$2:$A254,"Q32026"),"")</f>
        <v/>
      </c>
      <c r="L254">
        <f>IF(A254="Q42026",COUNTIF($A$2:$A254,"Q42026"),"")</f>
        <v>13</v>
      </c>
      <c r="M254" t="str">
        <f>IF(A254="Backlog",COUNTIF($A$2:$A254,"Backlog"),"")</f>
        <v/>
      </c>
    </row>
    <row r="255" spans="1:13">
      <c r="A255" t="str">
        <f>IF(AND('Q42026'!B16&lt;&gt;"",'Q42026'!E16&lt;&gt;""),'Q42026'!E16,"")</f>
        <v>Q42026</v>
      </c>
      <c r="B255" t="str">
        <f>IF(AND('Q42026'!B16&lt;&gt;"",'Q42026'!E16&lt;&gt;""),'Q42026'!B16,"")</f>
        <v>Data Warehouse</v>
      </c>
      <c r="C255">
        <f>IF(AND('Q42026'!B16&lt;&gt;"",'Q42026'!E16&lt;&gt;""),'Q42026'!C16,"")</f>
        <v>0</v>
      </c>
      <c r="D255" t="str">
        <f>IF(AND('Q42026'!B16&lt;&gt;"",'Q42026'!E16&lt;&gt;""),'Q42026'!D16,"")</f>
        <v>Strengthen</v>
      </c>
      <c r="E255" t="str">
        <f>IF(AND('Q42026'!B16&lt;&gt;"",'Q42026'!E16&lt;&gt;""),'Q42026'!H16,"")</f>
        <v/>
      </c>
      <c r="F255">
        <f>IF(AND('Q42026'!B16&lt;&gt;"",'Q42026'!E16&lt;&gt;""),'Q42026'!F16,"")</f>
        <v>0</v>
      </c>
      <c r="G255">
        <f>IF(AND('Q42026'!B16&lt;&gt;"",'Q42026'!E16&lt;&gt;""),'Q42026'!G16,"")</f>
        <v>0</v>
      </c>
      <c r="H255" t="str">
        <f>IF(AND('Q42026'!B16&lt;&gt;"",'Q42026'!E16&lt;&gt;""),"Q42026","")</f>
        <v>Q42026</v>
      </c>
      <c r="I255" t="str">
        <f>IF(A255="Q12026",COUNTIF($A$2:$A255,"Q12026"),"")</f>
        <v/>
      </c>
      <c r="J255" t="str">
        <f>IF(A255="Q22026",COUNTIF($A$2:$A255,"Q22026"),"")</f>
        <v/>
      </c>
      <c r="K255" t="str">
        <f>IF(A255="Q32026",COUNTIF($A$2:$A255,"Q32026"),"")</f>
        <v/>
      </c>
      <c r="L255">
        <f>IF(A255="Q42026",COUNTIF($A$2:$A255,"Q42026"),"")</f>
        <v>14</v>
      </c>
      <c r="M255" t="str">
        <f>IF(A255="Backlog",COUNTIF($A$2:$A255,"Backlog"),"")</f>
        <v/>
      </c>
    </row>
    <row r="256" spans="1:13">
      <c r="A256" t="str">
        <f>IF(AND('Q42026'!B17&lt;&gt;"",'Q42026'!E17&lt;&gt;""),'Q42026'!E17,"")</f>
        <v>Q42026</v>
      </c>
      <c r="B256" t="str">
        <f>IF(AND('Q42026'!B17&lt;&gt;"",'Q42026'!E17&lt;&gt;""),'Q42026'!B17,"")</f>
        <v>Paypal V2</v>
      </c>
      <c r="C256">
        <f>IF(AND('Q42026'!B17&lt;&gt;"",'Q42026'!E17&lt;&gt;""),'Q42026'!C17,"")</f>
        <v>0</v>
      </c>
      <c r="D256" t="str">
        <f>IF(AND('Q42026'!B17&lt;&gt;"",'Q42026'!E17&lt;&gt;""),'Q42026'!D17,"")</f>
        <v>Strengthen</v>
      </c>
      <c r="E256" t="str">
        <f>IF(AND('Q42026'!B17&lt;&gt;"",'Q42026'!E17&lt;&gt;""),'Q42026'!H17,"")</f>
        <v/>
      </c>
      <c r="F256">
        <f>IF(AND('Q42026'!B17&lt;&gt;"",'Q42026'!E17&lt;&gt;""),'Q42026'!F17,"")</f>
        <v>0</v>
      </c>
      <c r="G256">
        <f>IF(AND('Q42026'!B17&lt;&gt;"",'Q42026'!E17&lt;&gt;""),'Q42026'!G17,"")</f>
        <v>0</v>
      </c>
      <c r="H256" t="str">
        <f>IF(AND('Q42026'!B17&lt;&gt;"",'Q42026'!E17&lt;&gt;""),"Q42026","")</f>
        <v>Q42026</v>
      </c>
      <c r="I256" t="str">
        <f>IF(A256="Q12026",COUNTIF($A$2:$A256,"Q12026"),"")</f>
        <v/>
      </c>
      <c r="J256" t="str">
        <f>IF(A256="Q22026",COUNTIF($A$2:$A256,"Q22026"),"")</f>
        <v/>
      </c>
      <c r="K256" t="str">
        <f>IF(A256="Q32026",COUNTIF($A$2:$A256,"Q32026"),"")</f>
        <v/>
      </c>
      <c r="L256">
        <f>IF(A256="Q42026",COUNTIF($A$2:$A256,"Q42026"),"")</f>
        <v>15</v>
      </c>
      <c r="M256" t="str">
        <f>IF(A256="Backlog",COUNTIF($A$2:$A256,"Backlog"),"")</f>
        <v/>
      </c>
    </row>
    <row r="257" spans="1:13">
      <c r="A257" t="str">
        <f>IF(AND('Q42026'!B18&lt;&gt;"",'Q42026'!E18&lt;&gt;""),'Q42026'!E18,"")</f>
        <v>Q42026</v>
      </c>
      <c r="B257" t="str">
        <f>IF(AND('Q42026'!B18&lt;&gt;"",'Q42026'!E18&lt;&gt;""),'Q42026'!B18,"")</f>
        <v>App-Systemstart beschleunigen / Code aktualisieren</v>
      </c>
      <c r="C257">
        <f>IF(AND('Q42026'!B18&lt;&gt;"",'Q42026'!E18&lt;&gt;""),'Q42026'!C18,"")</f>
        <v>0</v>
      </c>
      <c r="D257" t="str">
        <f>IF(AND('Q42026'!B18&lt;&gt;"",'Q42026'!E18&lt;&gt;""),'Q42026'!D18,"")</f>
        <v>Strengthen</v>
      </c>
      <c r="E257" t="str">
        <f>IF(AND('Q42026'!B18&lt;&gt;"",'Q42026'!E18&lt;&gt;""),'Q42026'!H18,"")</f>
        <v/>
      </c>
      <c r="F257">
        <f>IF(AND('Q42026'!B18&lt;&gt;"",'Q42026'!E18&lt;&gt;""),'Q42026'!F18,"")</f>
        <v>0</v>
      </c>
      <c r="G257">
        <f>IF(AND('Q42026'!B18&lt;&gt;"",'Q42026'!E18&lt;&gt;""),'Q42026'!G18,"")</f>
        <v>0</v>
      </c>
      <c r="H257" t="str">
        <f>IF(AND('Q42026'!B18&lt;&gt;"",'Q42026'!E18&lt;&gt;""),"Q42026","")</f>
        <v>Q42026</v>
      </c>
      <c r="I257" t="str">
        <f>IF(A257="Q12026",COUNTIF($A$2:$A257,"Q12026"),"")</f>
        <v/>
      </c>
      <c r="J257" t="str">
        <f>IF(A257="Q22026",COUNTIF($A$2:$A257,"Q22026"),"")</f>
        <v/>
      </c>
      <c r="K257" t="str">
        <f>IF(A257="Q32026",COUNTIF($A$2:$A257,"Q32026"),"")</f>
        <v/>
      </c>
      <c r="L257">
        <f>IF(A257="Q42026",COUNTIF($A$2:$A257,"Q42026"),"")</f>
        <v>16</v>
      </c>
      <c r="M257" t="str">
        <f>IF(A257="Backlog",COUNTIF($A$2:$A257,"Backlog"),"")</f>
        <v/>
      </c>
    </row>
    <row r="258" spans="1:13">
      <c r="A258" t="str">
        <f>IF(AND('Q42026'!B19&lt;&gt;"",'Q42026'!E19&lt;&gt;""),'Q42026'!E19,"")</f>
        <v>Q42026</v>
      </c>
      <c r="B258" t="str">
        <f>IF(AND('Q42026'!B19&lt;&gt;"",'Q42026'!E19&lt;&gt;""),'Q42026'!B19,"")</f>
        <v>SIG - WAWI - Schnittstelle (Foodnotify / Apicbase) -&gt; CDS &amp; Vapiano</v>
      </c>
      <c r="C258">
        <f>IF(AND('Q42026'!B19&lt;&gt;"",'Q42026'!E19&lt;&gt;""),'Q42026'!C19,"")</f>
        <v>0</v>
      </c>
      <c r="D258" t="str">
        <f>IF(AND('Q42026'!B19&lt;&gt;"",'Q42026'!E19&lt;&gt;""),'Q42026'!D19,"")</f>
        <v>Innovation</v>
      </c>
      <c r="E258" t="str">
        <f>IF(AND('Q42026'!B19&lt;&gt;"",'Q42026'!E19&lt;&gt;""),'Q42026'!H19,"")</f>
        <v/>
      </c>
      <c r="F258">
        <f>IF(AND('Q42026'!B19&lt;&gt;"",'Q42026'!E19&lt;&gt;""),'Q42026'!F19,"")</f>
        <v>0</v>
      </c>
      <c r="G258">
        <f>IF(AND('Q42026'!B19&lt;&gt;"",'Q42026'!E19&lt;&gt;""),'Q42026'!G19,"")</f>
        <v>0</v>
      </c>
      <c r="H258" t="str">
        <f>IF(AND('Q42026'!B19&lt;&gt;"",'Q42026'!E19&lt;&gt;""),"Q42026","")</f>
        <v>Q42026</v>
      </c>
      <c r="I258" t="str">
        <f>IF(A258="Q12026",COUNTIF($A$2:$A258,"Q12026"),"")</f>
        <v/>
      </c>
      <c r="J258" t="str">
        <f>IF(A258="Q22026",COUNTIF($A$2:$A258,"Q22026"),"")</f>
        <v/>
      </c>
      <c r="K258" t="str">
        <f>IF(A258="Q32026",COUNTIF($A$2:$A258,"Q32026"),"")</f>
        <v/>
      </c>
      <c r="L258">
        <f>IF(A258="Q42026",COUNTIF($A$2:$A258,"Q42026"),"")</f>
        <v>17</v>
      </c>
      <c r="M258" t="str">
        <f>IF(A258="Backlog",COUNTIF($A$2:$A258,"Backlog"),"")</f>
        <v/>
      </c>
    </row>
    <row r="259" spans="1:13">
      <c r="A259" t="str">
        <f>IF(AND('Q42026'!B20&lt;&gt;"",'Q42026'!E20&lt;&gt;""),'Q42026'!E20,"")</f>
        <v>Q42026</v>
      </c>
      <c r="B259" t="str">
        <f>IF(AND('Q42026'!B20&lt;&gt;"",'Q42026'!E20&lt;&gt;""),'Q42026'!B20,"")</f>
        <v>NoCOO Code am SOT mit optionalem Ausdruck / weitere Informationen müssen ergänzt werden (Superhelden, etc.) -&gt; Bewerten Q3</v>
      </c>
      <c r="C259">
        <f>IF(AND('Q42026'!B20&lt;&gt;"",'Q42026'!E20&lt;&gt;""),'Q42026'!C20,"")</f>
        <v>0</v>
      </c>
      <c r="D259" t="str">
        <f>IF(AND('Q42026'!B20&lt;&gt;"",'Q42026'!E20&lt;&gt;""),'Q42026'!D20,"")</f>
        <v>Strengthen</v>
      </c>
      <c r="E259" t="str">
        <f>IF(AND('Q42026'!B20&lt;&gt;"",'Q42026'!E20&lt;&gt;""),'Q42026'!H20,"")</f>
        <v/>
      </c>
      <c r="F259">
        <f>IF(AND('Q42026'!B20&lt;&gt;"",'Q42026'!E20&lt;&gt;""),'Q42026'!F20,"")</f>
        <v>0</v>
      </c>
      <c r="G259">
        <f>IF(AND('Q42026'!B20&lt;&gt;"",'Q42026'!E20&lt;&gt;""),'Q42026'!G20,"")</f>
        <v>0</v>
      </c>
      <c r="H259" t="str">
        <f>IF(AND('Q42026'!B20&lt;&gt;"",'Q42026'!E20&lt;&gt;""),"Q42026","")</f>
        <v>Q42026</v>
      </c>
      <c r="I259" t="str">
        <f>IF(A259="Q12026",COUNTIF($A$2:$A259,"Q12026"),"")</f>
        <v/>
      </c>
      <c r="J259" t="str">
        <f>IF(A259="Q22026",COUNTIF($A$2:$A259,"Q22026"),"")</f>
        <v/>
      </c>
      <c r="K259" t="str">
        <f>IF(A259="Q32026",COUNTIF($A$2:$A259,"Q32026"),"")</f>
        <v/>
      </c>
      <c r="L259">
        <f>IF(A259="Q42026",COUNTIF($A$2:$A259,"Q42026"),"")</f>
        <v>18</v>
      </c>
      <c r="M259" t="str">
        <f>IF(A259="Backlog",COUNTIF($A$2:$A259,"Backlog"),"")</f>
        <v/>
      </c>
    </row>
    <row r="260" spans="1:13">
      <c r="A260" t="str">
        <f>IF(AND('Q42026'!B21&lt;&gt;"",'Q42026'!E21&lt;&gt;""),'Q42026'!E21,"")</f>
        <v>Q42026</v>
      </c>
      <c r="B260" t="str">
        <f>IF(AND('Q42026'!B21&lt;&gt;"",'Q42026'!E21&lt;&gt;""),'Q42026'!B21,"")</f>
        <v>Borland Code Migrieren in Visual Studio - bis Q4 muss das umgesetzt werden</v>
      </c>
      <c r="C260">
        <f>IF(AND('Q42026'!B21&lt;&gt;"",'Q42026'!E21&lt;&gt;""),'Q42026'!C21,"")</f>
        <v>0</v>
      </c>
      <c r="D260" t="str">
        <f>IF(AND('Q42026'!B21&lt;&gt;"",'Q42026'!E21&lt;&gt;""),'Q42026'!D21,"")</f>
        <v>Strengthen</v>
      </c>
      <c r="E260" t="str">
        <f>IF(AND('Q42026'!B21&lt;&gt;"",'Q42026'!E21&lt;&gt;""),'Q42026'!H21,"")</f>
        <v/>
      </c>
      <c r="F260">
        <f>IF(AND('Q42026'!B21&lt;&gt;"",'Q42026'!E21&lt;&gt;""),'Q42026'!F21,"")</f>
        <v>0</v>
      </c>
      <c r="G260">
        <f>IF(AND('Q42026'!B21&lt;&gt;"",'Q42026'!E21&lt;&gt;""),'Q42026'!G21,"")</f>
        <v>0</v>
      </c>
      <c r="H260" t="str">
        <f>IF(AND('Q42026'!B21&lt;&gt;"",'Q42026'!E21&lt;&gt;""),"Q42026","")</f>
        <v>Q42026</v>
      </c>
      <c r="I260" t="str">
        <f>IF(A260="Q12026",COUNTIF($A$2:$A260,"Q12026"),"")</f>
        <v/>
      </c>
      <c r="J260" t="str">
        <f>IF(A260="Q22026",COUNTIF($A$2:$A260,"Q22026"),"")</f>
        <v/>
      </c>
      <c r="K260" t="str">
        <f>IF(A260="Q32026",COUNTIF($A$2:$A260,"Q32026"),"")</f>
        <v/>
      </c>
      <c r="L260">
        <f>IF(A260="Q42026",COUNTIF($A$2:$A260,"Q42026"),"")</f>
        <v>19</v>
      </c>
      <c r="M260" t="str">
        <f>IF(A260="Backlog",COUNTIF($A$2:$A260,"Backlog"),"")</f>
        <v/>
      </c>
    </row>
    <row r="261" spans="1:13">
      <c r="A261" t="str">
        <f>IF(AND('Q42026'!B22&lt;&gt;"",'Q42026'!E22&lt;&gt;""),'Q42026'!E22,"")</f>
        <v>Q42026</v>
      </c>
      <c r="B261" t="str">
        <f>IF(AND('Q42026'!B22&lt;&gt;"",'Q42026'!E22&lt;&gt;""),'Q42026'!B22,"")</f>
        <v>64 Bit Konvertierung</v>
      </c>
      <c r="C261">
        <f>IF(AND('Q42026'!B22&lt;&gt;"",'Q42026'!E22&lt;&gt;""),'Q42026'!C22,"")</f>
        <v>0</v>
      </c>
      <c r="D261" t="str">
        <f>IF(AND('Q42026'!B22&lt;&gt;"",'Q42026'!E22&lt;&gt;""),'Q42026'!D22,"")</f>
        <v>Strengthen</v>
      </c>
      <c r="E261" t="str">
        <f>IF(AND('Q42026'!B22&lt;&gt;"",'Q42026'!E22&lt;&gt;""),'Q42026'!H22,"")</f>
        <v/>
      </c>
      <c r="F261">
        <f>IF(AND('Q42026'!B22&lt;&gt;"",'Q42026'!E22&lt;&gt;""),'Q42026'!F22,"")</f>
        <v>0</v>
      </c>
      <c r="G261">
        <f>IF(AND('Q42026'!B22&lt;&gt;"",'Q42026'!E22&lt;&gt;""),'Q42026'!G22,"")</f>
        <v>0</v>
      </c>
      <c r="H261" t="str">
        <f>IF(AND('Q42026'!B22&lt;&gt;"",'Q42026'!E22&lt;&gt;""),"Q42026","")</f>
        <v>Q42026</v>
      </c>
      <c r="I261" t="str">
        <f>IF(A261="Q12026",COUNTIF($A$2:$A261,"Q12026"),"")</f>
        <v/>
      </c>
      <c r="J261" t="str">
        <f>IF(A261="Q22026",COUNTIF($A$2:$A261,"Q22026"),"")</f>
        <v/>
      </c>
      <c r="K261" t="str">
        <f>IF(A261="Q32026",COUNTIF($A$2:$A261,"Q32026"),"")</f>
        <v/>
      </c>
      <c r="L261">
        <f>IF(A261="Q42026",COUNTIF($A$2:$A261,"Q42026"),"")</f>
        <v>20</v>
      </c>
      <c r="M261" t="str">
        <f>IF(A261="Backlog",COUNTIF($A$2:$A261,"Backlog"),"")</f>
        <v/>
      </c>
    </row>
    <row r="262" spans="1:13">
      <c r="A262" t="str">
        <f>IF(AND('Q42026'!B23&lt;&gt;"",'Q42026'!E23&lt;&gt;""),'Q42026'!E23,"")</f>
        <v>Q42026</v>
      </c>
      <c r="B262" t="str">
        <f>IF(AND('Q42026'!B23&lt;&gt;"",'Q42026'!E23&lt;&gt;""),'Q42026'!B23,"")</f>
        <v>Webshop und erweiterte Zeitsteuerung (Artikel nicht verfügbar, bei Bestellung morgens für Mittags) -&gt; CDS</v>
      </c>
      <c r="C262">
        <f>IF(AND('Q42026'!B23&lt;&gt;"",'Q42026'!E23&lt;&gt;""),'Q42026'!C23,"")</f>
        <v>0</v>
      </c>
      <c r="D262" t="str">
        <f>IF(AND('Q42026'!B23&lt;&gt;"",'Q42026'!E23&lt;&gt;""),'Q42026'!D23,"")</f>
        <v>Strengthen</v>
      </c>
      <c r="E262" t="str">
        <f>IF(AND('Q42026'!B23&lt;&gt;"",'Q42026'!E23&lt;&gt;""),'Q42026'!H23,"")</f>
        <v/>
      </c>
      <c r="F262">
        <f>IF(AND('Q42026'!B23&lt;&gt;"",'Q42026'!E23&lt;&gt;""),'Q42026'!F23,"")</f>
        <v>0</v>
      </c>
      <c r="G262">
        <f>IF(AND('Q42026'!B23&lt;&gt;"",'Q42026'!E23&lt;&gt;""),'Q42026'!G23,"")</f>
        <v>0</v>
      </c>
      <c r="H262" t="str">
        <f>IF(AND('Q42026'!B23&lt;&gt;"",'Q42026'!E23&lt;&gt;""),"Q42026","")</f>
        <v>Q42026</v>
      </c>
      <c r="I262" t="str">
        <f>IF(A262="Q12026",COUNTIF($A$2:$A262,"Q12026"),"")</f>
        <v/>
      </c>
      <c r="J262" t="str">
        <f>IF(A262="Q22026",COUNTIF($A$2:$A262,"Q22026"),"")</f>
        <v/>
      </c>
      <c r="K262" t="str">
        <f>IF(A262="Q32026",COUNTIF($A$2:$A262,"Q32026"),"")</f>
        <v/>
      </c>
      <c r="L262">
        <f>IF(A262="Q42026",COUNTIF($A$2:$A262,"Q42026"),"")</f>
        <v>21</v>
      </c>
      <c r="M262" t="str">
        <f>IF(A262="Backlog",COUNTIF($A$2:$A262,"Backlog"),"")</f>
        <v/>
      </c>
    </row>
    <row r="263" spans="1:13">
      <c r="A263" t="str">
        <f>IF(AND('Q42026'!B24&lt;&gt;"",'Q42026'!E24&lt;&gt;""),'Q42026'!E24,"")</f>
        <v>Q42026</v>
      </c>
      <c r="B263" t="str">
        <f>IF(AND('Q42026'!B24&lt;&gt;"",'Q42026'!E24&lt;&gt;""),'Q42026'!B24,"")</f>
        <v>Digital Signage (Api)</v>
      </c>
      <c r="C263">
        <f>IF(AND('Q42026'!B24&lt;&gt;"",'Q42026'!E24&lt;&gt;""),'Q42026'!C24,"")</f>
        <v>0</v>
      </c>
      <c r="D263" t="str">
        <f>IF(AND('Q42026'!B24&lt;&gt;"",'Q42026'!E24&lt;&gt;""),'Q42026'!D24,"")</f>
        <v>Innovation</v>
      </c>
      <c r="E263" t="str">
        <f>IF(AND('Q42026'!B24&lt;&gt;"",'Q42026'!E24&lt;&gt;""),'Q42026'!H24,"")</f>
        <v/>
      </c>
      <c r="F263">
        <f>IF(AND('Q42026'!B24&lt;&gt;"",'Q42026'!E24&lt;&gt;""),'Q42026'!F24,"")</f>
        <v>0</v>
      </c>
      <c r="G263">
        <f>IF(AND('Q42026'!B24&lt;&gt;"",'Q42026'!E24&lt;&gt;""),'Q42026'!G24,"")</f>
        <v>0</v>
      </c>
      <c r="H263" t="str">
        <f>IF(AND('Q42026'!B24&lt;&gt;"",'Q42026'!E24&lt;&gt;""),"Q42026","")</f>
        <v>Q42026</v>
      </c>
      <c r="I263" t="str">
        <f>IF(A263="Q12026",COUNTIF($A$2:$A263,"Q12026"),"")</f>
        <v/>
      </c>
      <c r="J263" t="str">
        <f>IF(A263="Q22026",COUNTIF($A$2:$A263,"Q22026"),"")</f>
        <v/>
      </c>
      <c r="K263" t="str">
        <f>IF(A263="Q32026",COUNTIF($A$2:$A263,"Q32026"),"")</f>
        <v/>
      </c>
      <c r="L263">
        <f>IF(A263="Q42026",COUNTIF($A$2:$A263,"Q42026"),"")</f>
        <v>22</v>
      </c>
      <c r="M263" t="str">
        <f>IF(A263="Backlog",COUNTIF($A$2:$A263,"Backlog"),"")</f>
        <v/>
      </c>
    </row>
    <row r="264" spans="1:13">
      <c r="A264" t="str">
        <f>IF(AND('Q42026'!B25&lt;&gt;"",'Q42026'!E25&lt;&gt;""),'Q42026'!E25,"")</f>
        <v>Q42026</v>
      </c>
      <c r="B264" t="str">
        <f>IF(AND('Q42026'!B25&lt;&gt;"",'Q42026'!E25&lt;&gt;""),'Q42026'!B25,"")</f>
        <v>2-Faktor-Authentifizierung / Portal</v>
      </c>
      <c r="C264">
        <f>IF(AND('Q42026'!B25&lt;&gt;"",'Q42026'!E25&lt;&gt;""),'Q42026'!C25,"")</f>
        <v>0</v>
      </c>
      <c r="D264" t="str">
        <f>IF(AND('Q42026'!B25&lt;&gt;"",'Q42026'!E25&lt;&gt;""),'Q42026'!D25,"")</f>
        <v>Strengthen</v>
      </c>
      <c r="E264" t="str">
        <f>IF(AND('Q42026'!B25&lt;&gt;"",'Q42026'!E25&lt;&gt;""),'Q42026'!H25,"")</f>
        <v/>
      </c>
      <c r="F264">
        <f>IF(AND('Q42026'!B25&lt;&gt;"",'Q42026'!E25&lt;&gt;""),'Q42026'!F25,"")</f>
        <v>0</v>
      </c>
      <c r="G264">
        <f>IF(AND('Q42026'!B25&lt;&gt;"",'Q42026'!E25&lt;&gt;""),'Q42026'!G25,"")</f>
        <v>0</v>
      </c>
      <c r="H264" t="str">
        <f>IF(AND('Q42026'!B25&lt;&gt;"",'Q42026'!E25&lt;&gt;""),"Q42026","")</f>
        <v>Q42026</v>
      </c>
      <c r="I264" t="str">
        <f>IF(A264="Q12026",COUNTIF($A$2:$A264,"Q12026"),"")</f>
        <v/>
      </c>
      <c r="J264" t="str">
        <f>IF(A264="Q22026",COUNTIF($A$2:$A264,"Q22026"),"")</f>
        <v/>
      </c>
      <c r="K264" t="str">
        <f>IF(A264="Q32026",COUNTIF($A$2:$A264,"Q32026"),"")</f>
        <v/>
      </c>
      <c r="L264">
        <f>IF(A264="Q42026",COUNTIF($A$2:$A264,"Q42026"),"")</f>
        <v>23</v>
      </c>
      <c r="M264" t="str">
        <f>IF(A264="Backlog",COUNTIF($A$2:$A264,"Backlog"),"")</f>
        <v/>
      </c>
    </row>
    <row r="265" spans="1:13">
      <c r="A265" t="str">
        <f>IF(AND('Q42026'!B26&lt;&gt;"",'Q42026'!E26&lt;&gt;""),'Q42026'!E26,"")</f>
        <v>Q42026</v>
      </c>
      <c r="B265" t="str">
        <f>IF(AND('Q42026'!B26&lt;&gt;"",'Q42026'!E26&lt;&gt;""),'Q42026'!B26,"")</f>
        <v>UHD - RMA Digitalisieren</v>
      </c>
      <c r="C265">
        <f>IF(AND('Q42026'!B26&lt;&gt;"",'Q42026'!E26&lt;&gt;""),'Q42026'!C26,"")</f>
        <v>0</v>
      </c>
      <c r="D265" t="str">
        <f>IF(AND('Q42026'!B26&lt;&gt;"",'Q42026'!E26&lt;&gt;""),'Q42026'!D26,"")</f>
        <v>Strengthen</v>
      </c>
      <c r="E265" t="str">
        <f>IF(AND('Q42026'!B26&lt;&gt;"",'Q42026'!E26&lt;&gt;""),'Q42026'!H26,"")</f>
        <v/>
      </c>
      <c r="F265">
        <f>IF(AND('Q42026'!B26&lt;&gt;"",'Q42026'!E26&lt;&gt;""),'Q42026'!F26,"")</f>
        <v>0</v>
      </c>
      <c r="G265">
        <f>IF(AND('Q42026'!B26&lt;&gt;"",'Q42026'!E26&lt;&gt;""),'Q42026'!G26,"")</f>
        <v>0</v>
      </c>
      <c r="H265" t="str">
        <f>IF(AND('Q42026'!B26&lt;&gt;"",'Q42026'!E26&lt;&gt;""),"Q42026","")</f>
        <v>Q42026</v>
      </c>
      <c r="I265" t="str">
        <f>IF(A265="Q12026",COUNTIF($A$2:$A265,"Q12026"),"")</f>
        <v/>
      </c>
      <c r="J265" t="str">
        <f>IF(A265="Q22026",COUNTIF($A$2:$A265,"Q22026"),"")</f>
        <v/>
      </c>
      <c r="K265" t="str">
        <f>IF(A265="Q32026",COUNTIF($A$2:$A265,"Q32026"),"")</f>
        <v/>
      </c>
      <c r="L265">
        <f>IF(A265="Q42026",COUNTIF($A$2:$A265,"Q42026"),"")</f>
        <v>24</v>
      </c>
      <c r="M265" t="str">
        <f>IF(A265="Backlog",COUNTIF($A$2:$A265,"Backlog"),"")</f>
        <v/>
      </c>
    </row>
    <row r="266" spans="1:13">
      <c r="A266" t="str">
        <f>IF(AND('Q42026'!B27&lt;&gt;"",'Q42026'!E27&lt;&gt;""),'Q42026'!E27,"")</f>
        <v/>
      </c>
      <c r="B266" t="str">
        <f>IF(AND('Q42026'!B27&lt;&gt;"",'Q42026'!E27&lt;&gt;""),'Q42026'!B27,"")</f>
        <v/>
      </c>
      <c r="C266" t="str">
        <f>IF(AND('Q42026'!B27&lt;&gt;"",'Q42026'!E27&lt;&gt;""),'Q42026'!C27,"")</f>
        <v/>
      </c>
      <c r="D266" t="str">
        <f>IF(AND('Q42026'!B27&lt;&gt;"",'Q42026'!E27&lt;&gt;""),'Q42026'!D27,"")</f>
        <v/>
      </c>
      <c r="E266" t="str">
        <f>IF(AND('Q42026'!B27&lt;&gt;"",'Q42026'!E27&lt;&gt;""),'Q42026'!H27,"")</f>
        <v/>
      </c>
      <c r="F266" t="str">
        <f>IF(AND('Q42026'!B27&lt;&gt;"",'Q42026'!E27&lt;&gt;""),'Q42026'!F27,"")</f>
        <v/>
      </c>
      <c r="G266" t="str">
        <f>IF(AND('Q42026'!B27&lt;&gt;"",'Q42026'!E27&lt;&gt;""),'Q42026'!G27,"")</f>
        <v/>
      </c>
      <c r="H266" t="str">
        <f>IF(AND('Q42026'!B27&lt;&gt;"",'Q42026'!E27&lt;&gt;""),"Q42026","")</f>
        <v/>
      </c>
      <c r="I266" t="str">
        <f>IF(A266="Q12026",COUNTIF($A$2:$A266,"Q12026"),"")</f>
        <v/>
      </c>
      <c r="J266" t="str">
        <f>IF(A266="Q22026",COUNTIF($A$2:$A266,"Q22026"),"")</f>
        <v/>
      </c>
      <c r="K266" t="str">
        <f>IF(A266="Q32026",COUNTIF($A$2:$A266,"Q32026"),"")</f>
        <v/>
      </c>
      <c r="L266" t="str">
        <f>IF(A266="Q42026",COUNTIF($A$2:$A266,"Q42026"),"")</f>
        <v/>
      </c>
      <c r="M266" t="str">
        <f>IF(A266="Backlog",COUNTIF($A$2:$A266,"Backlog"),"")</f>
        <v/>
      </c>
    </row>
    <row r="267" spans="1:13">
      <c r="A267" t="str">
        <f>IF(AND('Q42026'!B28&lt;&gt;"",'Q42026'!E28&lt;&gt;""),'Q42026'!E28,"")</f>
        <v/>
      </c>
      <c r="B267" t="str">
        <f>IF(AND('Q42026'!B28&lt;&gt;"",'Q42026'!E28&lt;&gt;""),'Q42026'!B28,"")</f>
        <v/>
      </c>
      <c r="C267" t="str">
        <f>IF(AND('Q42026'!B28&lt;&gt;"",'Q42026'!E28&lt;&gt;""),'Q42026'!C28,"")</f>
        <v/>
      </c>
      <c r="D267" t="str">
        <f>IF(AND('Q42026'!B28&lt;&gt;"",'Q42026'!E28&lt;&gt;""),'Q42026'!D28,"")</f>
        <v/>
      </c>
      <c r="E267" t="str">
        <f>IF(AND('Q42026'!B28&lt;&gt;"",'Q42026'!E28&lt;&gt;""),'Q42026'!H28,"")</f>
        <v/>
      </c>
      <c r="F267" t="str">
        <f>IF(AND('Q42026'!B28&lt;&gt;"",'Q42026'!E28&lt;&gt;""),'Q42026'!F28,"")</f>
        <v/>
      </c>
      <c r="G267" t="str">
        <f>IF(AND('Q42026'!B28&lt;&gt;"",'Q42026'!E28&lt;&gt;""),'Q42026'!G28,"")</f>
        <v/>
      </c>
      <c r="H267" t="str">
        <f>IF(AND('Q42026'!B28&lt;&gt;"",'Q42026'!E28&lt;&gt;""),"Q42026","")</f>
        <v/>
      </c>
      <c r="I267" t="str">
        <f>IF(A267="Q12026",COUNTIF($A$2:$A267,"Q12026"),"")</f>
        <v/>
      </c>
      <c r="J267" t="str">
        <f>IF(A267="Q22026",COUNTIF($A$2:$A267,"Q22026"),"")</f>
        <v/>
      </c>
      <c r="K267" t="str">
        <f>IF(A267="Q32026",COUNTIF($A$2:$A267,"Q32026"),"")</f>
        <v/>
      </c>
      <c r="L267" t="str">
        <f>IF(A267="Q42026",COUNTIF($A$2:$A267,"Q42026"),"")</f>
        <v/>
      </c>
      <c r="M267" t="str">
        <f>IF(A267="Backlog",COUNTIF($A$2:$A267,"Backlog"),"")</f>
        <v/>
      </c>
    </row>
    <row r="268" spans="1:13">
      <c r="A268" t="str">
        <f>IF(AND('Q42026'!B29&lt;&gt;"",'Q42026'!E29&lt;&gt;""),'Q42026'!E29,"")</f>
        <v>Q42026</v>
      </c>
      <c r="B268" t="str">
        <f>IF(AND('Q42026'!B29&lt;&gt;"",'Q42026'!E29&lt;&gt;""),'Q42026'!B29,"")</f>
        <v>MobileEntry in das ePOS mobilePRO integrieren</v>
      </c>
      <c r="C268">
        <f>IF(AND('Q42026'!B29&lt;&gt;"",'Q42026'!E29&lt;&gt;""),'Q42026'!C29,"")</f>
        <v>0</v>
      </c>
      <c r="D268">
        <f>IF(AND('Q42026'!B29&lt;&gt;"",'Q42026'!E29&lt;&gt;""),'Q42026'!D29,"")</f>
        <v>0</v>
      </c>
      <c r="E268" t="str">
        <f>IF(AND('Q42026'!B29&lt;&gt;"",'Q42026'!E29&lt;&gt;""),'Q42026'!H29,"")</f>
        <v/>
      </c>
      <c r="F268">
        <f>IF(AND('Q42026'!B29&lt;&gt;"",'Q42026'!E29&lt;&gt;""),'Q42026'!F29,"")</f>
        <v>0</v>
      </c>
      <c r="G268">
        <f>IF(AND('Q42026'!B29&lt;&gt;"",'Q42026'!E29&lt;&gt;""),'Q42026'!G29,"")</f>
        <v>0</v>
      </c>
      <c r="H268" t="str">
        <f>IF(AND('Q42026'!B29&lt;&gt;"",'Q42026'!E29&lt;&gt;""),"Q42026","")</f>
        <v>Q42026</v>
      </c>
      <c r="I268" t="str">
        <f>IF(A268="Q12026",COUNTIF($A$2:$A268,"Q12026"),"")</f>
        <v/>
      </c>
      <c r="J268" t="str">
        <f>IF(A268="Q22026",COUNTIF($A$2:$A268,"Q22026"),"")</f>
        <v/>
      </c>
      <c r="K268" t="str">
        <f>IF(A268="Q32026",COUNTIF($A$2:$A268,"Q32026"),"")</f>
        <v/>
      </c>
      <c r="L268">
        <f>IF(A268="Q42026",COUNTIF($A$2:$A268,"Q42026"),"")</f>
        <v>25</v>
      </c>
      <c r="M268" t="str">
        <f>IF(A268="Backlog",COUNTIF($A$2:$A268,"Backlog"),"")</f>
        <v/>
      </c>
    </row>
    <row r="269" spans="1:13">
      <c r="A269" t="str">
        <f>IF(AND('Q42026'!B30&lt;&gt;"",'Q42026'!E30&lt;&gt;""),'Q42026'!E30,"")</f>
        <v/>
      </c>
      <c r="B269" t="str">
        <f>IF(AND('Q42026'!B30&lt;&gt;"",'Q42026'!E30&lt;&gt;""),'Q42026'!B30,"")</f>
        <v/>
      </c>
      <c r="C269" t="str">
        <f>IF(AND('Q42026'!B30&lt;&gt;"",'Q42026'!E30&lt;&gt;""),'Q42026'!C30,"")</f>
        <v/>
      </c>
      <c r="D269" t="str">
        <f>IF(AND('Q42026'!B30&lt;&gt;"",'Q42026'!E30&lt;&gt;""),'Q42026'!D30,"")</f>
        <v/>
      </c>
      <c r="E269" t="str">
        <f>IF(AND('Q42026'!B30&lt;&gt;"",'Q42026'!E30&lt;&gt;""),'Q42026'!H30,"")</f>
        <v/>
      </c>
      <c r="F269" t="str">
        <f>IF(AND('Q42026'!B30&lt;&gt;"",'Q42026'!E30&lt;&gt;""),'Q42026'!F30,"")</f>
        <v/>
      </c>
      <c r="G269" t="str">
        <f>IF(AND('Q42026'!B30&lt;&gt;"",'Q42026'!E30&lt;&gt;""),'Q42026'!G30,"")</f>
        <v/>
      </c>
      <c r="H269" t="str">
        <f>IF(AND('Q42026'!B30&lt;&gt;"",'Q42026'!E30&lt;&gt;""),"Q42026","")</f>
        <v/>
      </c>
      <c r="I269" t="str">
        <f>IF(A269="Q12026",COUNTIF($A$2:$A269,"Q12026"),"")</f>
        <v/>
      </c>
      <c r="J269" t="str">
        <f>IF(A269="Q22026",COUNTIF($A$2:$A269,"Q22026"),"")</f>
        <v/>
      </c>
      <c r="K269" t="str">
        <f>IF(A269="Q32026",COUNTIF($A$2:$A269,"Q32026"),"")</f>
        <v/>
      </c>
      <c r="L269" t="str">
        <f>IF(A269="Q42026",COUNTIF($A$2:$A269,"Q42026"),"")</f>
        <v/>
      </c>
      <c r="M269" t="str">
        <f>IF(A269="Backlog",COUNTIF($A$2:$A269,"Backlog"),"")</f>
        <v/>
      </c>
    </row>
    <row r="270" spans="1:13">
      <c r="A270" t="str">
        <f>IF(AND('Q42026'!B31&lt;&gt;"",'Q42026'!E31&lt;&gt;""),'Q42026'!E31,"")</f>
        <v/>
      </c>
      <c r="B270" t="str">
        <f>IF(AND('Q42026'!B31&lt;&gt;"",'Q42026'!E31&lt;&gt;""),'Q42026'!B31,"")</f>
        <v/>
      </c>
      <c r="C270" t="str">
        <f>IF(AND('Q42026'!B31&lt;&gt;"",'Q42026'!E31&lt;&gt;""),'Q42026'!C31,"")</f>
        <v/>
      </c>
      <c r="D270" t="str">
        <f>IF(AND('Q42026'!B31&lt;&gt;"",'Q42026'!E31&lt;&gt;""),'Q42026'!D31,"")</f>
        <v/>
      </c>
      <c r="E270" t="str">
        <f>IF(AND('Q42026'!B31&lt;&gt;"",'Q42026'!E31&lt;&gt;""),'Q42026'!H31,"")</f>
        <v/>
      </c>
      <c r="F270" t="str">
        <f>IF(AND('Q42026'!B31&lt;&gt;"",'Q42026'!E31&lt;&gt;""),'Q42026'!F31,"")</f>
        <v/>
      </c>
      <c r="G270" t="str">
        <f>IF(AND('Q42026'!B31&lt;&gt;"",'Q42026'!E31&lt;&gt;""),'Q42026'!G31,"")</f>
        <v/>
      </c>
      <c r="H270" t="str">
        <f>IF(AND('Q42026'!B31&lt;&gt;"",'Q42026'!E31&lt;&gt;""),"Q42026","")</f>
        <v/>
      </c>
      <c r="I270" t="str">
        <f>IF(A270="Q12026",COUNTIF($A$2:$A270,"Q12026"),"")</f>
        <v/>
      </c>
      <c r="J270" t="str">
        <f>IF(A270="Q22026",COUNTIF($A$2:$A270,"Q22026"),"")</f>
        <v/>
      </c>
      <c r="K270" t="str">
        <f>IF(A270="Q32026",COUNTIF($A$2:$A270,"Q32026"),"")</f>
        <v/>
      </c>
      <c r="L270" t="str">
        <f>IF(A270="Q42026",COUNTIF($A$2:$A270,"Q42026"),"")</f>
        <v/>
      </c>
      <c r="M270" t="str">
        <f>IF(A270="Backlog",COUNTIF($A$2:$A270,"Backlog"),"")</f>
        <v/>
      </c>
    </row>
    <row r="271" spans="1:13">
      <c r="A271" t="str">
        <f>IF(AND('Q42026'!B32&lt;&gt;"",'Q42026'!E32&lt;&gt;""),'Q42026'!E32,"")</f>
        <v/>
      </c>
      <c r="B271" t="str">
        <f>IF(AND('Q42026'!B32&lt;&gt;"",'Q42026'!E32&lt;&gt;""),'Q42026'!B32,"")</f>
        <v/>
      </c>
      <c r="C271" t="str">
        <f>IF(AND('Q42026'!B32&lt;&gt;"",'Q42026'!E32&lt;&gt;""),'Q42026'!C32,"")</f>
        <v/>
      </c>
      <c r="D271" t="str">
        <f>IF(AND('Q42026'!B32&lt;&gt;"",'Q42026'!E32&lt;&gt;""),'Q42026'!D32,"")</f>
        <v/>
      </c>
      <c r="E271" t="str">
        <f>IF(AND('Q42026'!B32&lt;&gt;"",'Q42026'!E32&lt;&gt;""),'Q42026'!H32,"")</f>
        <v/>
      </c>
      <c r="F271" t="str">
        <f>IF(AND('Q42026'!B32&lt;&gt;"",'Q42026'!E32&lt;&gt;""),'Q42026'!F32,"")</f>
        <v/>
      </c>
      <c r="G271" t="str">
        <f>IF(AND('Q42026'!B32&lt;&gt;"",'Q42026'!E32&lt;&gt;""),'Q42026'!G32,"")</f>
        <v/>
      </c>
      <c r="H271" t="str">
        <f>IF(AND('Q42026'!B32&lt;&gt;"",'Q42026'!E32&lt;&gt;""),"Q42026","")</f>
        <v/>
      </c>
      <c r="I271" t="str">
        <f>IF(A271="Q12026",COUNTIF($A$2:$A271,"Q12026"),"")</f>
        <v/>
      </c>
      <c r="J271" t="str">
        <f>IF(A271="Q22026",COUNTIF($A$2:$A271,"Q22026"),"")</f>
        <v/>
      </c>
      <c r="K271" t="str">
        <f>IF(A271="Q32026",COUNTIF($A$2:$A271,"Q32026"),"")</f>
        <v/>
      </c>
      <c r="L271" t="str">
        <f>IF(A271="Q42026",COUNTIF($A$2:$A271,"Q42026"),"")</f>
        <v/>
      </c>
      <c r="M271" t="str">
        <f>IF(A271="Backlog",COUNTIF($A$2:$A271,"Backlog"),"")</f>
        <v/>
      </c>
    </row>
    <row r="272" spans="1:13">
      <c r="A272" t="str">
        <f>IF(AND('Q42026'!B33&lt;&gt;"",'Q42026'!E33&lt;&gt;""),'Q42026'!E33,"")</f>
        <v/>
      </c>
      <c r="B272" t="str">
        <f>IF(AND('Q42026'!B33&lt;&gt;"",'Q42026'!E33&lt;&gt;""),'Q42026'!B33,"")</f>
        <v/>
      </c>
      <c r="C272" t="str">
        <f>IF(AND('Q42026'!B33&lt;&gt;"",'Q42026'!E33&lt;&gt;""),'Q42026'!C33,"")</f>
        <v/>
      </c>
      <c r="D272" t="str">
        <f>IF(AND('Q42026'!B33&lt;&gt;"",'Q42026'!E33&lt;&gt;""),'Q42026'!D33,"")</f>
        <v/>
      </c>
      <c r="E272" t="str">
        <f>IF(AND('Q42026'!B33&lt;&gt;"",'Q42026'!E33&lt;&gt;""),'Q42026'!H33,"")</f>
        <v/>
      </c>
      <c r="F272" t="str">
        <f>IF(AND('Q42026'!B33&lt;&gt;"",'Q42026'!E33&lt;&gt;""),'Q42026'!F33,"")</f>
        <v/>
      </c>
      <c r="G272" t="str">
        <f>IF(AND('Q42026'!B33&lt;&gt;"",'Q42026'!E33&lt;&gt;""),'Q42026'!G33,"")</f>
        <v/>
      </c>
      <c r="H272" t="str">
        <f>IF(AND('Q42026'!B33&lt;&gt;"",'Q42026'!E33&lt;&gt;""),"Q42026","")</f>
        <v/>
      </c>
      <c r="I272" t="str">
        <f>IF(A272="Q12026",COUNTIF($A$2:$A272,"Q12026"),"")</f>
        <v/>
      </c>
      <c r="J272" t="str">
        <f>IF(A272="Q22026",COUNTIF($A$2:$A272,"Q22026"),"")</f>
        <v/>
      </c>
      <c r="K272" t="str">
        <f>IF(A272="Q32026",COUNTIF($A$2:$A272,"Q32026"),"")</f>
        <v/>
      </c>
      <c r="L272" t="str">
        <f>IF(A272="Q42026",COUNTIF($A$2:$A272,"Q42026"),"")</f>
        <v/>
      </c>
      <c r="M272" t="str">
        <f>IF(A272="Backlog",COUNTIF($A$2:$A272,"Backlog"),"")</f>
        <v/>
      </c>
    </row>
    <row r="273" spans="1:13">
      <c r="A273" t="str">
        <f>IF(AND('Q42026'!B34&lt;&gt;"",'Q42026'!E34&lt;&gt;""),'Q42026'!E34,"")</f>
        <v/>
      </c>
      <c r="B273" t="str">
        <f>IF(AND('Q42026'!B34&lt;&gt;"",'Q42026'!E34&lt;&gt;""),'Q42026'!B34,"")</f>
        <v/>
      </c>
      <c r="C273" t="str">
        <f>IF(AND('Q42026'!B34&lt;&gt;"",'Q42026'!E34&lt;&gt;""),'Q42026'!C34,"")</f>
        <v/>
      </c>
      <c r="D273" t="str">
        <f>IF(AND('Q42026'!B34&lt;&gt;"",'Q42026'!E34&lt;&gt;""),'Q42026'!D34,"")</f>
        <v/>
      </c>
      <c r="E273" t="str">
        <f>IF(AND('Q42026'!B34&lt;&gt;"",'Q42026'!E34&lt;&gt;""),'Q42026'!H34,"")</f>
        <v/>
      </c>
      <c r="F273" t="str">
        <f>IF(AND('Q42026'!B34&lt;&gt;"",'Q42026'!E34&lt;&gt;""),'Q42026'!F34,"")</f>
        <v/>
      </c>
      <c r="G273" t="str">
        <f>IF(AND('Q42026'!B34&lt;&gt;"",'Q42026'!E34&lt;&gt;""),'Q42026'!G34,"")</f>
        <v/>
      </c>
      <c r="H273" t="str">
        <f>IF(AND('Q42026'!B34&lt;&gt;"",'Q42026'!E34&lt;&gt;""),"Q42026","")</f>
        <v/>
      </c>
      <c r="I273" t="str">
        <f>IF(A273="Q12026",COUNTIF($A$2:$A273,"Q12026"),"")</f>
        <v/>
      </c>
      <c r="J273" t="str">
        <f>IF(A273="Q22026",COUNTIF($A$2:$A273,"Q22026"),"")</f>
        <v/>
      </c>
      <c r="K273" t="str">
        <f>IF(A273="Q32026",COUNTIF($A$2:$A273,"Q32026"),"")</f>
        <v/>
      </c>
      <c r="L273" t="str">
        <f>IF(A273="Q42026",COUNTIF($A$2:$A273,"Q42026"),"")</f>
        <v/>
      </c>
      <c r="M273" t="str">
        <f>IF(A273="Backlog",COUNTIF($A$2:$A273,"Backlog"),"")</f>
        <v/>
      </c>
    </row>
    <row r="274" spans="1:13">
      <c r="A274" t="str">
        <f>IF(AND('Q42026'!B35&lt;&gt;"",'Q42026'!E35&lt;&gt;""),'Q42026'!E35,"")</f>
        <v/>
      </c>
      <c r="B274" t="str">
        <f>IF(AND('Q42026'!B35&lt;&gt;"",'Q42026'!E35&lt;&gt;""),'Q42026'!B35,"")</f>
        <v/>
      </c>
      <c r="C274" t="str">
        <f>IF(AND('Q42026'!B35&lt;&gt;"",'Q42026'!E35&lt;&gt;""),'Q42026'!C35,"")</f>
        <v/>
      </c>
      <c r="D274" t="str">
        <f>IF(AND('Q42026'!B35&lt;&gt;"",'Q42026'!E35&lt;&gt;""),'Q42026'!D35,"")</f>
        <v/>
      </c>
      <c r="E274" t="str">
        <f>IF(AND('Q42026'!B35&lt;&gt;"",'Q42026'!E35&lt;&gt;""),'Q42026'!H35,"")</f>
        <v/>
      </c>
      <c r="F274" t="str">
        <f>IF(AND('Q42026'!B35&lt;&gt;"",'Q42026'!E35&lt;&gt;""),'Q42026'!F35,"")</f>
        <v/>
      </c>
      <c r="G274" t="str">
        <f>IF(AND('Q42026'!B35&lt;&gt;"",'Q42026'!E35&lt;&gt;""),'Q42026'!G35,"")</f>
        <v/>
      </c>
      <c r="H274" t="str">
        <f>IF(AND('Q42026'!B35&lt;&gt;"",'Q42026'!E35&lt;&gt;""),"Q42026","")</f>
        <v/>
      </c>
      <c r="I274" t="str">
        <f>IF(A274="Q12026",COUNTIF($A$2:$A274,"Q12026"),"")</f>
        <v/>
      </c>
      <c r="J274" t="str">
        <f>IF(A274="Q22026",COUNTIF($A$2:$A274,"Q22026"),"")</f>
        <v/>
      </c>
      <c r="K274" t="str">
        <f>IF(A274="Q32026",COUNTIF($A$2:$A274,"Q32026"),"")</f>
        <v/>
      </c>
      <c r="L274" t="str">
        <f>IF(A274="Q42026",COUNTIF($A$2:$A274,"Q42026"),"")</f>
        <v/>
      </c>
      <c r="M274" t="str">
        <f>IF(A274="Backlog",COUNTIF($A$2:$A274,"Backlog"),"")</f>
        <v/>
      </c>
    </row>
    <row r="275" spans="1:13">
      <c r="A275" t="str">
        <f>IF(AND('Q42026'!B36&lt;&gt;"",'Q42026'!E36&lt;&gt;""),'Q42026'!E36,"")</f>
        <v/>
      </c>
      <c r="B275" t="str">
        <f>IF(AND('Q42026'!B36&lt;&gt;"",'Q42026'!E36&lt;&gt;""),'Q42026'!B36,"")</f>
        <v/>
      </c>
      <c r="C275" t="str">
        <f>IF(AND('Q42026'!B36&lt;&gt;"",'Q42026'!E36&lt;&gt;""),'Q42026'!C36,"")</f>
        <v/>
      </c>
      <c r="D275" t="str">
        <f>IF(AND('Q42026'!B36&lt;&gt;"",'Q42026'!E36&lt;&gt;""),'Q42026'!D36,"")</f>
        <v/>
      </c>
      <c r="E275" t="str">
        <f>IF(AND('Q42026'!B36&lt;&gt;"",'Q42026'!E36&lt;&gt;""),'Q42026'!H36,"")</f>
        <v/>
      </c>
      <c r="F275" t="str">
        <f>IF(AND('Q42026'!B36&lt;&gt;"",'Q42026'!E36&lt;&gt;""),'Q42026'!F36,"")</f>
        <v/>
      </c>
      <c r="G275" t="str">
        <f>IF(AND('Q42026'!B36&lt;&gt;"",'Q42026'!E36&lt;&gt;""),'Q42026'!G36,"")</f>
        <v/>
      </c>
      <c r="H275" t="str">
        <f>IF(AND('Q42026'!B36&lt;&gt;"",'Q42026'!E36&lt;&gt;""),"Q42026","")</f>
        <v/>
      </c>
      <c r="I275" t="str">
        <f>IF(A275="Q12026",COUNTIF($A$2:$A275,"Q12026"),"")</f>
        <v/>
      </c>
      <c r="J275" t="str">
        <f>IF(A275="Q22026",COUNTIF($A$2:$A275,"Q22026"),"")</f>
        <v/>
      </c>
      <c r="K275" t="str">
        <f>IF(A275="Q32026",COUNTIF($A$2:$A275,"Q32026"),"")</f>
        <v/>
      </c>
      <c r="L275" t="str">
        <f>IF(A275="Q42026",COUNTIF($A$2:$A275,"Q42026"),"")</f>
        <v/>
      </c>
      <c r="M275" t="str">
        <f>IF(A275="Backlog",COUNTIF($A$2:$A275,"Backlog"),"")</f>
        <v/>
      </c>
    </row>
    <row r="276" spans="1:13">
      <c r="A276" t="str">
        <f>IF(AND('Q42026'!B37&lt;&gt;"",'Q42026'!E37&lt;&gt;""),'Q42026'!E37,"")</f>
        <v/>
      </c>
      <c r="B276" t="str">
        <f>IF(AND('Q42026'!B37&lt;&gt;"",'Q42026'!E37&lt;&gt;""),'Q42026'!B37,"")</f>
        <v/>
      </c>
      <c r="C276" t="str">
        <f>IF(AND('Q42026'!B37&lt;&gt;"",'Q42026'!E37&lt;&gt;""),'Q42026'!C37,"")</f>
        <v/>
      </c>
      <c r="D276" t="str">
        <f>IF(AND('Q42026'!B37&lt;&gt;"",'Q42026'!E37&lt;&gt;""),'Q42026'!D37,"")</f>
        <v/>
      </c>
      <c r="E276" t="str">
        <f>IF(AND('Q42026'!B37&lt;&gt;"",'Q42026'!E37&lt;&gt;""),'Q42026'!H37,"")</f>
        <v/>
      </c>
      <c r="F276" t="str">
        <f>IF(AND('Q42026'!B37&lt;&gt;"",'Q42026'!E37&lt;&gt;""),'Q42026'!F37,"")</f>
        <v/>
      </c>
      <c r="G276" t="str">
        <f>IF(AND('Q42026'!B37&lt;&gt;"",'Q42026'!E37&lt;&gt;""),'Q42026'!G37,"")</f>
        <v/>
      </c>
      <c r="H276" t="str">
        <f>IF(AND('Q42026'!B37&lt;&gt;"",'Q42026'!E37&lt;&gt;""),"Q42026","")</f>
        <v/>
      </c>
      <c r="I276" t="str">
        <f>IF(A276="Q12026",COUNTIF($A$2:$A276,"Q12026"),"")</f>
        <v/>
      </c>
      <c r="J276" t="str">
        <f>IF(A276="Q22026",COUNTIF($A$2:$A276,"Q22026"),"")</f>
        <v/>
      </c>
      <c r="K276" t="str">
        <f>IF(A276="Q32026",COUNTIF($A$2:$A276,"Q32026"),"")</f>
        <v/>
      </c>
      <c r="L276" t="str">
        <f>IF(A276="Q42026",COUNTIF($A$2:$A276,"Q42026"),"")</f>
        <v/>
      </c>
      <c r="M276" t="str">
        <f>IF(A276="Backlog",COUNTIF($A$2:$A276,"Backlog"),"")</f>
        <v/>
      </c>
    </row>
    <row r="277" spans="1:13">
      <c r="A277" t="str">
        <f>IF(AND('Q42026'!B38&lt;&gt;"",'Q42026'!E38&lt;&gt;""),'Q42026'!E38,"")</f>
        <v/>
      </c>
      <c r="B277" t="str">
        <f>IF(AND('Q42026'!B38&lt;&gt;"",'Q42026'!E38&lt;&gt;""),'Q42026'!B38,"")</f>
        <v/>
      </c>
      <c r="C277" t="str">
        <f>IF(AND('Q42026'!B38&lt;&gt;"",'Q42026'!E38&lt;&gt;""),'Q42026'!C38,"")</f>
        <v/>
      </c>
      <c r="D277" t="str">
        <f>IF(AND('Q42026'!B38&lt;&gt;"",'Q42026'!E38&lt;&gt;""),'Q42026'!D38,"")</f>
        <v/>
      </c>
      <c r="E277" t="str">
        <f>IF(AND('Q42026'!B38&lt;&gt;"",'Q42026'!E38&lt;&gt;""),'Q42026'!H38,"")</f>
        <v/>
      </c>
      <c r="F277" t="str">
        <f>IF(AND('Q42026'!B38&lt;&gt;"",'Q42026'!E38&lt;&gt;""),'Q42026'!F38,"")</f>
        <v/>
      </c>
      <c r="G277" t="str">
        <f>IF(AND('Q42026'!B38&lt;&gt;"",'Q42026'!E38&lt;&gt;""),'Q42026'!G38,"")</f>
        <v/>
      </c>
      <c r="H277" t="str">
        <f>IF(AND('Q42026'!B38&lt;&gt;"",'Q42026'!E38&lt;&gt;""),"Q42026","")</f>
        <v/>
      </c>
      <c r="I277" t="str">
        <f>IF(A277="Q12026",COUNTIF($A$2:$A277,"Q12026"),"")</f>
        <v/>
      </c>
      <c r="J277" t="str">
        <f>IF(A277="Q22026",COUNTIF($A$2:$A277,"Q22026"),"")</f>
        <v/>
      </c>
      <c r="K277" t="str">
        <f>IF(A277="Q32026",COUNTIF($A$2:$A277,"Q32026"),"")</f>
        <v/>
      </c>
      <c r="L277" t="str">
        <f>IF(A277="Q42026",COUNTIF($A$2:$A277,"Q42026"),"")</f>
        <v/>
      </c>
      <c r="M277" t="str">
        <f>IF(A277="Backlog",COUNTIF($A$2:$A277,"Backlog"),"")</f>
        <v/>
      </c>
    </row>
    <row r="278" spans="1:13">
      <c r="A278" t="str">
        <f>IF(AND('Q42026'!B39&lt;&gt;"",'Q42026'!E39&lt;&gt;""),'Q42026'!E39,"")</f>
        <v/>
      </c>
      <c r="B278" t="str">
        <f>IF(AND('Q42026'!B39&lt;&gt;"",'Q42026'!E39&lt;&gt;""),'Q42026'!B39,"")</f>
        <v/>
      </c>
      <c r="C278" t="str">
        <f>IF(AND('Q42026'!B39&lt;&gt;"",'Q42026'!E39&lt;&gt;""),'Q42026'!C39,"")</f>
        <v/>
      </c>
      <c r="D278" t="str">
        <f>IF(AND('Q42026'!B39&lt;&gt;"",'Q42026'!E39&lt;&gt;""),'Q42026'!D39,"")</f>
        <v/>
      </c>
      <c r="E278" t="str">
        <f>IF(AND('Q42026'!B39&lt;&gt;"",'Q42026'!E39&lt;&gt;""),'Q42026'!H39,"")</f>
        <v/>
      </c>
      <c r="F278" t="str">
        <f>IF(AND('Q42026'!B39&lt;&gt;"",'Q42026'!E39&lt;&gt;""),'Q42026'!F39,"")</f>
        <v/>
      </c>
      <c r="G278" t="str">
        <f>IF(AND('Q42026'!B39&lt;&gt;"",'Q42026'!E39&lt;&gt;""),'Q42026'!G39,"")</f>
        <v/>
      </c>
      <c r="H278" t="str">
        <f>IF(AND('Q42026'!B39&lt;&gt;"",'Q42026'!E39&lt;&gt;""),"Q42026","")</f>
        <v/>
      </c>
      <c r="I278" t="str">
        <f>IF(A278="Q12026",COUNTIF($A$2:$A278,"Q12026"),"")</f>
        <v/>
      </c>
      <c r="J278" t="str">
        <f>IF(A278="Q22026",COUNTIF($A$2:$A278,"Q22026"),"")</f>
        <v/>
      </c>
      <c r="K278" t="str">
        <f>IF(A278="Q32026",COUNTIF($A$2:$A278,"Q32026"),"")</f>
        <v/>
      </c>
      <c r="L278" t="str">
        <f>IF(A278="Q42026",COUNTIF($A$2:$A278,"Q42026"),"")</f>
        <v/>
      </c>
      <c r="M278" t="str">
        <f>IF(A278="Backlog",COUNTIF($A$2:$A278,"Backlog"),"")</f>
        <v/>
      </c>
    </row>
    <row r="279" spans="1:13">
      <c r="A279" t="str">
        <f>IF(AND('Q42026'!B40&lt;&gt;"",'Q42026'!E40&lt;&gt;""),'Q42026'!E40,"")</f>
        <v/>
      </c>
      <c r="B279" t="str">
        <f>IF(AND('Q42026'!B40&lt;&gt;"",'Q42026'!E40&lt;&gt;""),'Q42026'!B40,"")</f>
        <v/>
      </c>
      <c r="C279" t="str">
        <f>IF(AND('Q42026'!B40&lt;&gt;"",'Q42026'!E40&lt;&gt;""),'Q42026'!C40,"")</f>
        <v/>
      </c>
      <c r="D279" t="str">
        <f>IF(AND('Q42026'!B40&lt;&gt;"",'Q42026'!E40&lt;&gt;""),'Q42026'!D40,"")</f>
        <v/>
      </c>
      <c r="E279" t="str">
        <f>IF(AND('Q42026'!B40&lt;&gt;"",'Q42026'!E40&lt;&gt;""),'Q42026'!H40,"")</f>
        <v/>
      </c>
      <c r="F279" t="str">
        <f>IF(AND('Q42026'!B40&lt;&gt;"",'Q42026'!E40&lt;&gt;""),'Q42026'!F40,"")</f>
        <v/>
      </c>
      <c r="G279" t="str">
        <f>IF(AND('Q42026'!B40&lt;&gt;"",'Q42026'!E40&lt;&gt;""),'Q42026'!G40,"")</f>
        <v/>
      </c>
      <c r="H279" t="str">
        <f>IF(AND('Q42026'!B40&lt;&gt;"",'Q42026'!E40&lt;&gt;""),"Q42026","")</f>
        <v/>
      </c>
      <c r="I279" t="str">
        <f>IF(A279="Q12026",COUNTIF($A$2:$A279,"Q12026"),"")</f>
        <v/>
      </c>
      <c r="J279" t="str">
        <f>IF(A279="Q22026",COUNTIF($A$2:$A279,"Q22026"),"")</f>
        <v/>
      </c>
      <c r="K279" t="str">
        <f>IF(A279="Q32026",COUNTIF($A$2:$A279,"Q32026"),"")</f>
        <v/>
      </c>
      <c r="L279" t="str">
        <f>IF(A279="Q42026",COUNTIF($A$2:$A279,"Q42026"),"")</f>
        <v/>
      </c>
      <c r="M279" t="str">
        <f>IF(A279="Backlog",COUNTIF($A$2:$A279,"Backlog"),"")</f>
        <v/>
      </c>
    </row>
    <row r="280" spans="1:13">
      <c r="A280" t="str">
        <f>IF(AND('Q42026'!B41&lt;&gt;"",'Q42026'!E41&lt;&gt;""),'Q42026'!E41,"")</f>
        <v/>
      </c>
      <c r="B280" t="str">
        <f>IF(AND('Q42026'!B41&lt;&gt;"",'Q42026'!E41&lt;&gt;""),'Q42026'!B41,"")</f>
        <v/>
      </c>
      <c r="C280" t="str">
        <f>IF(AND('Q42026'!B41&lt;&gt;"",'Q42026'!E41&lt;&gt;""),'Q42026'!C41,"")</f>
        <v/>
      </c>
      <c r="D280" t="str">
        <f>IF(AND('Q42026'!B41&lt;&gt;"",'Q42026'!E41&lt;&gt;""),'Q42026'!D41,"")</f>
        <v/>
      </c>
      <c r="E280" t="str">
        <f>IF(AND('Q42026'!B41&lt;&gt;"",'Q42026'!E41&lt;&gt;""),'Q42026'!H41,"")</f>
        <v/>
      </c>
      <c r="F280" t="str">
        <f>IF(AND('Q42026'!B41&lt;&gt;"",'Q42026'!E41&lt;&gt;""),'Q42026'!F41,"")</f>
        <v/>
      </c>
      <c r="G280" t="str">
        <f>IF(AND('Q42026'!B41&lt;&gt;"",'Q42026'!E41&lt;&gt;""),'Q42026'!G41,"")</f>
        <v/>
      </c>
      <c r="H280" t="str">
        <f>IF(AND('Q42026'!B41&lt;&gt;"",'Q42026'!E41&lt;&gt;""),"Q42026","")</f>
        <v/>
      </c>
      <c r="I280" t="str">
        <f>IF(A280="Q12026",COUNTIF($A$2:$A280,"Q12026"),"")</f>
        <v/>
      </c>
      <c r="J280" t="str">
        <f>IF(A280="Q22026",COUNTIF($A$2:$A280,"Q22026"),"")</f>
        <v/>
      </c>
      <c r="K280" t="str">
        <f>IF(A280="Q32026",COUNTIF($A$2:$A280,"Q32026"),"")</f>
        <v/>
      </c>
      <c r="L280" t="str">
        <f>IF(A280="Q42026",COUNTIF($A$2:$A280,"Q42026"),"")</f>
        <v/>
      </c>
      <c r="M280" t="str">
        <f>IF(A280="Backlog",COUNTIF($A$2:$A280,"Backlog"),"")</f>
        <v/>
      </c>
    </row>
    <row r="281" spans="1:13">
      <c r="A281" t="str">
        <f>IF(AND('Q42026'!B42&lt;&gt;"",'Q42026'!E42&lt;&gt;""),'Q42026'!E42,"")</f>
        <v/>
      </c>
      <c r="B281" t="str">
        <f>IF(AND('Q42026'!B42&lt;&gt;"",'Q42026'!E42&lt;&gt;""),'Q42026'!B42,"")</f>
        <v/>
      </c>
      <c r="C281" t="str">
        <f>IF(AND('Q42026'!B42&lt;&gt;"",'Q42026'!E42&lt;&gt;""),'Q42026'!C42,"")</f>
        <v/>
      </c>
      <c r="D281" t="str">
        <f>IF(AND('Q42026'!B42&lt;&gt;"",'Q42026'!E42&lt;&gt;""),'Q42026'!D42,"")</f>
        <v/>
      </c>
      <c r="E281" t="str">
        <f>IF(AND('Q42026'!B42&lt;&gt;"",'Q42026'!E42&lt;&gt;""),'Q42026'!H42,"")</f>
        <v/>
      </c>
      <c r="F281" t="str">
        <f>IF(AND('Q42026'!B42&lt;&gt;"",'Q42026'!E42&lt;&gt;""),'Q42026'!F42,"")</f>
        <v/>
      </c>
      <c r="G281" t="str">
        <f>IF(AND('Q42026'!B42&lt;&gt;"",'Q42026'!E42&lt;&gt;""),'Q42026'!G42,"")</f>
        <v/>
      </c>
      <c r="H281" t="str">
        <f>IF(AND('Q42026'!B42&lt;&gt;"",'Q42026'!E42&lt;&gt;""),"Q42026","")</f>
        <v/>
      </c>
      <c r="I281" t="str">
        <f>IF(A281="Q12026",COUNTIF($A$2:$A281,"Q12026"),"")</f>
        <v/>
      </c>
      <c r="J281" t="str">
        <f>IF(A281="Q22026",COUNTIF($A$2:$A281,"Q22026"),"")</f>
        <v/>
      </c>
      <c r="K281" t="str">
        <f>IF(A281="Q32026",COUNTIF($A$2:$A281,"Q32026"),"")</f>
        <v/>
      </c>
      <c r="L281" t="str">
        <f>IF(A281="Q42026",COUNTIF($A$2:$A281,"Q42026"),"")</f>
        <v/>
      </c>
      <c r="M281" t="str">
        <f>IF(A281="Backlog",COUNTIF($A$2:$A281,"Backlog"),"")</f>
        <v/>
      </c>
    </row>
    <row r="282" spans="1:13">
      <c r="A282" t="str">
        <f>IF(AND('Q42026'!B43&lt;&gt;"",'Q42026'!E43&lt;&gt;""),'Q42026'!E43,"")</f>
        <v/>
      </c>
      <c r="B282" t="str">
        <f>IF(AND('Q42026'!B43&lt;&gt;"",'Q42026'!E43&lt;&gt;""),'Q42026'!B43,"")</f>
        <v/>
      </c>
      <c r="C282" t="str">
        <f>IF(AND('Q42026'!B43&lt;&gt;"",'Q42026'!E43&lt;&gt;""),'Q42026'!C43,"")</f>
        <v/>
      </c>
      <c r="D282" t="str">
        <f>IF(AND('Q42026'!B43&lt;&gt;"",'Q42026'!E43&lt;&gt;""),'Q42026'!D43,"")</f>
        <v/>
      </c>
      <c r="E282" t="str">
        <f>IF(AND('Q42026'!B43&lt;&gt;"",'Q42026'!E43&lt;&gt;""),'Q42026'!H43,"")</f>
        <v/>
      </c>
      <c r="F282" t="str">
        <f>IF(AND('Q42026'!B43&lt;&gt;"",'Q42026'!E43&lt;&gt;""),'Q42026'!F43,"")</f>
        <v/>
      </c>
      <c r="G282" t="str">
        <f>IF(AND('Q42026'!B43&lt;&gt;"",'Q42026'!E43&lt;&gt;""),'Q42026'!G43,"")</f>
        <v/>
      </c>
      <c r="H282" t="str">
        <f>IF(AND('Q42026'!B43&lt;&gt;"",'Q42026'!E43&lt;&gt;""),"Q42026","")</f>
        <v/>
      </c>
      <c r="I282" t="str">
        <f>IF(A282="Q12026",COUNTIF($A$2:$A282,"Q12026"),"")</f>
        <v/>
      </c>
      <c r="J282" t="str">
        <f>IF(A282="Q22026",COUNTIF($A$2:$A282,"Q22026"),"")</f>
        <v/>
      </c>
      <c r="K282" t="str">
        <f>IF(A282="Q32026",COUNTIF($A$2:$A282,"Q32026"),"")</f>
        <v/>
      </c>
      <c r="L282" t="str">
        <f>IF(A282="Q42026",COUNTIF($A$2:$A282,"Q42026"),"")</f>
        <v/>
      </c>
      <c r="M282" t="str">
        <f>IF(A282="Backlog",COUNTIF($A$2:$A282,"Backlog"),"")</f>
        <v/>
      </c>
    </row>
    <row r="283" spans="1:13">
      <c r="A283" t="str">
        <f>IF(AND('Q42026'!B44&lt;&gt;"",'Q42026'!E44&lt;&gt;""),'Q42026'!E44,"")</f>
        <v/>
      </c>
      <c r="B283" t="str">
        <f>IF(AND('Q42026'!B44&lt;&gt;"",'Q42026'!E44&lt;&gt;""),'Q42026'!B44,"")</f>
        <v/>
      </c>
      <c r="C283" t="str">
        <f>IF(AND('Q42026'!B44&lt;&gt;"",'Q42026'!E44&lt;&gt;""),'Q42026'!C44,"")</f>
        <v/>
      </c>
      <c r="D283" t="str">
        <f>IF(AND('Q42026'!B44&lt;&gt;"",'Q42026'!E44&lt;&gt;""),'Q42026'!D44,"")</f>
        <v/>
      </c>
      <c r="E283" t="str">
        <f>IF(AND('Q42026'!B44&lt;&gt;"",'Q42026'!E44&lt;&gt;""),'Q42026'!H44,"")</f>
        <v/>
      </c>
      <c r="F283" t="str">
        <f>IF(AND('Q42026'!B44&lt;&gt;"",'Q42026'!E44&lt;&gt;""),'Q42026'!F44,"")</f>
        <v/>
      </c>
      <c r="G283" t="str">
        <f>IF(AND('Q42026'!B44&lt;&gt;"",'Q42026'!E44&lt;&gt;""),'Q42026'!G44,"")</f>
        <v/>
      </c>
      <c r="H283" t="str">
        <f>IF(AND('Q42026'!B44&lt;&gt;"",'Q42026'!E44&lt;&gt;""),"Q42026","")</f>
        <v/>
      </c>
      <c r="I283" t="str">
        <f>IF(A283="Q12026",COUNTIF($A$2:$A283,"Q12026"),"")</f>
        <v/>
      </c>
      <c r="J283" t="str">
        <f>IF(A283="Q22026",COUNTIF($A$2:$A283,"Q22026"),"")</f>
        <v/>
      </c>
      <c r="K283" t="str">
        <f>IF(A283="Q32026",COUNTIF($A$2:$A283,"Q32026"),"")</f>
        <v/>
      </c>
      <c r="L283" t="str">
        <f>IF(A283="Q42026",COUNTIF($A$2:$A283,"Q42026"),"")</f>
        <v/>
      </c>
      <c r="M283" t="str">
        <f>IF(A283="Backlog",COUNTIF($A$2:$A283,"Backlog"),"")</f>
        <v/>
      </c>
    </row>
    <row r="284" spans="1:13">
      <c r="A284" t="str">
        <f>IF(AND('Q42026'!B45&lt;&gt;"",'Q42026'!E45&lt;&gt;""),'Q42026'!E45,"")</f>
        <v/>
      </c>
      <c r="B284" t="str">
        <f>IF(AND('Q42026'!B45&lt;&gt;"",'Q42026'!E45&lt;&gt;""),'Q42026'!B45,"")</f>
        <v/>
      </c>
      <c r="C284" t="str">
        <f>IF(AND('Q42026'!B45&lt;&gt;"",'Q42026'!E45&lt;&gt;""),'Q42026'!C45,"")</f>
        <v/>
      </c>
      <c r="D284" t="str">
        <f>IF(AND('Q42026'!B45&lt;&gt;"",'Q42026'!E45&lt;&gt;""),'Q42026'!D45,"")</f>
        <v/>
      </c>
      <c r="E284" t="str">
        <f>IF(AND('Q42026'!B45&lt;&gt;"",'Q42026'!E45&lt;&gt;""),'Q42026'!H45,"")</f>
        <v/>
      </c>
      <c r="F284" t="str">
        <f>IF(AND('Q42026'!B45&lt;&gt;"",'Q42026'!E45&lt;&gt;""),'Q42026'!F45,"")</f>
        <v/>
      </c>
      <c r="G284" t="str">
        <f>IF(AND('Q42026'!B45&lt;&gt;"",'Q42026'!E45&lt;&gt;""),'Q42026'!G45,"")</f>
        <v/>
      </c>
      <c r="H284" t="str">
        <f>IF(AND('Q42026'!B45&lt;&gt;"",'Q42026'!E45&lt;&gt;""),"Q42026","")</f>
        <v/>
      </c>
      <c r="I284" t="str">
        <f>IF(A284="Q12026",COUNTIF($A$2:$A284,"Q12026"),"")</f>
        <v/>
      </c>
      <c r="J284" t="str">
        <f>IF(A284="Q22026",COUNTIF($A$2:$A284,"Q22026"),"")</f>
        <v/>
      </c>
      <c r="K284" t="str">
        <f>IF(A284="Q32026",COUNTIF($A$2:$A284,"Q32026"),"")</f>
        <v/>
      </c>
      <c r="L284" t="str">
        <f>IF(A284="Q42026",COUNTIF($A$2:$A284,"Q42026"),"")</f>
        <v/>
      </c>
      <c r="M284" t="str">
        <f>IF(A284="Backlog",COUNTIF($A$2:$A284,"Backlog"),"")</f>
        <v/>
      </c>
    </row>
    <row r="285" spans="1:13">
      <c r="A285" t="str">
        <f>IF(AND('Q42026'!B46&lt;&gt;"",'Q42026'!E46&lt;&gt;""),'Q42026'!E46,"")</f>
        <v/>
      </c>
      <c r="B285" t="str">
        <f>IF(AND('Q42026'!B46&lt;&gt;"",'Q42026'!E46&lt;&gt;""),'Q42026'!B46,"")</f>
        <v/>
      </c>
      <c r="C285" t="str">
        <f>IF(AND('Q42026'!B46&lt;&gt;"",'Q42026'!E46&lt;&gt;""),'Q42026'!C46,"")</f>
        <v/>
      </c>
      <c r="D285" t="str">
        <f>IF(AND('Q42026'!B46&lt;&gt;"",'Q42026'!E46&lt;&gt;""),'Q42026'!D46,"")</f>
        <v/>
      </c>
      <c r="E285" t="str">
        <f>IF(AND('Q42026'!B46&lt;&gt;"",'Q42026'!E46&lt;&gt;""),'Q42026'!H46,"")</f>
        <v/>
      </c>
      <c r="F285" t="str">
        <f>IF(AND('Q42026'!B46&lt;&gt;"",'Q42026'!E46&lt;&gt;""),'Q42026'!F46,"")</f>
        <v/>
      </c>
      <c r="G285" t="str">
        <f>IF(AND('Q42026'!B46&lt;&gt;"",'Q42026'!E46&lt;&gt;""),'Q42026'!G46,"")</f>
        <v/>
      </c>
      <c r="H285" t="str">
        <f>IF(AND('Q42026'!B46&lt;&gt;"",'Q42026'!E46&lt;&gt;""),"Q42026","")</f>
        <v/>
      </c>
      <c r="I285" t="str">
        <f>IF(A285="Q12026",COUNTIF($A$2:$A285,"Q12026"),"")</f>
        <v/>
      </c>
      <c r="J285" t="str">
        <f>IF(A285="Q22026",COUNTIF($A$2:$A285,"Q22026"),"")</f>
        <v/>
      </c>
      <c r="K285" t="str">
        <f>IF(A285="Q32026",COUNTIF($A$2:$A285,"Q32026"),"")</f>
        <v/>
      </c>
      <c r="L285" t="str">
        <f>IF(A285="Q42026",COUNTIF($A$2:$A285,"Q42026"),"")</f>
        <v/>
      </c>
      <c r="M285" t="str">
        <f>IF(A285="Backlog",COUNTIF($A$2:$A285,"Backlog"),"")</f>
        <v/>
      </c>
    </row>
    <row r="286" spans="1:13">
      <c r="A286" t="str">
        <f>IF(AND('Q42026'!B47&lt;&gt;"",'Q42026'!E47&lt;&gt;""),'Q42026'!E47,"")</f>
        <v/>
      </c>
      <c r="B286" t="str">
        <f>IF(AND('Q42026'!B47&lt;&gt;"",'Q42026'!E47&lt;&gt;""),'Q42026'!B47,"")</f>
        <v/>
      </c>
      <c r="C286" t="str">
        <f>IF(AND('Q42026'!B47&lt;&gt;"",'Q42026'!E47&lt;&gt;""),'Q42026'!C47,"")</f>
        <v/>
      </c>
      <c r="D286" t="str">
        <f>IF(AND('Q42026'!B47&lt;&gt;"",'Q42026'!E47&lt;&gt;""),'Q42026'!D47,"")</f>
        <v/>
      </c>
      <c r="E286" t="str">
        <f>IF(AND('Q42026'!B47&lt;&gt;"",'Q42026'!E47&lt;&gt;""),'Q42026'!H47,"")</f>
        <v/>
      </c>
      <c r="F286" t="str">
        <f>IF(AND('Q42026'!B47&lt;&gt;"",'Q42026'!E47&lt;&gt;""),'Q42026'!F47,"")</f>
        <v/>
      </c>
      <c r="G286" t="str">
        <f>IF(AND('Q42026'!B47&lt;&gt;"",'Q42026'!E47&lt;&gt;""),'Q42026'!G47,"")</f>
        <v/>
      </c>
      <c r="H286" t="str">
        <f>IF(AND('Q42026'!B47&lt;&gt;"",'Q42026'!E47&lt;&gt;""),"Q42026","")</f>
        <v/>
      </c>
      <c r="I286" t="str">
        <f>IF(A286="Q12026",COUNTIF($A$2:$A286,"Q12026"),"")</f>
        <v/>
      </c>
      <c r="J286" t="str">
        <f>IF(A286="Q22026",COUNTIF($A$2:$A286,"Q22026"),"")</f>
        <v/>
      </c>
      <c r="K286" t="str">
        <f>IF(A286="Q32026",COUNTIF($A$2:$A286,"Q32026"),"")</f>
        <v/>
      </c>
      <c r="L286" t="str">
        <f>IF(A286="Q42026",COUNTIF($A$2:$A286,"Q42026"),"")</f>
        <v/>
      </c>
      <c r="M286" t="str">
        <f>IF(A286="Backlog",COUNTIF($A$2:$A286,"Backlog"),"")</f>
        <v/>
      </c>
    </row>
    <row r="287" spans="1:13">
      <c r="A287" t="str">
        <f>IF(AND('Q42026'!B48&lt;&gt;"",'Q42026'!E48&lt;&gt;""),'Q42026'!E48,"")</f>
        <v/>
      </c>
      <c r="B287" t="str">
        <f>IF(AND('Q42026'!B48&lt;&gt;"",'Q42026'!E48&lt;&gt;""),'Q42026'!B48,"")</f>
        <v/>
      </c>
      <c r="C287" t="str">
        <f>IF(AND('Q42026'!B48&lt;&gt;"",'Q42026'!E48&lt;&gt;""),'Q42026'!C48,"")</f>
        <v/>
      </c>
      <c r="D287" t="str">
        <f>IF(AND('Q42026'!B48&lt;&gt;"",'Q42026'!E48&lt;&gt;""),'Q42026'!D48,"")</f>
        <v/>
      </c>
      <c r="E287" t="str">
        <f>IF(AND('Q42026'!B48&lt;&gt;"",'Q42026'!E48&lt;&gt;""),'Q42026'!H48,"")</f>
        <v/>
      </c>
      <c r="F287" t="str">
        <f>IF(AND('Q42026'!B48&lt;&gt;"",'Q42026'!E48&lt;&gt;""),'Q42026'!F48,"")</f>
        <v/>
      </c>
      <c r="G287" t="str">
        <f>IF(AND('Q42026'!B48&lt;&gt;"",'Q42026'!E48&lt;&gt;""),'Q42026'!G48,"")</f>
        <v/>
      </c>
      <c r="H287" t="str">
        <f>IF(AND('Q42026'!B48&lt;&gt;"",'Q42026'!E48&lt;&gt;""),"Q42026","")</f>
        <v/>
      </c>
      <c r="I287" t="str">
        <f>IF(A287="Q12026",COUNTIF($A$2:$A287,"Q12026"),"")</f>
        <v/>
      </c>
      <c r="J287" t="str">
        <f>IF(A287="Q22026",COUNTIF($A$2:$A287,"Q22026"),"")</f>
        <v/>
      </c>
      <c r="K287" t="str">
        <f>IF(A287="Q32026",COUNTIF($A$2:$A287,"Q32026"),"")</f>
        <v/>
      </c>
      <c r="L287" t="str">
        <f>IF(A287="Q42026",COUNTIF($A$2:$A287,"Q42026"),"")</f>
        <v/>
      </c>
      <c r="M287" t="str">
        <f>IF(A287="Backlog",COUNTIF($A$2:$A287,"Backlog"),"")</f>
        <v/>
      </c>
    </row>
    <row r="288" spans="1:13">
      <c r="A288" t="str">
        <f>IF(AND('Q42026'!B49&lt;&gt;"",'Q42026'!E49&lt;&gt;""),'Q42026'!E49,"")</f>
        <v/>
      </c>
      <c r="B288" t="str">
        <f>IF(AND('Q42026'!B49&lt;&gt;"",'Q42026'!E49&lt;&gt;""),'Q42026'!B49,"")</f>
        <v/>
      </c>
      <c r="C288" t="str">
        <f>IF(AND('Q42026'!B49&lt;&gt;"",'Q42026'!E49&lt;&gt;""),'Q42026'!C49,"")</f>
        <v/>
      </c>
      <c r="D288" t="str">
        <f>IF(AND('Q42026'!B49&lt;&gt;"",'Q42026'!E49&lt;&gt;""),'Q42026'!D49,"")</f>
        <v/>
      </c>
      <c r="E288" t="str">
        <f>IF(AND('Q42026'!B49&lt;&gt;"",'Q42026'!E49&lt;&gt;""),'Q42026'!H49,"")</f>
        <v/>
      </c>
      <c r="F288" t="str">
        <f>IF(AND('Q42026'!B49&lt;&gt;"",'Q42026'!E49&lt;&gt;""),'Q42026'!F49,"")</f>
        <v/>
      </c>
      <c r="G288" t="str">
        <f>IF(AND('Q42026'!B49&lt;&gt;"",'Q42026'!E49&lt;&gt;""),'Q42026'!G49,"")</f>
        <v/>
      </c>
      <c r="H288" t="str">
        <f>IF(AND('Q42026'!B49&lt;&gt;"",'Q42026'!E49&lt;&gt;""),"Q42026","")</f>
        <v/>
      </c>
      <c r="I288" t="str">
        <f>IF(A288="Q12026",COUNTIF($A$2:$A288,"Q12026"),"")</f>
        <v/>
      </c>
      <c r="J288" t="str">
        <f>IF(A288="Q22026",COUNTIF($A$2:$A288,"Q22026"),"")</f>
        <v/>
      </c>
      <c r="K288" t="str">
        <f>IF(A288="Q32026",COUNTIF($A$2:$A288,"Q32026"),"")</f>
        <v/>
      </c>
      <c r="L288" t="str">
        <f>IF(A288="Q42026",COUNTIF($A$2:$A288,"Q42026"),"")</f>
        <v/>
      </c>
      <c r="M288" t="str">
        <f>IF(A288="Backlog",COUNTIF($A$2:$A288,"Backlog"),"")</f>
        <v/>
      </c>
    </row>
    <row r="289" spans="1:13">
      <c r="A289" t="str">
        <f>IF(AND('Q42026'!B50&lt;&gt;"",'Q42026'!E50&lt;&gt;""),'Q42026'!E50,"")</f>
        <v/>
      </c>
      <c r="B289" t="str">
        <f>IF(AND('Q42026'!B50&lt;&gt;"",'Q42026'!E50&lt;&gt;""),'Q42026'!B50,"")</f>
        <v/>
      </c>
      <c r="C289" t="str">
        <f>IF(AND('Q42026'!B50&lt;&gt;"",'Q42026'!E50&lt;&gt;""),'Q42026'!C50,"")</f>
        <v/>
      </c>
      <c r="D289" t="str">
        <f>IF(AND('Q42026'!B50&lt;&gt;"",'Q42026'!E50&lt;&gt;""),'Q42026'!D50,"")</f>
        <v/>
      </c>
      <c r="E289" t="str">
        <f>IF(AND('Q42026'!B50&lt;&gt;"",'Q42026'!E50&lt;&gt;""),'Q42026'!H50,"")</f>
        <v/>
      </c>
      <c r="F289" t="str">
        <f>IF(AND('Q42026'!B50&lt;&gt;"",'Q42026'!E50&lt;&gt;""),'Q42026'!F50,"")</f>
        <v/>
      </c>
      <c r="G289" t="str">
        <f>IF(AND('Q42026'!B50&lt;&gt;"",'Q42026'!E50&lt;&gt;""),'Q42026'!G50,"")</f>
        <v/>
      </c>
      <c r="H289" t="str">
        <f>IF(AND('Q42026'!B50&lt;&gt;"",'Q42026'!E50&lt;&gt;""),"Q42026","")</f>
        <v/>
      </c>
      <c r="I289" t="str">
        <f>IF(A289="Q12026",COUNTIF($A$2:$A289,"Q12026"),"")</f>
        <v/>
      </c>
      <c r="J289" t="str">
        <f>IF(A289="Q22026",COUNTIF($A$2:$A289,"Q22026"),"")</f>
        <v/>
      </c>
      <c r="K289" t="str">
        <f>IF(A289="Q32026",COUNTIF($A$2:$A289,"Q32026"),"")</f>
        <v/>
      </c>
      <c r="L289" t="str">
        <f>IF(A289="Q42026",COUNTIF($A$2:$A289,"Q42026"),"")</f>
        <v/>
      </c>
      <c r="M289" t="str">
        <f>IF(A289="Backlog",COUNTIF($A$2:$A289,"Backlog"),"")</f>
        <v/>
      </c>
    </row>
    <row r="290" spans="1:13">
      <c r="A290" t="str">
        <f>IF(AND('Q42026'!B51&lt;&gt;"",'Q42026'!E51&lt;&gt;""),'Q42026'!E51,"")</f>
        <v/>
      </c>
      <c r="B290" t="str">
        <f>IF(AND('Q42026'!B51&lt;&gt;"",'Q42026'!E51&lt;&gt;""),'Q42026'!B51,"")</f>
        <v/>
      </c>
      <c r="C290" t="str">
        <f>IF(AND('Q42026'!B51&lt;&gt;"",'Q42026'!E51&lt;&gt;""),'Q42026'!C51,"")</f>
        <v/>
      </c>
      <c r="D290" t="str">
        <f>IF(AND('Q42026'!B51&lt;&gt;"",'Q42026'!E51&lt;&gt;""),'Q42026'!D51,"")</f>
        <v/>
      </c>
      <c r="E290" t="str">
        <f>IF(AND('Q42026'!B51&lt;&gt;"",'Q42026'!E51&lt;&gt;""),'Q42026'!H51,"")</f>
        <v/>
      </c>
      <c r="F290" t="str">
        <f>IF(AND('Q42026'!B51&lt;&gt;"",'Q42026'!E51&lt;&gt;""),'Q42026'!F51,"")</f>
        <v/>
      </c>
      <c r="G290" t="str">
        <f>IF(AND('Q42026'!B51&lt;&gt;"",'Q42026'!E51&lt;&gt;""),'Q42026'!G51,"")</f>
        <v/>
      </c>
      <c r="H290" t="str">
        <f>IF(AND('Q42026'!B51&lt;&gt;"",'Q42026'!E51&lt;&gt;""),"Q42026","")</f>
        <v/>
      </c>
      <c r="I290" t="str">
        <f>IF(A290="Q12026",COUNTIF($A$2:$A290,"Q12026"),"")</f>
        <v/>
      </c>
      <c r="J290" t="str">
        <f>IF(A290="Q22026",COUNTIF($A$2:$A290,"Q22026"),"")</f>
        <v/>
      </c>
      <c r="K290" t="str">
        <f>IF(A290="Q32026",COUNTIF($A$2:$A290,"Q32026"),"")</f>
        <v/>
      </c>
      <c r="L290" t="str">
        <f>IF(A290="Q42026",COUNTIF($A$2:$A290,"Q42026"),"")</f>
        <v/>
      </c>
      <c r="M290" t="str">
        <f>IF(A290="Backlog",COUNTIF($A$2:$A290,"Backlog"),"")</f>
        <v/>
      </c>
    </row>
    <row r="291" spans="1:13">
      <c r="A291" t="str">
        <f>IF(AND('Q42026'!B52&lt;&gt;"",'Q42026'!E52&lt;&gt;""),'Q42026'!E52,"")</f>
        <v/>
      </c>
      <c r="B291" t="str">
        <f>IF(AND('Q42026'!B52&lt;&gt;"",'Q42026'!E52&lt;&gt;""),'Q42026'!B52,"")</f>
        <v/>
      </c>
      <c r="C291" t="str">
        <f>IF(AND('Q42026'!B52&lt;&gt;"",'Q42026'!E52&lt;&gt;""),'Q42026'!C52,"")</f>
        <v/>
      </c>
      <c r="D291" t="str">
        <f>IF(AND('Q42026'!B52&lt;&gt;"",'Q42026'!E52&lt;&gt;""),'Q42026'!D52,"")</f>
        <v/>
      </c>
      <c r="E291" t="str">
        <f>IF(AND('Q42026'!B52&lt;&gt;"",'Q42026'!E52&lt;&gt;""),'Q42026'!H52,"")</f>
        <v/>
      </c>
      <c r="F291" t="str">
        <f>IF(AND('Q42026'!B52&lt;&gt;"",'Q42026'!E52&lt;&gt;""),'Q42026'!F52,"")</f>
        <v/>
      </c>
      <c r="G291" t="str">
        <f>IF(AND('Q42026'!B52&lt;&gt;"",'Q42026'!E52&lt;&gt;""),'Q42026'!G52,"")</f>
        <v/>
      </c>
      <c r="H291" t="str">
        <f>IF(AND('Q42026'!B52&lt;&gt;"",'Q42026'!E52&lt;&gt;""),"Q42026","")</f>
        <v/>
      </c>
      <c r="I291" t="str">
        <f>IF(A291="Q12026",COUNTIF($A$2:$A291,"Q12026"),"")</f>
        <v/>
      </c>
      <c r="J291" t="str">
        <f>IF(A291="Q22026",COUNTIF($A$2:$A291,"Q22026"),"")</f>
        <v/>
      </c>
      <c r="K291" t="str">
        <f>IF(A291="Q32026",COUNTIF($A$2:$A291,"Q32026"),"")</f>
        <v/>
      </c>
      <c r="L291" t="str">
        <f>IF(A291="Q42026",COUNTIF($A$2:$A291,"Q42026"),"")</f>
        <v/>
      </c>
      <c r="M291" t="str">
        <f>IF(A291="Backlog",COUNTIF($A$2:$A291,"Backlog"),"")</f>
        <v/>
      </c>
    </row>
    <row r="292" spans="1:13">
      <c r="A292" t="str">
        <f>IF(AND('Q42026'!B53&lt;&gt;"",'Q42026'!E53&lt;&gt;""),'Q42026'!E53,"")</f>
        <v/>
      </c>
      <c r="B292" t="str">
        <f>IF(AND('Q42026'!B53&lt;&gt;"",'Q42026'!E53&lt;&gt;""),'Q42026'!B53,"")</f>
        <v/>
      </c>
      <c r="C292" t="str">
        <f>IF(AND('Q42026'!B53&lt;&gt;"",'Q42026'!E53&lt;&gt;""),'Q42026'!C53,"")</f>
        <v/>
      </c>
      <c r="D292" t="str">
        <f>IF(AND('Q42026'!B53&lt;&gt;"",'Q42026'!E53&lt;&gt;""),'Q42026'!D53,"")</f>
        <v/>
      </c>
      <c r="E292" t="str">
        <f>IF(AND('Q42026'!B53&lt;&gt;"",'Q42026'!E53&lt;&gt;""),'Q42026'!H53,"")</f>
        <v/>
      </c>
      <c r="F292" t="str">
        <f>IF(AND('Q42026'!B53&lt;&gt;"",'Q42026'!E53&lt;&gt;""),'Q42026'!F53,"")</f>
        <v/>
      </c>
      <c r="G292" t="str">
        <f>IF(AND('Q42026'!B53&lt;&gt;"",'Q42026'!E53&lt;&gt;""),'Q42026'!G53,"")</f>
        <v/>
      </c>
      <c r="H292" t="str">
        <f>IF(AND('Q42026'!B53&lt;&gt;"",'Q42026'!E53&lt;&gt;""),"Q42026","")</f>
        <v/>
      </c>
      <c r="I292" t="str">
        <f>IF(A292="Q12026",COUNTIF($A$2:$A292,"Q12026"),"")</f>
        <v/>
      </c>
      <c r="J292" t="str">
        <f>IF(A292="Q22026",COUNTIF($A$2:$A292,"Q22026"),"")</f>
        <v/>
      </c>
      <c r="K292" t="str">
        <f>IF(A292="Q32026",COUNTIF($A$2:$A292,"Q32026"),"")</f>
        <v/>
      </c>
      <c r="L292" t="str">
        <f>IF(A292="Q42026",COUNTIF($A$2:$A292,"Q42026"),"")</f>
        <v/>
      </c>
      <c r="M292" t="str">
        <f>IF(A292="Backlog",COUNTIF($A$2:$A292,"Backlog"),"")</f>
        <v/>
      </c>
    </row>
    <row r="293" spans="1:13">
      <c r="A293" t="str">
        <f>IF(AND('Q42026'!B54&lt;&gt;"",'Q42026'!E54&lt;&gt;""),'Q42026'!E54,"")</f>
        <v/>
      </c>
      <c r="B293" t="str">
        <f>IF(AND('Q42026'!B54&lt;&gt;"",'Q42026'!E54&lt;&gt;""),'Q42026'!B54,"")</f>
        <v/>
      </c>
      <c r="C293" t="str">
        <f>IF(AND('Q42026'!B54&lt;&gt;"",'Q42026'!E54&lt;&gt;""),'Q42026'!C54,"")</f>
        <v/>
      </c>
      <c r="D293" t="str">
        <f>IF(AND('Q42026'!B54&lt;&gt;"",'Q42026'!E54&lt;&gt;""),'Q42026'!D54,"")</f>
        <v/>
      </c>
      <c r="E293" t="str">
        <f>IF(AND('Q42026'!B54&lt;&gt;"",'Q42026'!E54&lt;&gt;""),'Q42026'!H54,"")</f>
        <v/>
      </c>
      <c r="F293" t="str">
        <f>IF(AND('Q42026'!B54&lt;&gt;"",'Q42026'!E54&lt;&gt;""),'Q42026'!F54,"")</f>
        <v/>
      </c>
      <c r="G293" t="str">
        <f>IF(AND('Q42026'!B54&lt;&gt;"",'Q42026'!E54&lt;&gt;""),'Q42026'!G54,"")</f>
        <v/>
      </c>
      <c r="H293" t="str">
        <f>IF(AND('Q42026'!B54&lt;&gt;"",'Q42026'!E54&lt;&gt;""),"Q42026","")</f>
        <v/>
      </c>
      <c r="I293" t="str">
        <f>IF(A293="Q12026",COUNTIF($A$2:$A293,"Q12026"),"")</f>
        <v/>
      </c>
      <c r="J293" t="str">
        <f>IF(A293="Q22026",COUNTIF($A$2:$A293,"Q22026"),"")</f>
        <v/>
      </c>
      <c r="K293" t="str">
        <f>IF(A293="Q32026",COUNTIF($A$2:$A293,"Q32026"),"")</f>
        <v/>
      </c>
      <c r="L293" t="str">
        <f>IF(A293="Q42026",COUNTIF($A$2:$A293,"Q42026"),"")</f>
        <v/>
      </c>
      <c r="M293" t="str">
        <f>IF(A293="Backlog",COUNTIF($A$2:$A293,"Backlog"),"")</f>
        <v/>
      </c>
    </row>
    <row r="294" spans="1:13">
      <c r="A294" t="str">
        <f>IF(AND('Q42026'!B55&lt;&gt;"",'Q42026'!E55&lt;&gt;""),'Q42026'!E55,"")</f>
        <v/>
      </c>
      <c r="B294" t="str">
        <f>IF(AND('Q42026'!B55&lt;&gt;"",'Q42026'!E55&lt;&gt;""),'Q42026'!B55,"")</f>
        <v/>
      </c>
      <c r="C294" t="str">
        <f>IF(AND('Q42026'!B55&lt;&gt;"",'Q42026'!E55&lt;&gt;""),'Q42026'!C55,"")</f>
        <v/>
      </c>
      <c r="D294" t="str">
        <f>IF(AND('Q42026'!B55&lt;&gt;"",'Q42026'!E55&lt;&gt;""),'Q42026'!D55,"")</f>
        <v/>
      </c>
      <c r="E294" t="str">
        <f>IF(AND('Q42026'!B55&lt;&gt;"",'Q42026'!E55&lt;&gt;""),'Q42026'!H55,"")</f>
        <v/>
      </c>
      <c r="F294" t="str">
        <f>IF(AND('Q42026'!B55&lt;&gt;"",'Q42026'!E55&lt;&gt;""),'Q42026'!F55,"")</f>
        <v/>
      </c>
      <c r="G294" t="str">
        <f>IF(AND('Q42026'!B55&lt;&gt;"",'Q42026'!E55&lt;&gt;""),'Q42026'!G55,"")</f>
        <v/>
      </c>
      <c r="H294" t="str">
        <f>IF(AND('Q42026'!B55&lt;&gt;"",'Q42026'!E55&lt;&gt;""),"Q42026","")</f>
        <v/>
      </c>
      <c r="I294" t="str">
        <f>IF(A294="Q12026",COUNTIF($A$2:$A294,"Q12026"),"")</f>
        <v/>
      </c>
      <c r="J294" t="str">
        <f>IF(A294="Q22026",COUNTIF($A$2:$A294,"Q22026"),"")</f>
        <v/>
      </c>
      <c r="K294" t="str">
        <f>IF(A294="Q32026",COUNTIF($A$2:$A294,"Q32026"),"")</f>
        <v/>
      </c>
      <c r="L294" t="str">
        <f>IF(A294="Q42026",COUNTIF($A$2:$A294,"Q42026"),"")</f>
        <v/>
      </c>
      <c r="M294" t="str">
        <f>IF(A294="Backlog",COUNTIF($A$2:$A294,"Backlog"),"")</f>
        <v/>
      </c>
    </row>
    <row r="295" spans="1:13">
      <c r="A295" t="str">
        <f>IF(AND('Q42026'!B56&lt;&gt;"",'Q42026'!E56&lt;&gt;""),'Q42026'!E56,"")</f>
        <v/>
      </c>
      <c r="B295" t="str">
        <f>IF(AND('Q42026'!B56&lt;&gt;"",'Q42026'!E56&lt;&gt;""),'Q42026'!B56,"")</f>
        <v/>
      </c>
      <c r="C295" t="str">
        <f>IF(AND('Q42026'!B56&lt;&gt;"",'Q42026'!E56&lt;&gt;""),'Q42026'!C56,"")</f>
        <v/>
      </c>
      <c r="D295" t="str">
        <f>IF(AND('Q42026'!B56&lt;&gt;"",'Q42026'!E56&lt;&gt;""),'Q42026'!D56,"")</f>
        <v/>
      </c>
      <c r="E295" t="str">
        <f>IF(AND('Q42026'!B56&lt;&gt;"",'Q42026'!E56&lt;&gt;""),'Q42026'!H56,"")</f>
        <v/>
      </c>
      <c r="F295" t="str">
        <f>IF(AND('Q42026'!B56&lt;&gt;"",'Q42026'!E56&lt;&gt;""),'Q42026'!F56,"")</f>
        <v/>
      </c>
      <c r="G295" t="str">
        <f>IF(AND('Q42026'!B56&lt;&gt;"",'Q42026'!E56&lt;&gt;""),'Q42026'!G56,"")</f>
        <v/>
      </c>
      <c r="H295" t="str">
        <f>IF(AND('Q42026'!B56&lt;&gt;"",'Q42026'!E56&lt;&gt;""),"Q42026","")</f>
        <v/>
      </c>
      <c r="I295" t="str">
        <f>IF(A295="Q12026",COUNTIF($A$2:$A295,"Q12026"),"")</f>
        <v/>
      </c>
      <c r="J295" t="str">
        <f>IF(A295="Q22026",COUNTIF($A$2:$A295,"Q22026"),"")</f>
        <v/>
      </c>
      <c r="K295" t="str">
        <f>IF(A295="Q32026",COUNTIF($A$2:$A295,"Q32026"),"")</f>
        <v/>
      </c>
      <c r="L295" t="str">
        <f>IF(A295="Q42026",COUNTIF($A$2:$A295,"Q42026"),"")</f>
        <v/>
      </c>
      <c r="M295" t="str">
        <f>IF(A295="Backlog",COUNTIF($A$2:$A295,"Backlog"),"")</f>
        <v/>
      </c>
    </row>
    <row r="296" spans="1:13">
      <c r="A296" t="str">
        <f>IF(AND('Q42026'!B57&lt;&gt;"",'Q42026'!E57&lt;&gt;""),'Q42026'!E57,"")</f>
        <v/>
      </c>
      <c r="B296" t="str">
        <f>IF(AND('Q42026'!B57&lt;&gt;"",'Q42026'!E57&lt;&gt;""),'Q42026'!B57,"")</f>
        <v/>
      </c>
      <c r="C296" t="str">
        <f>IF(AND('Q42026'!B57&lt;&gt;"",'Q42026'!E57&lt;&gt;""),'Q42026'!C57,"")</f>
        <v/>
      </c>
      <c r="D296" t="str">
        <f>IF(AND('Q42026'!B57&lt;&gt;"",'Q42026'!E57&lt;&gt;""),'Q42026'!D57,"")</f>
        <v/>
      </c>
      <c r="E296" t="str">
        <f>IF(AND('Q42026'!B57&lt;&gt;"",'Q42026'!E57&lt;&gt;""),'Q42026'!H57,"")</f>
        <v/>
      </c>
      <c r="F296" t="str">
        <f>IF(AND('Q42026'!B57&lt;&gt;"",'Q42026'!E57&lt;&gt;""),'Q42026'!F57,"")</f>
        <v/>
      </c>
      <c r="G296" t="str">
        <f>IF(AND('Q42026'!B57&lt;&gt;"",'Q42026'!E57&lt;&gt;""),'Q42026'!G57,"")</f>
        <v/>
      </c>
      <c r="H296" t="str">
        <f>IF(AND('Q42026'!B57&lt;&gt;"",'Q42026'!E57&lt;&gt;""),"Q42026","")</f>
        <v/>
      </c>
      <c r="I296" t="str">
        <f>IF(A296="Q12026",COUNTIF($A$2:$A296,"Q12026"),"")</f>
        <v/>
      </c>
      <c r="J296" t="str">
        <f>IF(A296="Q22026",COUNTIF($A$2:$A296,"Q22026"),"")</f>
        <v/>
      </c>
      <c r="K296" t="str">
        <f>IF(A296="Q32026",COUNTIF($A$2:$A296,"Q32026"),"")</f>
        <v/>
      </c>
      <c r="L296" t="str">
        <f>IF(A296="Q42026",COUNTIF($A$2:$A296,"Q42026"),"")</f>
        <v/>
      </c>
      <c r="M296" t="str">
        <f>IF(A296="Backlog",COUNTIF($A$2:$A296,"Backlog"),"")</f>
        <v/>
      </c>
    </row>
    <row r="297" spans="1:13">
      <c r="A297" t="str">
        <f>IF(AND('Q42026'!B58&lt;&gt;"",'Q42026'!E58&lt;&gt;""),'Q42026'!E58,"")</f>
        <v/>
      </c>
      <c r="B297" t="str">
        <f>IF(AND('Q42026'!B58&lt;&gt;"",'Q42026'!E58&lt;&gt;""),'Q42026'!B58,"")</f>
        <v/>
      </c>
      <c r="C297" t="str">
        <f>IF(AND('Q42026'!B58&lt;&gt;"",'Q42026'!E58&lt;&gt;""),'Q42026'!C58,"")</f>
        <v/>
      </c>
      <c r="D297" t="str">
        <f>IF(AND('Q42026'!B58&lt;&gt;"",'Q42026'!E58&lt;&gt;""),'Q42026'!D58,"")</f>
        <v/>
      </c>
      <c r="E297" t="str">
        <f>IF(AND('Q42026'!B58&lt;&gt;"",'Q42026'!E58&lt;&gt;""),'Q42026'!H58,"")</f>
        <v/>
      </c>
      <c r="F297" t="str">
        <f>IF(AND('Q42026'!B58&lt;&gt;"",'Q42026'!E58&lt;&gt;""),'Q42026'!F58,"")</f>
        <v/>
      </c>
      <c r="G297" t="str">
        <f>IF(AND('Q42026'!B58&lt;&gt;"",'Q42026'!E58&lt;&gt;""),'Q42026'!G58,"")</f>
        <v/>
      </c>
      <c r="H297" t="str">
        <f>IF(AND('Q42026'!B58&lt;&gt;"",'Q42026'!E58&lt;&gt;""),"Q42026","")</f>
        <v/>
      </c>
      <c r="I297" t="str">
        <f>IF(A297="Q12026",COUNTIF($A$2:$A297,"Q12026"),"")</f>
        <v/>
      </c>
      <c r="J297" t="str">
        <f>IF(A297="Q22026",COUNTIF($A$2:$A297,"Q22026"),"")</f>
        <v/>
      </c>
      <c r="K297" t="str">
        <f>IF(A297="Q32026",COUNTIF($A$2:$A297,"Q32026"),"")</f>
        <v/>
      </c>
      <c r="L297" t="str">
        <f>IF(A297="Q42026",COUNTIF($A$2:$A297,"Q42026"),"")</f>
        <v/>
      </c>
      <c r="M297" t="str">
        <f>IF(A297="Backlog",COUNTIF($A$2:$A297,"Backlog"),"")</f>
        <v/>
      </c>
    </row>
    <row r="298" spans="1:13">
      <c r="A298" t="str">
        <f>IF(AND('Q42026'!B59&lt;&gt;"",'Q42026'!E59&lt;&gt;""),'Q42026'!E59,"")</f>
        <v/>
      </c>
      <c r="B298" t="str">
        <f>IF(AND('Q42026'!B59&lt;&gt;"",'Q42026'!E59&lt;&gt;""),'Q42026'!B59,"")</f>
        <v/>
      </c>
      <c r="C298" t="str">
        <f>IF(AND('Q42026'!B59&lt;&gt;"",'Q42026'!E59&lt;&gt;""),'Q42026'!C59,"")</f>
        <v/>
      </c>
      <c r="D298" t="str">
        <f>IF(AND('Q42026'!B59&lt;&gt;"",'Q42026'!E59&lt;&gt;""),'Q42026'!D59,"")</f>
        <v/>
      </c>
      <c r="E298" t="str">
        <f>IF(AND('Q42026'!B59&lt;&gt;"",'Q42026'!E59&lt;&gt;""),'Q42026'!H59,"")</f>
        <v/>
      </c>
      <c r="F298" t="str">
        <f>IF(AND('Q42026'!B59&lt;&gt;"",'Q42026'!E59&lt;&gt;""),'Q42026'!F59,"")</f>
        <v/>
      </c>
      <c r="G298" t="str">
        <f>IF(AND('Q42026'!B59&lt;&gt;"",'Q42026'!E59&lt;&gt;""),'Q42026'!G59,"")</f>
        <v/>
      </c>
      <c r="H298" t="str">
        <f>IF(AND('Q42026'!B59&lt;&gt;"",'Q42026'!E59&lt;&gt;""),"Q42026","")</f>
        <v/>
      </c>
      <c r="I298" t="str">
        <f>IF(A298="Q12026",COUNTIF($A$2:$A298,"Q12026"),"")</f>
        <v/>
      </c>
      <c r="J298" t="str">
        <f>IF(A298="Q22026",COUNTIF($A$2:$A298,"Q22026"),"")</f>
        <v/>
      </c>
      <c r="K298" t="str">
        <f>IF(A298="Q32026",COUNTIF($A$2:$A298,"Q32026"),"")</f>
        <v/>
      </c>
      <c r="L298" t="str">
        <f>IF(A298="Q42026",COUNTIF($A$2:$A298,"Q42026"),"")</f>
        <v/>
      </c>
      <c r="M298" t="str">
        <f>IF(A298="Backlog",COUNTIF($A$2:$A298,"Backlog"),"")</f>
        <v/>
      </c>
    </row>
    <row r="299" spans="1:13">
      <c r="A299" t="str">
        <f>IF(AND('Q42026'!B60&lt;&gt;"",'Q42026'!E60&lt;&gt;""),'Q42026'!E60,"")</f>
        <v/>
      </c>
      <c r="B299" t="str">
        <f>IF(AND('Q42026'!B60&lt;&gt;"",'Q42026'!E60&lt;&gt;""),'Q42026'!B60,"")</f>
        <v/>
      </c>
      <c r="C299" t="str">
        <f>IF(AND('Q42026'!B60&lt;&gt;"",'Q42026'!E60&lt;&gt;""),'Q42026'!C60,"")</f>
        <v/>
      </c>
      <c r="D299" t="str">
        <f>IF(AND('Q42026'!B60&lt;&gt;"",'Q42026'!E60&lt;&gt;""),'Q42026'!D60,"")</f>
        <v/>
      </c>
      <c r="E299" t="str">
        <f>IF(AND('Q42026'!B60&lt;&gt;"",'Q42026'!E60&lt;&gt;""),'Q42026'!H60,"")</f>
        <v/>
      </c>
      <c r="F299" t="str">
        <f>IF(AND('Q42026'!B60&lt;&gt;"",'Q42026'!E60&lt;&gt;""),'Q42026'!F60,"")</f>
        <v/>
      </c>
      <c r="G299" t="str">
        <f>IF(AND('Q42026'!B60&lt;&gt;"",'Q42026'!E60&lt;&gt;""),'Q42026'!G60,"")</f>
        <v/>
      </c>
      <c r="H299" t="str">
        <f>IF(AND('Q42026'!B60&lt;&gt;"",'Q42026'!E60&lt;&gt;""),"Q42026","")</f>
        <v/>
      </c>
      <c r="I299" t="str">
        <f>IF(A299="Q12026",COUNTIF($A$2:$A299,"Q12026"),"")</f>
        <v/>
      </c>
      <c r="J299" t="str">
        <f>IF(A299="Q22026",COUNTIF($A$2:$A299,"Q22026"),"")</f>
        <v/>
      </c>
      <c r="K299" t="str">
        <f>IF(A299="Q32026",COUNTIF($A$2:$A299,"Q32026"),"")</f>
        <v/>
      </c>
      <c r="L299" t="str">
        <f>IF(A299="Q42026",COUNTIF($A$2:$A299,"Q42026"),"")</f>
        <v/>
      </c>
      <c r="M299" t="str">
        <f>IF(A299="Backlog",COUNTIF($A$2:$A299,"Backlog"),"")</f>
        <v/>
      </c>
    </row>
    <row r="300" spans="1:13">
      <c r="A300" t="str">
        <f>IF(AND('Q42026'!B61&lt;&gt;"",'Q42026'!E61&lt;&gt;""),'Q42026'!E61,"")</f>
        <v/>
      </c>
      <c r="B300" t="str">
        <f>IF(AND('Q42026'!B61&lt;&gt;"",'Q42026'!E61&lt;&gt;""),'Q42026'!B61,"")</f>
        <v/>
      </c>
      <c r="C300" t="str">
        <f>IF(AND('Q42026'!B61&lt;&gt;"",'Q42026'!E61&lt;&gt;""),'Q42026'!C61,"")</f>
        <v/>
      </c>
      <c r="D300" t="str">
        <f>IF(AND('Q42026'!B61&lt;&gt;"",'Q42026'!E61&lt;&gt;""),'Q42026'!D61,"")</f>
        <v/>
      </c>
      <c r="E300" t="str">
        <f>IF(AND('Q42026'!B61&lt;&gt;"",'Q42026'!E61&lt;&gt;""),'Q42026'!H61,"")</f>
        <v/>
      </c>
      <c r="F300" t="str">
        <f>IF(AND('Q42026'!B61&lt;&gt;"",'Q42026'!E61&lt;&gt;""),'Q42026'!F61,"")</f>
        <v/>
      </c>
      <c r="G300" t="str">
        <f>IF(AND('Q42026'!B61&lt;&gt;"",'Q42026'!E61&lt;&gt;""),'Q42026'!G61,"")</f>
        <v/>
      </c>
      <c r="H300" t="str">
        <f>IF(AND('Q42026'!B61&lt;&gt;"",'Q42026'!E61&lt;&gt;""),"Q42026","")</f>
        <v/>
      </c>
      <c r="I300" t="str">
        <f>IF(A300="Q12026",COUNTIF($A$2:$A300,"Q12026"),"")</f>
        <v/>
      </c>
      <c r="J300" t="str">
        <f>IF(A300="Q22026",COUNTIF($A$2:$A300,"Q22026"),"")</f>
        <v/>
      </c>
      <c r="K300" t="str">
        <f>IF(A300="Q32026",COUNTIF($A$2:$A300,"Q32026"),"")</f>
        <v/>
      </c>
      <c r="L300" t="str">
        <f>IF(A300="Q42026",COUNTIF($A$2:$A300,"Q42026"),"")</f>
        <v/>
      </c>
      <c r="M300" t="str">
        <f>IF(A300="Backlog",COUNTIF($A$2:$A300,"Backlog"),"")</f>
        <v/>
      </c>
    </row>
    <row r="301" spans="1:13">
      <c r="A301" t="str">
        <f>IF(AND('Q42026'!B62&lt;&gt;"",'Q42026'!E62&lt;&gt;""),'Q42026'!E62,"")</f>
        <v/>
      </c>
      <c r="B301" t="str">
        <f>IF(AND('Q42026'!B62&lt;&gt;"",'Q42026'!E62&lt;&gt;""),'Q42026'!B62,"")</f>
        <v/>
      </c>
      <c r="C301" t="str">
        <f>IF(AND('Q42026'!B62&lt;&gt;"",'Q42026'!E62&lt;&gt;""),'Q42026'!C62,"")</f>
        <v/>
      </c>
      <c r="D301" t="str">
        <f>IF(AND('Q42026'!B62&lt;&gt;"",'Q42026'!E62&lt;&gt;""),'Q42026'!D62,"")</f>
        <v/>
      </c>
      <c r="E301" t="str">
        <f>IF(AND('Q42026'!B62&lt;&gt;"",'Q42026'!E62&lt;&gt;""),'Q42026'!H62,"")</f>
        <v/>
      </c>
      <c r="F301" t="str">
        <f>IF(AND('Q42026'!B62&lt;&gt;"",'Q42026'!E62&lt;&gt;""),'Q42026'!F62,"")</f>
        <v/>
      </c>
      <c r="G301" t="str">
        <f>IF(AND('Q42026'!B62&lt;&gt;"",'Q42026'!E62&lt;&gt;""),'Q42026'!G62,"")</f>
        <v/>
      </c>
      <c r="H301" t="str">
        <f>IF(AND('Q42026'!B62&lt;&gt;"",'Q42026'!E62&lt;&gt;""),"Q42026","")</f>
        <v/>
      </c>
      <c r="I301" t="str">
        <f>IF(A301="Q12026",COUNTIF($A$2:$A301,"Q12026"),"")</f>
        <v/>
      </c>
      <c r="J301" t="str">
        <f>IF(A301="Q22026",COUNTIF($A$2:$A301,"Q22026"),"")</f>
        <v/>
      </c>
      <c r="K301" t="str">
        <f>IF(A301="Q32026",COUNTIF($A$2:$A301,"Q32026"),"")</f>
        <v/>
      </c>
      <c r="L301" t="str">
        <f>IF(A301="Q42026",COUNTIF($A$2:$A301,"Q42026"),"")</f>
        <v/>
      </c>
      <c r="M301" t="str">
        <f>IF(A301="Backlog",COUNTIF($A$2:$A301,"Backlog"),"")</f>
        <v/>
      </c>
    </row>
    <row r="302" spans="1:13">
      <c r="A302" t="str">
        <f>IF(AND('Q42026'!B63&lt;&gt;"",'Q42026'!E63&lt;&gt;""),'Q42026'!E63,"")</f>
        <v/>
      </c>
      <c r="B302" t="str">
        <f>IF(AND('Q42026'!B63&lt;&gt;"",'Q42026'!E63&lt;&gt;""),'Q42026'!B63,"")</f>
        <v/>
      </c>
      <c r="C302" t="str">
        <f>IF(AND('Q42026'!B63&lt;&gt;"",'Q42026'!E63&lt;&gt;""),'Q42026'!C63,"")</f>
        <v/>
      </c>
      <c r="D302" t="str">
        <f>IF(AND('Q42026'!B63&lt;&gt;"",'Q42026'!E63&lt;&gt;""),'Q42026'!D63,"")</f>
        <v/>
      </c>
      <c r="E302" t="str">
        <f>IF(AND('Q42026'!B63&lt;&gt;"",'Q42026'!E63&lt;&gt;""),'Q42026'!H63,"")</f>
        <v/>
      </c>
      <c r="F302" t="str">
        <f>IF(AND('Q42026'!B63&lt;&gt;"",'Q42026'!E63&lt;&gt;""),'Q42026'!F63,"")</f>
        <v/>
      </c>
      <c r="G302" t="str">
        <f>IF(AND('Q42026'!B63&lt;&gt;"",'Q42026'!E63&lt;&gt;""),'Q42026'!G63,"")</f>
        <v/>
      </c>
      <c r="H302" t="str">
        <f>IF(AND('Q42026'!B63&lt;&gt;"",'Q42026'!E63&lt;&gt;""),"Q42026","")</f>
        <v/>
      </c>
      <c r="I302" t="str">
        <f>IF(A302="Q12026",COUNTIF($A$2:$A302,"Q12026"),"")</f>
        <v/>
      </c>
      <c r="J302" t="str">
        <f>IF(A302="Q22026",COUNTIF($A$2:$A302,"Q22026"),"")</f>
        <v/>
      </c>
      <c r="K302" t="str">
        <f>IF(A302="Q32026",COUNTIF($A$2:$A302,"Q32026"),"")</f>
        <v/>
      </c>
      <c r="L302" t="str">
        <f>IF(A302="Q42026",COUNTIF($A$2:$A302,"Q42026"),"")</f>
        <v/>
      </c>
      <c r="M302" t="str">
        <f>IF(A302="Backlog",COUNTIF($A$2:$A302,"Backlog"),"")</f>
        <v/>
      </c>
    </row>
    <row r="303" spans="1:13">
      <c r="A303" t="str">
        <f>IF(AND('Q42026'!B64&lt;&gt;"",'Q42026'!E64&lt;&gt;""),'Q42026'!E64,"")</f>
        <v/>
      </c>
      <c r="B303" t="str">
        <f>IF(AND('Q42026'!B64&lt;&gt;"",'Q42026'!E64&lt;&gt;""),'Q42026'!B64,"")</f>
        <v/>
      </c>
      <c r="C303" t="str">
        <f>IF(AND('Q42026'!B64&lt;&gt;"",'Q42026'!E64&lt;&gt;""),'Q42026'!C64,"")</f>
        <v/>
      </c>
      <c r="D303" t="str">
        <f>IF(AND('Q42026'!B64&lt;&gt;"",'Q42026'!E64&lt;&gt;""),'Q42026'!D64,"")</f>
        <v/>
      </c>
      <c r="E303" t="str">
        <f>IF(AND('Q42026'!B64&lt;&gt;"",'Q42026'!E64&lt;&gt;""),'Q42026'!H64,"")</f>
        <v/>
      </c>
      <c r="F303" t="str">
        <f>IF(AND('Q42026'!B64&lt;&gt;"",'Q42026'!E64&lt;&gt;""),'Q42026'!F64,"")</f>
        <v/>
      </c>
      <c r="G303" t="str">
        <f>IF(AND('Q42026'!B64&lt;&gt;"",'Q42026'!E64&lt;&gt;""),'Q42026'!G64,"")</f>
        <v/>
      </c>
      <c r="H303" t="str">
        <f>IF(AND('Q42026'!B64&lt;&gt;"",'Q42026'!E64&lt;&gt;""),"Q42026","")</f>
        <v/>
      </c>
      <c r="I303" t="str">
        <f>IF(A303="Q12026",COUNTIF($A$2:$A303,"Q12026"),"")</f>
        <v/>
      </c>
      <c r="J303" t="str">
        <f>IF(A303="Q22026",COUNTIF($A$2:$A303,"Q22026"),"")</f>
        <v/>
      </c>
      <c r="K303" t="str">
        <f>IF(A303="Q32026",COUNTIF($A$2:$A303,"Q32026"),"")</f>
        <v/>
      </c>
      <c r="L303" t="str">
        <f>IF(A303="Q42026",COUNTIF($A$2:$A303,"Q42026"),"")</f>
        <v/>
      </c>
      <c r="M303" t="str">
        <f>IF(A303="Backlog",COUNTIF($A$2:$A303,"Backlog"),"")</f>
        <v/>
      </c>
    </row>
    <row r="304" spans="1:13">
      <c r="A304" t="str">
        <f>IF(AND('Q42026'!B65&lt;&gt;"",'Q42026'!E65&lt;&gt;""),'Q42026'!E65,"")</f>
        <v/>
      </c>
      <c r="B304" t="str">
        <f>IF(AND('Q42026'!B65&lt;&gt;"",'Q42026'!E65&lt;&gt;""),'Q42026'!B65,"")</f>
        <v/>
      </c>
      <c r="C304" t="str">
        <f>IF(AND('Q42026'!B65&lt;&gt;"",'Q42026'!E65&lt;&gt;""),'Q42026'!C65,"")</f>
        <v/>
      </c>
      <c r="D304" t="str">
        <f>IF(AND('Q42026'!B65&lt;&gt;"",'Q42026'!E65&lt;&gt;""),'Q42026'!D65,"")</f>
        <v/>
      </c>
      <c r="E304" t="str">
        <f>IF(AND('Q42026'!B65&lt;&gt;"",'Q42026'!E65&lt;&gt;""),'Q42026'!H65,"")</f>
        <v/>
      </c>
      <c r="F304" t="str">
        <f>IF(AND('Q42026'!B65&lt;&gt;"",'Q42026'!E65&lt;&gt;""),'Q42026'!F65,"")</f>
        <v/>
      </c>
      <c r="G304" t="str">
        <f>IF(AND('Q42026'!B65&lt;&gt;"",'Q42026'!E65&lt;&gt;""),'Q42026'!G65,"")</f>
        <v/>
      </c>
      <c r="H304" t="str">
        <f>IF(AND('Q42026'!B65&lt;&gt;"",'Q42026'!E65&lt;&gt;""),"Q42026","")</f>
        <v/>
      </c>
      <c r="I304" t="str">
        <f>IF(A304="Q12026",COUNTIF($A$2:$A304,"Q12026"),"")</f>
        <v/>
      </c>
      <c r="J304" t="str">
        <f>IF(A304="Q22026",COUNTIF($A$2:$A304,"Q22026"),"")</f>
        <v/>
      </c>
      <c r="K304" t="str">
        <f>IF(A304="Q32026",COUNTIF($A$2:$A304,"Q32026"),"")</f>
        <v/>
      </c>
      <c r="L304" t="str">
        <f>IF(A304="Q42026",COUNTIF($A$2:$A304,"Q42026"),"")</f>
        <v/>
      </c>
      <c r="M304" t="str">
        <f>IF(A304="Backlog",COUNTIF($A$2:$A304,"Backlog"),"")</f>
        <v/>
      </c>
    </row>
    <row r="305" spans="1:13">
      <c r="A305" t="str">
        <f>IF(AND('Q42026'!B66&lt;&gt;"",'Q42026'!E66&lt;&gt;""),'Q42026'!E66,"")</f>
        <v/>
      </c>
      <c r="B305" t="str">
        <f>IF(AND('Q42026'!B66&lt;&gt;"",'Q42026'!E66&lt;&gt;""),'Q42026'!B66,"")</f>
        <v/>
      </c>
      <c r="C305" t="str">
        <f>IF(AND('Q42026'!B66&lt;&gt;"",'Q42026'!E66&lt;&gt;""),'Q42026'!C66,"")</f>
        <v/>
      </c>
      <c r="D305" t="str">
        <f>IF(AND('Q42026'!B66&lt;&gt;"",'Q42026'!E66&lt;&gt;""),'Q42026'!D66,"")</f>
        <v/>
      </c>
      <c r="E305" t="str">
        <f>IF(AND('Q42026'!B66&lt;&gt;"",'Q42026'!E66&lt;&gt;""),'Q42026'!H66,"")</f>
        <v/>
      </c>
      <c r="F305" t="str">
        <f>IF(AND('Q42026'!B66&lt;&gt;"",'Q42026'!E66&lt;&gt;""),'Q42026'!F66,"")</f>
        <v/>
      </c>
      <c r="G305" t="str">
        <f>IF(AND('Q42026'!B66&lt;&gt;"",'Q42026'!E66&lt;&gt;""),'Q42026'!G66,"")</f>
        <v/>
      </c>
      <c r="H305" t="str">
        <f>IF(AND('Q42026'!B66&lt;&gt;"",'Q42026'!E66&lt;&gt;""),"Q42026","")</f>
        <v/>
      </c>
      <c r="I305" t="str">
        <f>IF(A305="Q12026",COUNTIF($A$2:$A305,"Q12026"),"")</f>
        <v/>
      </c>
      <c r="J305" t="str">
        <f>IF(A305="Q22026",COUNTIF($A$2:$A305,"Q22026"),"")</f>
        <v/>
      </c>
      <c r="K305" t="str">
        <f>IF(A305="Q32026",COUNTIF($A$2:$A305,"Q32026"),"")</f>
        <v/>
      </c>
      <c r="L305" t="str">
        <f>IF(A305="Q42026",COUNTIF($A$2:$A305,"Q42026"),"")</f>
        <v/>
      </c>
      <c r="M305" t="str">
        <f>IF(A305="Backlog",COUNTIF($A$2:$A305,"Backlog"),"")</f>
        <v/>
      </c>
    </row>
    <row r="306" spans="1:13">
      <c r="A306" t="str">
        <f>IF(AND('Q42026'!B67&lt;&gt;"",'Q42026'!E67&lt;&gt;""),'Q42026'!E67,"")</f>
        <v/>
      </c>
      <c r="B306" t="str">
        <f>IF(AND('Q42026'!B67&lt;&gt;"",'Q42026'!E67&lt;&gt;""),'Q42026'!B67,"")</f>
        <v/>
      </c>
      <c r="C306" t="str">
        <f>IF(AND('Q42026'!B67&lt;&gt;"",'Q42026'!E67&lt;&gt;""),'Q42026'!C67,"")</f>
        <v/>
      </c>
      <c r="D306" t="str">
        <f>IF(AND('Q42026'!B67&lt;&gt;"",'Q42026'!E67&lt;&gt;""),'Q42026'!D67,"")</f>
        <v/>
      </c>
      <c r="E306" t="str">
        <f>IF(AND('Q42026'!B67&lt;&gt;"",'Q42026'!E67&lt;&gt;""),'Q42026'!H67,"")</f>
        <v/>
      </c>
      <c r="F306" t="str">
        <f>IF(AND('Q42026'!B67&lt;&gt;"",'Q42026'!E67&lt;&gt;""),'Q42026'!F67,"")</f>
        <v/>
      </c>
      <c r="G306" t="str">
        <f>IF(AND('Q42026'!B67&lt;&gt;"",'Q42026'!E67&lt;&gt;""),'Q42026'!G67,"")</f>
        <v/>
      </c>
      <c r="H306" t="str">
        <f>IF(AND('Q42026'!B67&lt;&gt;"",'Q42026'!E67&lt;&gt;""),"Q42026","")</f>
        <v/>
      </c>
      <c r="I306" t="str">
        <f>IF(A306="Q12026",COUNTIF($A$2:$A306,"Q12026"),"")</f>
        <v/>
      </c>
      <c r="J306" t="str">
        <f>IF(A306="Q22026",COUNTIF($A$2:$A306,"Q22026"),"")</f>
        <v/>
      </c>
      <c r="K306" t="str">
        <f>IF(A306="Q32026",COUNTIF($A$2:$A306,"Q32026"),"")</f>
        <v/>
      </c>
      <c r="L306" t="str">
        <f>IF(A306="Q42026",COUNTIF($A$2:$A306,"Q42026"),"")</f>
        <v/>
      </c>
      <c r="M306" t="str">
        <f>IF(A306="Backlog",COUNTIF($A$2:$A306,"Backlog"),"")</f>
        <v/>
      </c>
    </row>
    <row r="307" spans="1:13">
      <c r="A307" t="str">
        <f>IF(AND('Q42026'!B68&lt;&gt;"",'Q42026'!E68&lt;&gt;""),'Q42026'!E68,"")</f>
        <v/>
      </c>
      <c r="B307" t="str">
        <f>IF(AND('Q42026'!B68&lt;&gt;"",'Q42026'!E68&lt;&gt;""),'Q42026'!B68,"")</f>
        <v/>
      </c>
      <c r="C307" t="str">
        <f>IF(AND('Q42026'!B68&lt;&gt;"",'Q42026'!E68&lt;&gt;""),'Q42026'!C68,"")</f>
        <v/>
      </c>
      <c r="D307" t="str">
        <f>IF(AND('Q42026'!B68&lt;&gt;"",'Q42026'!E68&lt;&gt;""),'Q42026'!D68,"")</f>
        <v/>
      </c>
      <c r="E307" t="str">
        <f>IF(AND('Q42026'!B68&lt;&gt;"",'Q42026'!E68&lt;&gt;""),'Q42026'!H68,"")</f>
        <v/>
      </c>
      <c r="F307" t="str">
        <f>IF(AND('Q42026'!B68&lt;&gt;"",'Q42026'!E68&lt;&gt;""),'Q42026'!F68,"")</f>
        <v/>
      </c>
      <c r="G307" t="str">
        <f>IF(AND('Q42026'!B68&lt;&gt;"",'Q42026'!E68&lt;&gt;""),'Q42026'!G68,"")</f>
        <v/>
      </c>
      <c r="H307" t="str">
        <f>IF(AND('Q42026'!B68&lt;&gt;"",'Q42026'!E68&lt;&gt;""),"Q42026","")</f>
        <v/>
      </c>
      <c r="I307" t="str">
        <f>IF(A307="Q12026",COUNTIF($A$2:$A307,"Q12026"),"")</f>
        <v/>
      </c>
      <c r="J307" t="str">
        <f>IF(A307="Q22026",COUNTIF($A$2:$A307,"Q22026"),"")</f>
        <v/>
      </c>
      <c r="K307" t="str">
        <f>IF(A307="Q32026",COUNTIF($A$2:$A307,"Q32026"),"")</f>
        <v/>
      </c>
      <c r="L307" t="str">
        <f>IF(A307="Q42026",COUNTIF($A$2:$A307,"Q42026"),"")</f>
        <v/>
      </c>
      <c r="M307" t="str">
        <f>IF(A307="Backlog",COUNTIF($A$2:$A307,"Backlog"),"")</f>
        <v/>
      </c>
    </row>
    <row r="308" spans="1:13">
      <c r="A308" t="str">
        <f>IF(AND('Q42026'!B69&lt;&gt;"",'Q42026'!E69&lt;&gt;""),'Q42026'!E69,"")</f>
        <v/>
      </c>
      <c r="B308" t="str">
        <f>IF(AND('Q42026'!B69&lt;&gt;"",'Q42026'!E69&lt;&gt;""),'Q42026'!B69,"")</f>
        <v/>
      </c>
      <c r="C308" t="str">
        <f>IF(AND('Q42026'!B69&lt;&gt;"",'Q42026'!E69&lt;&gt;""),'Q42026'!C69,"")</f>
        <v/>
      </c>
      <c r="D308" t="str">
        <f>IF(AND('Q42026'!B69&lt;&gt;"",'Q42026'!E69&lt;&gt;""),'Q42026'!D69,"")</f>
        <v/>
      </c>
      <c r="E308" t="str">
        <f>IF(AND('Q42026'!B69&lt;&gt;"",'Q42026'!E69&lt;&gt;""),'Q42026'!H69,"")</f>
        <v/>
      </c>
      <c r="F308" t="str">
        <f>IF(AND('Q42026'!B69&lt;&gt;"",'Q42026'!E69&lt;&gt;""),'Q42026'!F69,"")</f>
        <v/>
      </c>
      <c r="G308" t="str">
        <f>IF(AND('Q42026'!B69&lt;&gt;"",'Q42026'!E69&lt;&gt;""),'Q42026'!G69,"")</f>
        <v/>
      </c>
      <c r="H308" t="str">
        <f>IF(AND('Q42026'!B69&lt;&gt;"",'Q42026'!E69&lt;&gt;""),"Q42026","")</f>
        <v/>
      </c>
      <c r="I308" t="str">
        <f>IF(A308="Q12026",COUNTIF($A$2:$A308,"Q12026"),"")</f>
        <v/>
      </c>
      <c r="J308" t="str">
        <f>IF(A308="Q22026",COUNTIF($A$2:$A308,"Q22026"),"")</f>
        <v/>
      </c>
      <c r="K308" t="str">
        <f>IF(A308="Q32026",COUNTIF($A$2:$A308,"Q32026"),"")</f>
        <v/>
      </c>
      <c r="L308" t="str">
        <f>IF(A308="Q42026",COUNTIF($A$2:$A308,"Q42026"),"")</f>
        <v/>
      </c>
      <c r="M308" t="str">
        <f>IF(A308="Backlog",COUNTIF($A$2:$A308,"Backlog"),"")</f>
        <v/>
      </c>
    </row>
    <row r="309" spans="1:13">
      <c r="A309" t="str">
        <f>IF(AND('Q42026'!B70&lt;&gt;"",'Q42026'!E70&lt;&gt;""),'Q42026'!E70,"")</f>
        <v/>
      </c>
      <c r="B309" t="str">
        <f>IF(AND('Q42026'!B70&lt;&gt;"",'Q42026'!E70&lt;&gt;""),'Q42026'!B70,"")</f>
        <v/>
      </c>
      <c r="C309" t="str">
        <f>IF(AND('Q42026'!B70&lt;&gt;"",'Q42026'!E70&lt;&gt;""),'Q42026'!C70,"")</f>
        <v/>
      </c>
      <c r="D309" t="str">
        <f>IF(AND('Q42026'!B70&lt;&gt;"",'Q42026'!E70&lt;&gt;""),'Q42026'!D70,"")</f>
        <v/>
      </c>
      <c r="E309" t="str">
        <f>IF(AND('Q42026'!B70&lt;&gt;"",'Q42026'!E70&lt;&gt;""),'Q42026'!H70,"")</f>
        <v/>
      </c>
      <c r="F309" t="str">
        <f>IF(AND('Q42026'!B70&lt;&gt;"",'Q42026'!E70&lt;&gt;""),'Q42026'!F70,"")</f>
        <v/>
      </c>
      <c r="G309" t="str">
        <f>IF(AND('Q42026'!B70&lt;&gt;"",'Q42026'!E70&lt;&gt;""),'Q42026'!G70,"")</f>
        <v/>
      </c>
      <c r="H309" t="str">
        <f>IF(AND('Q42026'!B70&lt;&gt;"",'Q42026'!E70&lt;&gt;""),"Q42026","")</f>
        <v/>
      </c>
      <c r="I309" t="str">
        <f>IF(A309="Q12026",COUNTIF($A$2:$A309,"Q12026"),"")</f>
        <v/>
      </c>
      <c r="J309" t="str">
        <f>IF(A309="Q22026",COUNTIF($A$2:$A309,"Q22026"),"")</f>
        <v/>
      </c>
      <c r="K309" t="str">
        <f>IF(A309="Q32026",COUNTIF($A$2:$A309,"Q32026"),"")</f>
        <v/>
      </c>
      <c r="L309" t="str">
        <f>IF(A309="Q42026",COUNTIF($A$2:$A309,"Q42026"),"")</f>
        <v/>
      </c>
      <c r="M309" t="str">
        <f>IF(A309="Backlog",COUNTIF($A$2:$A309,"Backlog"),"")</f>
        <v/>
      </c>
    </row>
    <row r="310" spans="1:13">
      <c r="A310" t="str">
        <f>IF(AND('Q42026'!B71&lt;&gt;"",'Q42026'!E71&lt;&gt;""),'Q42026'!E71,"")</f>
        <v/>
      </c>
      <c r="B310" t="str">
        <f>IF(AND('Q42026'!B71&lt;&gt;"",'Q42026'!E71&lt;&gt;""),'Q42026'!B71,"")</f>
        <v/>
      </c>
      <c r="C310" t="str">
        <f>IF(AND('Q42026'!B71&lt;&gt;"",'Q42026'!E71&lt;&gt;""),'Q42026'!C71,"")</f>
        <v/>
      </c>
      <c r="D310" t="str">
        <f>IF(AND('Q42026'!B71&lt;&gt;"",'Q42026'!E71&lt;&gt;""),'Q42026'!D71,"")</f>
        <v/>
      </c>
      <c r="E310" t="str">
        <f>IF(AND('Q42026'!B71&lt;&gt;"",'Q42026'!E71&lt;&gt;""),'Q42026'!H71,"")</f>
        <v/>
      </c>
      <c r="F310" t="str">
        <f>IF(AND('Q42026'!B71&lt;&gt;"",'Q42026'!E71&lt;&gt;""),'Q42026'!F71,"")</f>
        <v/>
      </c>
      <c r="G310" t="str">
        <f>IF(AND('Q42026'!B71&lt;&gt;"",'Q42026'!E71&lt;&gt;""),'Q42026'!G71,"")</f>
        <v/>
      </c>
      <c r="H310" t="str">
        <f>IF(AND('Q42026'!B71&lt;&gt;"",'Q42026'!E71&lt;&gt;""),"Q42026","")</f>
        <v/>
      </c>
      <c r="I310" t="str">
        <f>IF(A310="Q12026",COUNTIF($A$2:$A310,"Q12026"),"")</f>
        <v/>
      </c>
      <c r="J310" t="str">
        <f>IF(A310="Q22026",COUNTIF($A$2:$A310,"Q22026"),"")</f>
        <v/>
      </c>
      <c r="K310" t="str">
        <f>IF(A310="Q32026",COUNTIF($A$2:$A310,"Q32026"),"")</f>
        <v/>
      </c>
      <c r="L310" t="str">
        <f>IF(A310="Q42026",COUNTIF($A$2:$A310,"Q42026"),"")</f>
        <v/>
      </c>
      <c r="M310" t="str">
        <f>IF(A310="Backlog",COUNTIF($A$2:$A310,"Backlog"),"")</f>
        <v/>
      </c>
    </row>
    <row r="311" spans="1:13">
      <c r="A311" t="str">
        <f>IF(AND('Q42026'!B72&lt;&gt;"",'Q42026'!E72&lt;&gt;""),'Q42026'!E72,"")</f>
        <v/>
      </c>
      <c r="B311" t="str">
        <f>IF(AND('Q42026'!B72&lt;&gt;"",'Q42026'!E72&lt;&gt;""),'Q42026'!B72,"")</f>
        <v/>
      </c>
      <c r="C311" t="str">
        <f>IF(AND('Q42026'!B72&lt;&gt;"",'Q42026'!E72&lt;&gt;""),'Q42026'!C72,"")</f>
        <v/>
      </c>
      <c r="D311" t="str">
        <f>IF(AND('Q42026'!B72&lt;&gt;"",'Q42026'!E72&lt;&gt;""),'Q42026'!D72,"")</f>
        <v/>
      </c>
      <c r="E311" t="str">
        <f>IF(AND('Q42026'!B72&lt;&gt;"",'Q42026'!E72&lt;&gt;""),'Q42026'!H72,"")</f>
        <v/>
      </c>
      <c r="F311" t="str">
        <f>IF(AND('Q42026'!B72&lt;&gt;"",'Q42026'!E72&lt;&gt;""),'Q42026'!F72,"")</f>
        <v/>
      </c>
      <c r="G311" t="str">
        <f>IF(AND('Q42026'!B72&lt;&gt;"",'Q42026'!E72&lt;&gt;""),'Q42026'!G72,"")</f>
        <v/>
      </c>
      <c r="H311" t="str">
        <f>IF(AND('Q42026'!B72&lt;&gt;"",'Q42026'!E72&lt;&gt;""),"Q42026","")</f>
        <v/>
      </c>
      <c r="I311" t="str">
        <f>IF(A311="Q12026",COUNTIF($A$2:$A311,"Q12026"),"")</f>
        <v/>
      </c>
      <c r="J311" t="str">
        <f>IF(A311="Q22026",COUNTIF($A$2:$A311,"Q22026"),"")</f>
        <v/>
      </c>
      <c r="K311" t="str">
        <f>IF(A311="Q32026",COUNTIF($A$2:$A311,"Q32026"),"")</f>
        <v/>
      </c>
      <c r="L311" t="str">
        <f>IF(A311="Q42026",COUNTIF($A$2:$A311,"Q42026"),"")</f>
        <v/>
      </c>
      <c r="M311" t="str">
        <f>IF(A311="Backlog",COUNTIF($A$2:$A311,"Backlog"),"")</f>
        <v/>
      </c>
    </row>
    <row r="312" spans="1:13">
      <c r="A312" t="str">
        <f>IF(AND('Q42026'!B73&lt;&gt;"",'Q42026'!E73&lt;&gt;""),'Q42026'!E73,"")</f>
        <v/>
      </c>
      <c r="B312" t="str">
        <f>IF(AND('Q42026'!B73&lt;&gt;"",'Q42026'!E73&lt;&gt;""),'Q42026'!B73,"")</f>
        <v/>
      </c>
      <c r="C312" t="str">
        <f>IF(AND('Q42026'!B73&lt;&gt;"",'Q42026'!E73&lt;&gt;""),'Q42026'!C73,"")</f>
        <v/>
      </c>
      <c r="D312" t="str">
        <f>IF(AND('Q42026'!B73&lt;&gt;"",'Q42026'!E73&lt;&gt;""),'Q42026'!D73,"")</f>
        <v/>
      </c>
      <c r="E312" t="str">
        <f>IF(AND('Q42026'!B73&lt;&gt;"",'Q42026'!E73&lt;&gt;""),'Q42026'!H73,"")</f>
        <v/>
      </c>
      <c r="F312" t="str">
        <f>IF(AND('Q42026'!B73&lt;&gt;"",'Q42026'!E73&lt;&gt;""),'Q42026'!F73,"")</f>
        <v/>
      </c>
      <c r="G312" t="str">
        <f>IF(AND('Q42026'!B73&lt;&gt;"",'Q42026'!E73&lt;&gt;""),'Q42026'!G73,"")</f>
        <v/>
      </c>
      <c r="H312" t="str">
        <f>IF(AND('Q42026'!B73&lt;&gt;"",'Q42026'!E73&lt;&gt;""),"Q42026","")</f>
        <v/>
      </c>
      <c r="I312" t="str">
        <f>IF(A312="Q12026",COUNTIF($A$2:$A312,"Q12026"),"")</f>
        <v/>
      </c>
      <c r="J312" t="str">
        <f>IF(A312="Q22026",COUNTIF($A$2:$A312,"Q22026"),"")</f>
        <v/>
      </c>
      <c r="K312" t="str">
        <f>IF(A312="Q32026",COUNTIF($A$2:$A312,"Q32026"),"")</f>
        <v/>
      </c>
      <c r="L312" t="str">
        <f>IF(A312="Q42026",COUNTIF($A$2:$A312,"Q42026"),"")</f>
        <v/>
      </c>
      <c r="M312" t="str">
        <f>IF(A312="Backlog",COUNTIF($A$2:$A312,"Backlog"),"")</f>
        <v/>
      </c>
    </row>
    <row r="313" spans="1:13">
      <c r="A313" t="str">
        <f>IF(AND('Q42026'!B74&lt;&gt;"",'Q42026'!E74&lt;&gt;""),'Q42026'!E74,"")</f>
        <v/>
      </c>
      <c r="B313" t="str">
        <f>IF(AND('Q42026'!B74&lt;&gt;"",'Q42026'!E74&lt;&gt;""),'Q42026'!B74,"")</f>
        <v/>
      </c>
      <c r="C313" t="str">
        <f>IF(AND('Q42026'!B74&lt;&gt;"",'Q42026'!E74&lt;&gt;""),'Q42026'!C74,"")</f>
        <v/>
      </c>
      <c r="D313" t="str">
        <f>IF(AND('Q42026'!B74&lt;&gt;"",'Q42026'!E74&lt;&gt;""),'Q42026'!D74,"")</f>
        <v/>
      </c>
      <c r="E313" t="str">
        <f>IF(AND('Q42026'!B74&lt;&gt;"",'Q42026'!E74&lt;&gt;""),'Q42026'!H74,"")</f>
        <v/>
      </c>
      <c r="F313" t="str">
        <f>IF(AND('Q42026'!B74&lt;&gt;"",'Q42026'!E74&lt;&gt;""),'Q42026'!F74,"")</f>
        <v/>
      </c>
      <c r="G313" t="str">
        <f>IF(AND('Q42026'!B74&lt;&gt;"",'Q42026'!E74&lt;&gt;""),'Q42026'!G74,"")</f>
        <v/>
      </c>
      <c r="H313" t="str">
        <f>IF(AND('Q42026'!B74&lt;&gt;"",'Q42026'!E74&lt;&gt;""),"Q42026","")</f>
        <v/>
      </c>
      <c r="I313" t="str">
        <f>IF(A313="Q12026",COUNTIF($A$2:$A313,"Q12026"),"")</f>
        <v/>
      </c>
      <c r="J313" t="str">
        <f>IF(A313="Q22026",COUNTIF($A$2:$A313,"Q22026"),"")</f>
        <v/>
      </c>
      <c r="K313" t="str">
        <f>IF(A313="Q32026",COUNTIF($A$2:$A313,"Q32026"),"")</f>
        <v/>
      </c>
      <c r="L313" t="str">
        <f>IF(A313="Q42026",COUNTIF($A$2:$A313,"Q42026"),"")</f>
        <v/>
      </c>
      <c r="M313" t="str">
        <f>IF(A313="Backlog",COUNTIF($A$2:$A313,"Backlog"),"")</f>
        <v/>
      </c>
    </row>
    <row r="314" spans="1:13">
      <c r="A314" t="str">
        <f>IF(AND('Q42026'!B75&lt;&gt;"",'Q42026'!E75&lt;&gt;""),'Q42026'!E75,"")</f>
        <v/>
      </c>
      <c r="B314" t="str">
        <f>IF(AND('Q42026'!B75&lt;&gt;"",'Q42026'!E75&lt;&gt;""),'Q42026'!B75,"")</f>
        <v/>
      </c>
      <c r="C314" t="str">
        <f>IF(AND('Q42026'!B75&lt;&gt;"",'Q42026'!E75&lt;&gt;""),'Q42026'!C75,"")</f>
        <v/>
      </c>
      <c r="D314" t="str">
        <f>IF(AND('Q42026'!B75&lt;&gt;"",'Q42026'!E75&lt;&gt;""),'Q42026'!D75,"")</f>
        <v/>
      </c>
      <c r="E314" t="str">
        <f>IF(AND('Q42026'!B75&lt;&gt;"",'Q42026'!E75&lt;&gt;""),'Q42026'!H75,"")</f>
        <v/>
      </c>
      <c r="F314" t="str">
        <f>IF(AND('Q42026'!B75&lt;&gt;"",'Q42026'!E75&lt;&gt;""),'Q42026'!F75,"")</f>
        <v/>
      </c>
      <c r="G314" t="str">
        <f>IF(AND('Q42026'!B75&lt;&gt;"",'Q42026'!E75&lt;&gt;""),'Q42026'!G75,"")</f>
        <v/>
      </c>
      <c r="H314" t="str">
        <f>IF(AND('Q42026'!B75&lt;&gt;"",'Q42026'!E75&lt;&gt;""),"Q42026","")</f>
        <v/>
      </c>
      <c r="I314" t="str">
        <f>IF(A314="Q12026",COUNTIF($A$2:$A314,"Q12026"),"")</f>
        <v/>
      </c>
      <c r="J314" t="str">
        <f>IF(A314="Q22026",COUNTIF($A$2:$A314,"Q22026"),"")</f>
        <v/>
      </c>
      <c r="K314" t="str">
        <f>IF(A314="Q32026",COUNTIF($A$2:$A314,"Q32026"),"")</f>
        <v/>
      </c>
      <c r="L314" t="str">
        <f>IF(A314="Q42026",COUNTIF($A$2:$A314,"Q42026"),"")</f>
        <v/>
      </c>
      <c r="M314" t="str">
        <f>IF(A314="Backlog",COUNTIF($A$2:$A314,"Backlog"),"")</f>
        <v/>
      </c>
    </row>
    <row r="315" spans="1:13">
      <c r="A315" t="str">
        <f>IF(AND('Q42026'!B76&lt;&gt;"",'Q42026'!E76&lt;&gt;""),'Q42026'!E76,"")</f>
        <v/>
      </c>
      <c r="B315" t="str">
        <f>IF(AND('Q42026'!B76&lt;&gt;"",'Q42026'!E76&lt;&gt;""),'Q42026'!B76,"")</f>
        <v/>
      </c>
      <c r="C315" t="str">
        <f>IF(AND('Q42026'!B76&lt;&gt;"",'Q42026'!E76&lt;&gt;""),'Q42026'!C76,"")</f>
        <v/>
      </c>
      <c r="D315" t="str">
        <f>IF(AND('Q42026'!B76&lt;&gt;"",'Q42026'!E76&lt;&gt;""),'Q42026'!D76,"")</f>
        <v/>
      </c>
      <c r="E315" t="str">
        <f>IF(AND('Q42026'!B76&lt;&gt;"",'Q42026'!E76&lt;&gt;""),'Q42026'!H76,"")</f>
        <v/>
      </c>
      <c r="F315" t="str">
        <f>IF(AND('Q42026'!B76&lt;&gt;"",'Q42026'!E76&lt;&gt;""),'Q42026'!F76,"")</f>
        <v/>
      </c>
      <c r="G315" t="str">
        <f>IF(AND('Q42026'!B76&lt;&gt;"",'Q42026'!E76&lt;&gt;""),'Q42026'!G76,"")</f>
        <v/>
      </c>
      <c r="H315" t="str">
        <f>IF(AND('Q42026'!B76&lt;&gt;"",'Q42026'!E76&lt;&gt;""),"Q42026","")</f>
        <v/>
      </c>
      <c r="I315" t="str">
        <f>IF(A315="Q12026",COUNTIF($A$2:$A315,"Q12026"),"")</f>
        <v/>
      </c>
      <c r="J315" t="str">
        <f>IF(A315="Q22026",COUNTIF($A$2:$A315,"Q22026"),"")</f>
        <v/>
      </c>
      <c r="K315" t="str">
        <f>IF(A315="Q32026",COUNTIF($A$2:$A315,"Q32026"),"")</f>
        <v/>
      </c>
      <c r="L315" t="str">
        <f>IF(A315="Q42026",COUNTIF($A$2:$A315,"Q42026"),"")</f>
        <v/>
      </c>
      <c r="M315" t="str">
        <f>IF(A315="Backlog",COUNTIF($A$2:$A315,"Backlog"),"")</f>
        <v/>
      </c>
    </row>
    <row r="316" spans="1:13">
      <c r="A316" t="str">
        <f>IF(AND('Q42026'!B77&lt;&gt;"",'Q42026'!E77&lt;&gt;""),'Q42026'!E77,"")</f>
        <v/>
      </c>
      <c r="B316" t="str">
        <f>IF(AND('Q42026'!B77&lt;&gt;"",'Q42026'!E77&lt;&gt;""),'Q42026'!B77,"")</f>
        <v/>
      </c>
      <c r="C316" t="str">
        <f>IF(AND('Q42026'!B77&lt;&gt;"",'Q42026'!E77&lt;&gt;""),'Q42026'!C77,"")</f>
        <v/>
      </c>
      <c r="D316" t="str">
        <f>IF(AND('Q42026'!B77&lt;&gt;"",'Q42026'!E77&lt;&gt;""),'Q42026'!D77,"")</f>
        <v/>
      </c>
      <c r="E316" t="str">
        <f>IF(AND('Q42026'!B77&lt;&gt;"",'Q42026'!E77&lt;&gt;""),'Q42026'!H77,"")</f>
        <v/>
      </c>
      <c r="F316" t="str">
        <f>IF(AND('Q42026'!B77&lt;&gt;"",'Q42026'!E77&lt;&gt;""),'Q42026'!F77,"")</f>
        <v/>
      </c>
      <c r="G316" t="str">
        <f>IF(AND('Q42026'!B77&lt;&gt;"",'Q42026'!E77&lt;&gt;""),'Q42026'!G77,"")</f>
        <v/>
      </c>
      <c r="H316" t="str">
        <f>IF(AND('Q42026'!B77&lt;&gt;"",'Q42026'!E77&lt;&gt;""),"Q42026","")</f>
        <v/>
      </c>
      <c r="I316" t="str">
        <f>IF(A316="Q12026",COUNTIF($A$2:$A316,"Q12026"),"")</f>
        <v/>
      </c>
      <c r="J316" t="str">
        <f>IF(A316="Q22026",COUNTIF($A$2:$A316,"Q22026"),"")</f>
        <v/>
      </c>
      <c r="K316" t="str">
        <f>IF(A316="Q32026",COUNTIF($A$2:$A316,"Q32026"),"")</f>
        <v/>
      </c>
      <c r="L316" t="str">
        <f>IF(A316="Q42026",COUNTIF($A$2:$A316,"Q42026"),"")</f>
        <v/>
      </c>
      <c r="M316" t="str">
        <f>IF(A316="Backlog",COUNTIF($A$2:$A316,"Backlog"),"")</f>
        <v/>
      </c>
    </row>
    <row r="317" spans="1:13">
      <c r="A317" t="str">
        <f>IF(AND('Q42026'!B78&lt;&gt;"",'Q42026'!E78&lt;&gt;""),'Q42026'!E78,"")</f>
        <v/>
      </c>
      <c r="B317" t="str">
        <f>IF(AND('Q42026'!B78&lt;&gt;"",'Q42026'!E78&lt;&gt;""),'Q42026'!B78,"")</f>
        <v/>
      </c>
      <c r="C317" t="str">
        <f>IF(AND('Q42026'!B78&lt;&gt;"",'Q42026'!E78&lt;&gt;""),'Q42026'!C78,"")</f>
        <v/>
      </c>
      <c r="D317" t="str">
        <f>IF(AND('Q42026'!B78&lt;&gt;"",'Q42026'!E78&lt;&gt;""),'Q42026'!D78,"")</f>
        <v/>
      </c>
      <c r="E317" t="str">
        <f>IF(AND('Q42026'!B78&lt;&gt;"",'Q42026'!E78&lt;&gt;""),'Q42026'!H78,"")</f>
        <v/>
      </c>
      <c r="F317" t="str">
        <f>IF(AND('Q42026'!B78&lt;&gt;"",'Q42026'!E78&lt;&gt;""),'Q42026'!F78,"")</f>
        <v/>
      </c>
      <c r="G317" t="str">
        <f>IF(AND('Q42026'!B78&lt;&gt;"",'Q42026'!E78&lt;&gt;""),'Q42026'!G78,"")</f>
        <v/>
      </c>
      <c r="H317" t="str">
        <f>IF(AND('Q42026'!B78&lt;&gt;"",'Q42026'!E78&lt;&gt;""),"Q42026","")</f>
        <v/>
      </c>
      <c r="I317" t="str">
        <f>IF(A317="Q12026",COUNTIF($A$2:$A317,"Q12026"),"")</f>
        <v/>
      </c>
      <c r="J317" t="str">
        <f>IF(A317="Q22026",COUNTIF($A$2:$A317,"Q22026"),"")</f>
        <v/>
      </c>
      <c r="K317" t="str">
        <f>IF(A317="Q32026",COUNTIF($A$2:$A317,"Q32026"),"")</f>
        <v/>
      </c>
      <c r="L317" t="str">
        <f>IF(A317="Q42026",COUNTIF($A$2:$A317,"Q42026"),"")</f>
        <v/>
      </c>
      <c r="M317" t="str">
        <f>IF(A317="Backlog",COUNTIF($A$2:$A317,"Backlog"),"")</f>
        <v/>
      </c>
    </row>
    <row r="318" spans="1:13">
      <c r="A318" t="str">
        <f>IF(AND('Q42026'!B79&lt;&gt;"",'Q42026'!E79&lt;&gt;""),'Q42026'!E79,"")</f>
        <v/>
      </c>
      <c r="B318" t="str">
        <f>IF(AND('Q42026'!B79&lt;&gt;"",'Q42026'!E79&lt;&gt;""),'Q42026'!B79,"")</f>
        <v/>
      </c>
      <c r="C318" t="str">
        <f>IF(AND('Q42026'!B79&lt;&gt;"",'Q42026'!E79&lt;&gt;""),'Q42026'!C79,"")</f>
        <v/>
      </c>
      <c r="D318" t="str">
        <f>IF(AND('Q42026'!B79&lt;&gt;"",'Q42026'!E79&lt;&gt;""),'Q42026'!D79,"")</f>
        <v/>
      </c>
      <c r="E318" t="str">
        <f>IF(AND('Q42026'!B79&lt;&gt;"",'Q42026'!E79&lt;&gt;""),'Q42026'!H79,"")</f>
        <v/>
      </c>
      <c r="F318" t="str">
        <f>IF(AND('Q42026'!B79&lt;&gt;"",'Q42026'!E79&lt;&gt;""),'Q42026'!F79,"")</f>
        <v/>
      </c>
      <c r="G318" t="str">
        <f>IF(AND('Q42026'!B79&lt;&gt;"",'Q42026'!E79&lt;&gt;""),'Q42026'!G79,"")</f>
        <v/>
      </c>
      <c r="H318" t="str">
        <f>IF(AND('Q42026'!B79&lt;&gt;"",'Q42026'!E79&lt;&gt;""),"Q42026","")</f>
        <v/>
      </c>
      <c r="I318" t="str">
        <f>IF(A318="Q12026",COUNTIF($A$2:$A318,"Q12026"),"")</f>
        <v/>
      </c>
      <c r="J318" t="str">
        <f>IF(A318="Q22026",COUNTIF($A$2:$A318,"Q22026"),"")</f>
        <v/>
      </c>
      <c r="K318" t="str">
        <f>IF(A318="Q32026",COUNTIF($A$2:$A318,"Q32026"),"")</f>
        <v/>
      </c>
      <c r="L318" t="str">
        <f>IF(A318="Q42026",COUNTIF($A$2:$A318,"Q42026"),"")</f>
        <v/>
      </c>
      <c r="M318" t="str">
        <f>IF(A318="Backlog",COUNTIF($A$2:$A318,"Backlog"),"")</f>
        <v/>
      </c>
    </row>
    <row r="319" spans="1:13">
      <c r="A319" t="str">
        <f>IF(AND('Q42026'!B80&lt;&gt;"",'Q42026'!E80&lt;&gt;""),'Q42026'!E80,"")</f>
        <v/>
      </c>
      <c r="B319" t="str">
        <f>IF(AND('Q42026'!B80&lt;&gt;"",'Q42026'!E80&lt;&gt;""),'Q42026'!B80,"")</f>
        <v/>
      </c>
      <c r="C319" t="str">
        <f>IF(AND('Q42026'!B80&lt;&gt;"",'Q42026'!E80&lt;&gt;""),'Q42026'!C80,"")</f>
        <v/>
      </c>
      <c r="D319" t="str">
        <f>IF(AND('Q42026'!B80&lt;&gt;"",'Q42026'!E80&lt;&gt;""),'Q42026'!D80,"")</f>
        <v/>
      </c>
      <c r="E319" t="str">
        <f>IF(AND('Q42026'!B80&lt;&gt;"",'Q42026'!E80&lt;&gt;""),'Q42026'!H80,"")</f>
        <v/>
      </c>
      <c r="F319" t="str">
        <f>IF(AND('Q42026'!B80&lt;&gt;"",'Q42026'!E80&lt;&gt;""),'Q42026'!F80,"")</f>
        <v/>
      </c>
      <c r="G319" t="str">
        <f>IF(AND('Q42026'!B80&lt;&gt;"",'Q42026'!E80&lt;&gt;""),'Q42026'!G80,"")</f>
        <v/>
      </c>
      <c r="H319" t="str">
        <f>IF(AND('Q42026'!B80&lt;&gt;"",'Q42026'!E80&lt;&gt;""),"Q42026","")</f>
        <v/>
      </c>
      <c r="I319" t="str">
        <f>IF(A319="Q12026",COUNTIF($A$2:$A319,"Q12026"),"")</f>
        <v/>
      </c>
      <c r="J319" t="str">
        <f>IF(A319="Q22026",COUNTIF($A$2:$A319,"Q22026"),"")</f>
        <v/>
      </c>
      <c r="K319" t="str">
        <f>IF(A319="Q32026",COUNTIF($A$2:$A319,"Q32026"),"")</f>
        <v/>
      </c>
      <c r="L319" t="str">
        <f>IF(A319="Q42026",COUNTIF($A$2:$A319,"Q42026"),"")</f>
        <v/>
      </c>
      <c r="M319" t="str">
        <f>IF(A319="Backlog",COUNTIF($A$2:$A319,"Backlog"),"")</f>
        <v/>
      </c>
    </row>
    <row r="320" spans="1:13">
      <c r="A320" t="str">
        <f>IF(AND('Q42026'!B81&lt;&gt;"",'Q42026'!E81&lt;&gt;""),'Q42026'!E81,"")</f>
        <v/>
      </c>
      <c r="B320" t="str">
        <f>IF(AND('Q42026'!B81&lt;&gt;"",'Q42026'!E81&lt;&gt;""),'Q42026'!B81,"")</f>
        <v/>
      </c>
      <c r="C320" t="str">
        <f>IF(AND('Q42026'!B81&lt;&gt;"",'Q42026'!E81&lt;&gt;""),'Q42026'!C81,"")</f>
        <v/>
      </c>
      <c r="D320" t="str">
        <f>IF(AND('Q42026'!B81&lt;&gt;"",'Q42026'!E81&lt;&gt;""),'Q42026'!D81,"")</f>
        <v/>
      </c>
      <c r="E320" t="str">
        <f>IF(AND('Q42026'!B81&lt;&gt;"",'Q42026'!E81&lt;&gt;""),'Q42026'!H81,"")</f>
        <v/>
      </c>
      <c r="F320" t="str">
        <f>IF(AND('Q42026'!B81&lt;&gt;"",'Q42026'!E81&lt;&gt;""),'Q42026'!F81,"")</f>
        <v/>
      </c>
      <c r="G320" t="str">
        <f>IF(AND('Q42026'!B81&lt;&gt;"",'Q42026'!E81&lt;&gt;""),'Q42026'!G81,"")</f>
        <v/>
      </c>
      <c r="H320" t="str">
        <f>IF(AND('Q42026'!B81&lt;&gt;"",'Q42026'!E81&lt;&gt;""),"Q42026","")</f>
        <v/>
      </c>
      <c r="I320" t="str">
        <f>IF(A320="Q12026",COUNTIF($A$2:$A320,"Q12026"),"")</f>
        <v/>
      </c>
      <c r="J320" t="str">
        <f>IF(A320="Q22026",COUNTIF($A$2:$A320,"Q22026"),"")</f>
        <v/>
      </c>
      <c r="K320" t="str">
        <f>IF(A320="Q32026",COUNTIF($A$2:$A320,"Q32026"),"")</f>
        <v/>
      </c>
      <c r="L320" t="str">
        <f>IF(A320="Q42026",COUNTIF($A$2:$A320,"Q42026"),"")</f>
        <v/>
      </c>
      <c r="M320" t="str">
        <f>IF(A320="Backlog",COUNTIF($A$2:$A320,"Backlog"),"")</f>
        <v/>
      </c>
    </row>
    <row r="321" spans="1:13">
      <c r="A321" t="str">
        <f>IF(AND('Q42026'!B82&lt;&gt;"",'Q42026'!E82&lt;&gt;""),'Q42026'!E82,"")</f>
        <v/>
      </c>
      <c r="B321" t="str">
        <f>IF(AND('Q42026'!B82&lt;&gt;"",'Q42026'!E82&lt;&gt;""),'Q42026'!B82,"")</f>
        <v/>
      </c>
      <c r="C321" t="str">
        <f>IF(AND('Q42026'!B82&lt;&gt;"",'Q42026'!E82&lt;&gt;""),'Q42026'!C82,"")</f>
        <v/>
      </c>
      <c r="D321" t="str">
        <f>IF(AND('Q42026'!B82&lt;&gt;"",'Q42026'!E82&lt;&gt;""),'Q42026'!D82,"")</f>
        <v/>
      </c>
      <c r="E321" t="str">
        <f>IF(AND('Q42026'!B82&lt;&gt;"",'Q42026'!E82&lt;&gt;""),'Q42026'!H82,"")</f>
        <v/>
      </c>
      <c r="F321" t="str">
        <f>IF(AND('Q42026'!B82&lt;&gt;"",'Q42026'!E82&lt;&gt;""),'Q42026'!F82,"")</f>
        <v/>
      </c>
      <c r="G321" t="str">
        <f>IF(AND('Q42026'!B82&lt;&gt;"",'Q42026'!E82&lt;&gt;""),'Q42026'!G82,"")</f>
        <v/>
      </c>
      <c r="H321" t="str">
        <f>IF(AND('Q42026'!B82&lt;&gt;"",'Q42026'!E82&lt;&gt;""),"Q42026","")</f>
        <v/>
      </c>
      <c r="I321" t="str">
        <f>IF(A321="Q12026",COUNTIF($A$2:$A321,"Q12026"),"")</f>
        <v/>
      </c>
      <c r="J321" t="str">
        <f>IF(A321="Q22026",COUNTIF($A$2:$A321,"Q22026"),"")</f>
        <v/>
      </c>
      <c r="K321" t="str">
        <f>IF(A321="Q32026",COUNTIF($A$2:$A321,"Q32026"),"")</f>
        <v/>
      </c>
      <c r="L321" t="str">
        <f>IF(A321="Q42026",COUNTIF($A$2:$A321,"Q42026"),"")</f>
        <v/>
      </c>
      <c r="M321" t="str">
        <f>IF(A321="Backlog",COUNTIF($A$2:$A321,"Backlog"),"")</f>
        <v/>
      </c>
    </row>
    <row r="322" spans="1:13">
      <c r="A322" t="str">
        <f>IF(AND('PO-Backlog'!B3&lt;&gt;"",'PO-Backlog'!E3&lt;&gt;""),'PO-Backlog'!E3,"")</f>
        <v/>
      </c>
      <c r="B322" t="str">
        <f>IF(AND('PO-Backlog'!B3&lt;&gt;"",'PO-Backlog'!E3&lt;&gt;""),'PO-Backlog'!B3,"")</f>
        <v/>
      </c>
      <c r="C322" t="str">
        <f>IF(AND('PO-Backlog'!B3&lt;&gt;"",'PO-Backlog'!E3&lt;&gt;""),'PO-Backlog'!C3,"")</f>
        <v/>
      </c>
      <c r="D322" t="str">
        <f>IF(AND('PO-Backlog'!B3&lt;&gt;"",'PO-Backlog'!E3&lt;&gt;""),'PO-Backlog'!D3,"")</f>
        <v/>
      </c>
      <c r="E322" t="str">
        <f>IF(AND('PO-Backlog'!B3&lt;&gt;"",'PO-Backlog'!E3&lt;&gt;""),'PO-Backlog'!H3,"")</f>
        <v/>
      </c>
      <c r="F322" t="str">
        <f>IF(AND('PO-Backlog'!B3&lt;&gt;"",'PO-Backlog'!E3&lt;&gt;""),'PO-Backlog'!F3,"")</f>
        <v/>
      </c>
      <c r="G322" t="str">
        <f>IF(AND('PO-Backlog'!B3&lt;&gt;"",'PO-Backlog'!E3&lt;&gt;""),'PO-Backlog'!G3,"")</f>
        <v/>
      </c>
      <c r="H322" t="str">
        <f>IF(AND('PO-Backlog'!B3&lt;&gt;"",'PO-Backlog'!E3&lt;&gt;""),"PO-Backlog","")</f>
        <v/>
      </c>
      <c r="I322" t="str">
        <f>IF(A322="Q12026",COUNTIF($A$2:$A322,"Q12026"),"")</f>
        <v/>
      </c>
      <c r="J322" t="str">
        <f>IF(A322="Q22026",COUNTIF($A$2:$A322,"Q22026"),"")</f>
        <v/>
      </c>
      <c r="K322" t="str">
        <f>IF(A322="Q32026",COUNTIF($A$2:$A322,"Q32026"),"")</f>
        <v/>
      </c>
      <c r="L322" t="str">
        <f>IF(A322="Q42026",COUNTIF($A$2:$A322,"Q42026"),"")</f>
        <v/>
      </c>
      <c r="M322" t="str">
        <f>IF(A322="Backlog",COUNTIF($A$2:$A322,"Backlog"),"")</f>
        <v/>
      </c>
    </row>
    <row r="323" spans="1:13">
      <c r="A323" t="str">
        <f>IF(AND('PO-Backlog'!B4&lt;&gt;"",'PO-Backlog'!E4&lt;&gt;""),'PO-Backlog'!E4,"")</f>
        <v/>
      </c>
      <c r="B323" t="str">
        <f>IF(AND('PO-Backlog'!B4&lt;&gt;"",'PO-Backlog'!E4&lt;&gt;""),'PO-Backlog'!B4,"")</f>
        <v/>
      </c>
      <c r="C323" t="str">
        <f>IF(AND('PO-Backlog'!B4&lt;&gt;"",'PO-Backlog'!E4&lt;&gt;""),'PO-Backlog'!C4,"")</f>
        <v/>
      </c>
      <c r="D323" t="str">
        <f>IF(AND('PO-Backlog'!B4&lt;&gt;"",'PO-Backlog'!E4&lt;&gt;""),'PO-Backlog'!D4,"")</f>
        <v/>
      </c>
      <c r="E323" t="str">
        <f>IF(AND('PO-Backlog'!B4&lt;&gt;"",'PO-Backlog'!E4&lt;&gt;""),'PO-Backlog'!H4,"")</f>
        <v/>
      </c>
      <c r="F323" t="str">
        <f>IF(AND('PO-Backlog'!B4&lt;&gt;"",'PO-Backlog'!E4&lt;&gt;""),'PO-Backlog'!F4,"")</f>
        <v/>
      </c>
      <c r="G323" t="str">
        <f>IF(AND('PO-Backlog'!B4&lt;&gt;"",'PO-Backlog'!E4&lt;&gt;""),'PO-Backlog'!G4,"")</f>
        <v/>
      </c>
      <c r="H323" t="str">
        <f>IF(AND('PO-Backlog'!B4&lt;&gt;"",'PO-Backlog'!E4&lt;&gt;""),"PO-Backlog","")</f>
        <v/>
      </c>
      <c r="I323" t="str">
        <f>IF(A323="Q12026",COUNTIF($A$2:$A323,"Q12026"),"")</f>
        <v/>
      </c>
      <c r="J323" t="str">
        <f>IF(A323="Q22026",COUNTIF($A$2:$A323,"Q22026"),"")</f>
        <v/>
      </c>
      <c r="K323" t="str">
        <f>IF(A323="Q32026",COUNTIF($A$2:$A323,"Q32026"),"")</f>
        <v/>
      </c>
      <c r="L323" t="str">
        <f>IF(A323="Q42026",COUNTIF($A$2:$A323,"Q42026"),"")</f>
        <v/>
      </c>
      <c r="M323" t="str">
        <f>IF(A323="Backlog",COUNTIF($A$2:$A323,"Backlog"),"")</f>
        <v/>
      </c>
    </row>
    <row r="324" spans="1:13">
      <c r="A324" t="str">
        <f>IF(AND('PO-Backlog'!B5&lt;&gt;"",'PO-Backlog'!E5&lt;&gt;""),'PO-Backlog'!E5,"")</f>
        <v/>
      </c>
      <c r="B324" t="str">
        <f>IF(AND('PO-Backlog'!B5&lt;&gt;"",'PO-Backlog'!E5&lt;&gt;""),'PO-Backlog'!B5,"")</f>
        <v/>
      </c>
      <c r="C324" t="str">
        <f>IF(AND('PO-Backlog'!B5&lt;&gt;"",'PO-Backlog'!E5&lt;&gt;""),'PO-Backlog'!C5,"")</f>
        <v/>
      </c>
      <c r="D324" t="str">
        <f>IF(AND('PO-Backlog'!B5&lt;&gt;"",'PO-Backlog'!E5&lt;&gt;""),'PO-Backlog'!D5,"")</f>
        <v/>
      </c>
      <c r="E324" t="str">
        <f>IF(AND('PO-Backlog'!B5&lt;&gt;"",'PO-Backlog'!E5&lt;&gt;""),'PO-Backlog'!H5,"")</f>
        <v/>
      </c>
      <c r="F324" t="str">
        <f>IF(AND('PO-Backlog'!B5&lt;&gt;"",'PO-Backlog'!E5&lt;&gt;""),'PO-Backlog'!F5,"")</f>
        <v/>
      </c>
      <c r="G324" t="str">
        <f>IF(AND('PO-Backlog'!B5&lt;&gt;"",'PO-Backlog'!E5&lt;&gt;""),'PO-Backlog'!G5,"")</f>
        <v/>
      </c>
      <c r="H324" t="str">
        <f>IF(AND('PO-Backlog'!B5&lt;&gt;"",'PO-Backlog'!E5&lt;&gt;""),"PO-Backlog","")</f>
        <v/>
      </c>
      <c r="I324" t="str">
        <f>IF(A324="Q12026",COUNTIF($A$2:$A324,"Q12026"),"")</f>
        <v/>
      </c>
      <c r="J324" t="str">
        <f>IF(A324="Q22026",COUNTIF($A$2:$A324,"Q22026"),"")</f>
        <v/>
      </c>
      <c r="K324" t="str">
        <f>IF(A324="Q32026",COUNTIF($A$2:$A324,"Q32026"),"")</f>
        <v/>
      </c>
      <c r="L324" t="str">
        <f>IF(A324="Q42026",COUNTIF($A$2:$A324,"Q42026"),"")</f>
        <v/>
      </c>
      <c r="M324" t="str">
        <f>IF(A324="Backlog",COUNTIF($A$2:$A324,"Backlog"),"")</f>
        <v/>
      </c>
    </row>
    <row r="325" spans="1:13">
      <c r="A325" t="str">
        <f>IF(AND('PO-Backlog'!B6&lt;&gt;"",'PO-Backlog'!E6&lt;&gt;""),'PO-Backlog'!E6,"")</f>
        <v/>
      </c>
      <c r="B325" t="str">
        <f>IF(AND('PO-Backlog'!B6&lt;&gt;"",'PO-Backlog'!E6&lt;&gt;""),'PO-Backlog'!B6,"")</f>
        <v/>
      </c>
      <c r="C325" t="str">
        <f>IF(AND('PO-Backlog'!B6&lt;&gt;"",'PO-Backlog'!E6&lt;&gt;""),'PO-Backlog'!C6,"")</f>
        <v/>
      </c>
      <c r="D325" t="str">
        <f>IF(AND('PO-Backlog'!B6&lt;&gt;"",'PO-Backlog'!E6&lt;&gt;""),'PO-Backlog'!D6,"")</f>
        <v/>
      </c>
      <c r="E325" t="str">
        <f>IF(AND('PO-Backlog'!B6&lt;&gt;"",'PO-Backlog'!E6&lt;&gt;""),'PO-Backlog'!H6,"")</f>
        <v/>
      </c>
      <c r="F325" t="str">
        <f>IF(AND('PO-Backlog'!B6&lt;&gt;"",'PO-Backlog'!E6&lt;&gt;""),'PO-Backlog'!F6,"")</f>
        <v/>
      </c>
      <c r="G325" t="str">
        <f>IF(AND('PO-Backlog'!B6&lt;&gt;"",'PO-Backlog'!E6&lt;&gt;""),'PO-Backlog'!G6,"")</f>
        <v/>
      </c>
      <c r="H325" t="str">
        <f>IF(AND('PO-Backlog'!B6&lt;&gt;"",'PO-Backlog'!E6&lt;&gt;""),"PO-Backlog","")</f>
        <v/>
      </c>
      <c r="I325" t="str">
        <f>IF(A325="Q12026",COUNTIF($A$2:$A325,"Q12026"),"")</f>
        <v/>
      </c>
      <c r="J325" t="str">
        <f>IF(A325="Q22026",COUNTIF($A$2:$A325,"Q22026"),"")</f>
        <v/>
      </c>
      <c r="K325" t="str">
        <f>IF(A325="Q32026",COUNTIF($A$2:$A325,"Q32026"),"")</f>
        <v/>
      </c>
      <c r="L325" t="str">
        <f>IF(A325="Q42026",COUNTIF($A$2:$A325,"Q42026"),"")</f>
        <v/>
      </c>
      <c r="M325" t="str">
        <f>IF(A325="Backlog",COUNTIF($A$2:$A325,"Backlog"),"")</f>
        <v/>
      </c>
    </row>
    <row r="326" spans="1:13">
      <c r="A326" t="str">
        <f>IF(AND('PO-Backlog'!B7&lt;&gt;"",'PO-Backlog'!E7&lt;&gt;""),'PO-Backlog'!E7,"")</f>
        <v/>
      </c>
      <c r="B326" t="str">
        <f>IF(AND('PO-Backlog'!B7&lt;&gt;"",'PO-Backlog'!E7&lt;&gt;""),'PO-Backlog'!B7,"")</f>
        <v/>
      </c>
      <c r="C326" t="str">
        <f>IF(AND('PO-Backlog'!B7&lt;&gt;"",'PO-Backlog'!E7&lt;&gt;""),'PO-Backlog'!C7,"")</f>
        <v/>
      </c>
      <c r="D326" t="str">
        <f>IF(AND('PO-Backlog'!B7&lt;&gt;"",'PO-Backlog'!E7&lt;&gt;""),'PO-Backlog'!D7,"")</f>
        <v/>
      </c>
      <c r="E326" t="str">
        <f>IF(AND('PO-Backlog'!B7&lt;&gt;"",'PO-Backlog'!E7&lt;&gt;""),'PO-Backlog'!H7,"")</f>
        <v/>
      </c>
      <c r="F326" t="str">
        <f>IF(AND('PO-Backlog'!B7&lt;&gt;"",'PO-Backlog'!E7&lt;&gt;""),'PO-Backlog'!F7,"")</f>
        <v/>
      </c>
      <c r="G326" t="str">
        <f>IF(AND('PO-Backlog'!B7&lt;&gt;"",'PO-Backlog'!E7&lt;&gt;""),'PO-Backlog'!G7,"")</f>
        <v/>
      </c>
      <c r="H326" t="str">
        <f>IF(AND('PO-Backlog'!B7&lt;&gt;"",'PO-Backlog'!E7&lt;&gt;""),"PO-Backlog","")</f>
        <v/>
      </c>
      <c r="I326" t="str">
        <f>IF(A326="Q12026",COUNTIF($A$2:$A326,"Q12026"),"")</f>
        <v/>
      </c>
      <c r="J326" t="str">
        <f>IF(A326="Q22026",COUNTIF($A$2:$A326,"Q22026"),"")</f>
        <v/>
      </c>
      <c r="K326" t="str">
        <f>IF(A326="Q32026",COUNTIF($A$2:$A326,"Q32026"),"")</f>
        <v/>
      </c>
      <c r="L326" t="str">
        <f>IF(A326="Q42026",COUNTIF($A$2:$A326,"Q42026"),"")</f>
        <v/>
      </c>
      <c r="M326" t="str">
        <f>IF(A326="Backlog",COUNTIF($A$2:$A326,"Backlog"),"")</f>
        <v/>
      </c>
    </row>
    <row r="327" spans="1:13">
      <c r="A327" t="str">
        <f>IF(AND('PO-Backlog'!B8&lt;&gt;"",'PO-Backlog'!E8&lt;&gt;""),'PO-Backlog'!E8,"")</f>
        <v/>
      </c>
      <c r="B327" t="str">
        <f>IF(AND('PO-Backlog'!B8&lt;&gt;"",'PO-Backlog'!E8&lt;&gt;""),'PO-Backlog'!B8,"")</f>
        <v/>
      </c>
      <c r="C327" t="str">
        <f>IF(AND('PO-Backlog'!B8&lt;&gt;"",'PO-Backlog'!E8&lt;&gt;""),'PO-Backlog'!C8,"")</f>
        <v/>
      </c>
      <c r="D327" t="str">
        <f>IF(AND('PO-Backlog'!B8&lt;&gt;"",'PO-Backlog'!E8&lt;&gt;""),'PO-Backlog'!D8,"")</f>
        <v/>
      </c>
      <c r="E327" t="str">
        <f>IF(AND('PO-Backlog'!B8&lt;&gt;"",'PO-Backlog'!E8&lt;&gt;""),'PO-Backlog'!H8,"")</f>
        <v/>
      </c>
      <c r="F327" t="str">
        <f>IF(AND('PO-Backlog'!B8&lt;&gt;"",'PO-Backlog'!E8&lt;&gt;""),'PO-Backlog'!F8,"")</f>
        <v/>
      </c>
      <c r="G327" t="str">
        <f>IF(AND('PO-Backlog'!B8&lt;&gt;"",'PO-Backlog'!E8&lt;&gt;""),'PO-Backlog'!G8,"")</f>
        <v/>
      </c>
      <c r="H327" t="str">
        <f>IF(AND('PO-Backlog'!B8&lt;&gt;"",'PO-Backlog'!E8&lt;&gt;""),"PO-Backlog","")</f>
        <v/>
      </c>
      <c r="I327" t="str">
        <f>IF(A327="Q12026",COUNTIF($A$2:$A327,"Q12026"),"")</f>
        <v/>
      </c>
      <c r="J327" t="str">
        <f>IF(A327="Q22026",COUNTIF($A$2:$A327,"Q22026"),"")</f>
        <v/>
      </c>
      <c r="K327" t="str">
        <f>IF(A327="Q32026",COUNTIF($A$2:$A327,"Q32026"),"")</f>
        <v/>
      </c>
      <c r="L327" t="str">
        <f>IF(A327="Q42026",COUNTIF($A$2:$A327,"Q42026"),"")</f>
        <v/>
      </c>
      <c r="M327" t="str">
        <f>IF(A327="Backlog",COUNTIF($A$2:$A327,"Backlog"),"")</f>
        <v/>
      </c>
    </row>
    <row r="328" spans="1:13">
      <c r="A328" t="str">
        <f>IF(AND('PO-Backlog'!B9&lt;&gt;"",'PO-Backlog'!E9&lt;&gt;""),'PO-Backlog'!E9,"")</f>
        <v>Q42026</v>
      </c>
      <c r="B328" t="str">
        <f>IF(AND('PO-Backlog'!B9&lt;&gt;"",'PO-Backlog'!E9&lt;&gt;""),'PO-Backlog'!B9,"")</f>
        <v>Andorid Anforderungen</v>
      </c>
      <c r="C328">
        <f>IF(AND('PO-Backlog'!B9&lt;&gt;"",'PO-Backlog'!E9&lt;&gt;""),'PO-Backlog'!C9,"")</f>
        <v>0</v>
      </c>
      <c r="D328">
        <f>IF(AND('PO-Backlog'!B9&lt;&gt;"",'PO-Backlog'!E9&lt;&gt;""),'PO-Backlog'!D9,"")</f>
        <v>0</v>
      </c>
      <c r="E328" t="str">
        <f>IF(AND('PO-Backlog'!B9&lt;&gt;"",'PO-Backlog'!E9&lt;&gt;""),'PO-Backlog'!H9,"")</f>
        <v/>
      </c>
      <c r="F328" t="str">
        <f>IF(AND('PO-Backlog'!B9&lt;&gt;"",'PO-Backlog'!E9&lt;&gt;""),'PO-Backlog'!F9,"")</f>
        <v>Must</v>
      </c>
      <c r="G328" t="str">
        <f>IF(AND('PO-Backlog'!B9&lt;&gt;"",'PO-Backlog'!E9&lt;&gt;""),'PO-Backlog'!G9,"")</f>
        <v>WEB</v>
      </c>
      <c r="H328" t="str">
        <f>IF(AND('PO-Backlog'!B9&lt;&gt;"",'PO-Backlog'!E9&lt;&gt;""),"PO-Backlog","")</f>
        <v>PO-Backlog</v>
      </c>
      <c r="I328" t="str">
        <f>IF(A328="Q12026",COUNTIF($A$2:$A328,"Q12026"),"")</f>
        <v/>
      </c>
      <c r="J328" t="str">
        <f>IF(A328="Q22026",COUNTIF($A$2:$A328,"Q22026"),"")</f>
        <v/>
      </c>
      <c r="K328" t="str">
        <f>IF(A328="Q32026",COUNTIF($A$2:$A328,"Q32026"),"")</f>
        <v/>
      </c>
      <c r="L328">
        <f>IF(A328="Q42026",COUNTIF($A$2:$A328,"Q42026"),"")</f>
        <v>26</v>
      </c>
      <c r="M328" t="str">
        <f>IF(A328="Backlog",COUNTIF($A$2:$A328,"Backlog"),"")</f>
        <v/>
      </c>
    </row>
    <row r="329" spans="1:13">
      <c r="A329" t="str">
        <f>IF(AND('PO-Backlog'!B10&lt;&gt;"",'PO-Backlog'!E10&lt;&gt;""),'PO-Backlog'!E10,"")</f>
        <v/>
      </c>
      <c r="B329" t="str">
        <f>IF(AND('PO-Backlog'!B10&lt;&gt;"",'PO-Backlog'!E10&lt;&gt;""),'PO-Backlog'!B10,"")</f>
        <v/>
      </c>
      <c r="C329" t="str">
        <f>IF(AND('PO-Backlog'!B10&lt;&gt;"",'PO-Backlog'!E10&lt;&gt;""),'PO-Backlog'!C10,"")</f>
        <v/>
      </c>
      <c r="D329" t="str">
        <f>IF(AND('PO-Backlog'!B10&lt;&gt;"",'PO-Backlog'!E10&lt;&gt;""),'PO-Backlog'!D10,"")</f>
        <v/>
      </c>
      <c r="E329" t="str">
        <f>IF(AND('PO-Backlog'!B10&lt;&gt;"",'PO-Backlog'!E10&lt;&gt;""),'PO-Backlog'!H10,"")</f>
        <v/>
      </c>
      <c r="F329" t="str">
        <f>IF(AND('PO-Backlog'!B10&lt;&gt;"",'PO-Backlog'!E10&lt;&gt;""),'PO-Backlog'!F10,"")</f>
        <v/>
      </c>
      <c r="G329" t="str">
        <f>IF(AND('PO-Backlog'!B10&lt;&gt;"",'PO-Backlog'!E10&lt;&gt;""),'PO-Backlog'!G10,"")</f>
        <v/>
      </c>
      <c r="H329" t="str">
        <f>IF(AND('PO-Backlog'!B10&lt;&gt;"",'PO-Backlog'!E10&lt;&gt;""),"PO-Backlog","")</f>
        <v/>
      </c>
      <c r="I329" t="str">
        <f>IF(A329="Q12026",COUNTIF($A$2:$A329,"Q12026"),"")</f>
        <v/>
      </c>
      <c r="J329" t="str">
        <f>IF(A329="Q22026",COUNTIF($A$2:$A329,"Q22026"),"")</f>
        <v/>
      </c>
      <c r="K329" t="str">
        <f>IF(A329="Q32026",COUNTIF($A$2:$A329,"Q32026"),"")</f>
        <v/>
      </c>
      <c r="L329" t="str">
        <f>IF(A329="Q42026",COUNTIF($A$2:$A329,"Q42026"),"")</f>
        <v/>
      </c>
      <c r="M329" t="str">
        <f>IF(A329="Backlog",COUNTIF($A$2:$A329,"Backlog"),"")</f>
        <v/>
      </c>
    </row>
    <row r="330" spans="1:13">
      <c r="A330" t="str">
        <f>IF(AND('PO-Backlog'!B11&lt;&gt;"",'PO-Backlog'!E11&lt;&gt;""),'PO-Backlog'!E11,"")</f>
        <v/>
      </c>
      <c r="B330" t="str">
        <f>IF(AND('PO-Backlog'!B11&lt;&gt;"",'PO-Backlog'!E11&lt;&gt;""),'PO-Backlog'!B11,"")</f>
        <v/>
      </c>
      <c r="C330" t="str">
        <f>IF(AND('PO-Backlog'!B11&lt;&gt;"",'PO-Backlog'!E11&lt;&gt;""),'PO-Backlog'!C11,"")</f>
        <v/>
      </c>
      <c r="D330" t="str">
        <f>IF(AND('PO-Backlog'!B11&lt;&gt;"",'PO-Backlog'!E11&lt;&gt;""),'PO-Backlog'!D11,"")</f>
        <v/>
      </c>
      <c r="E330" t="str">
        <f>IF(AND('PO-Backlog'!B11&lt;&gt;"",'PO-Backlog'!E11&lt;&gt;""),'PO-Backlog'!H11,"")</f>
        <v/>
      </c>
      <c r="F330" t="str">
        <f>IF(AND('PO-Backlog'!B11&lt;&gt;"",'PO-Backlog'!E11&lt;&gt;""),'PO-Backlog'!F11,"")</f>
        <v/>
      </c>
      <c r="G330" t="str">
        <f>IF(AND('PO-Backlog'!B11&lt;&gt;"",'PO-Backlog'!E11&lt;&gt;""),'PO-Backlog'!G11,"")</f>
        <v/>
      </c>
      <c r="H330" t="str">
        <f>IF(AND('PO-Backlog'!B11&lt;&gt;"",'PO-Backlog'!E11&lt;&gt;""),"PO-Backlog","")</f>
        <v/>
      </c>
      <c r="I330" t="str">
        <f>IF(A330="Q12026",COUNTIF($A$2:$A330,"Q12026"),"")</f>
        <v/>
      </c>
      <c r="J330" t="str">
        <f>IF(A330="Q22026",COUNTIF($A$2:$A330,"Q22026"),"")</f>
        <v/>
      </c>
      <c r="K330" t="str">
        <f>IF(A330="Q32026",COUNTIF($A$2:$A330,"Q32026"),"")</f>
        <v/>
      </c>
      <c r="L330" t="str">
        <f>IF(A330="Q42026",COUNTIF($A$2:$A330,"Q42026"),"")</f>
        <v/>
      </c>
      <c r="M330" t="str">
        <f>IF(A330="Backlog",COUNTIF($A$2:$A330,"Backlog"),"")</f>
        <v/>
      </c>
    </row>
    <row r="331" spans="1:13">
      <c r="A331" t="str">
        <f>IF(AND('PO-Backlog'!B12&lt;&gt;"",'PO-Backlog'!E12&lt;&gt;""),'PO-Backlog'!E12,"")</f>
        <v/>
      </c>
      <c r="B331" t="str">
        <f>IF(AND('PO-Backlog'!B12&lt;&gt;"",'PO-Backlog'!E12&lt;&gt;""),'PO-Backlog'!B12,"")</f>
        <v/>
      </c>
      <c r="C331" t="str">
        <f>IF(AND('PO-Backlog'!B12&lt;&gt;"",'PO-Backlog'!E12&lt;&gt;""),'PO-Backlog'!C12,"")</f>
        <v/>
      </c>
      <c r="D331" t="str">
        <f>IF(AND('PO-Backlog'!B12&lt;&gt;"",'PO-Backlog'!E12&lt;&gt;""),'PO-Backlog'!D12,"")</f>
        <v/>
      </c>
      <c r="E331" t="str">
        <f>IF(AND('PO-Backlog'!B12&lt;&gt;"",'PO-Backlog'!E12&lt;&gt;""),'PO-Backlog'!H12,"")</f>
        <v/>
      </c>
      <c r="F331" t="str">
        <f>IF(AND('PO-Backlog'!B12&lt;&gt;"",'PO-Backlog'!E12&lt;&gt;""),'PO-Backlog'!F12,"")</f>
        <v/>
      </c>
      <c r="G331" t="str">
        <f>IF(AND('PO-Backlog'!B12&lt;&gt;"",'PO-Backlog'!E12&lt;&gt;""),'PO-Backlog'!G12,"")</f>
        <v/>
      </c>
      <c r="H331" t="str">
        <f>IF(AND('PO-Backlog'!B12&lt;&gt;"",'PO-Backlog'!E12&lt;&gt;""),"PO-Backlog","")</f>
        <v/>
      </c>
      <c r="I331" t="str">
        <f>IF(A331="Q12026",COUNTIF($A$2:$A331,"Q12026"),"")</f>
        <v/>
      </c>
      <c r="J331" t="str">
        <f>IF(A331="Q22026",COUNTIF($A$2:$A331,"Q22026"),"")</f>
        <v/>
      </c>
      <c r="K331" t="str">
        <f>IF(A331="Q32026",COUNTIF($A$2:$A331,"Q32026"),"")</f>
        <v/>
      </c>
      <c r="L331" t="str">
        <f>IF(A331="Q42026",COUNTIF($A$2:$A331,"Q42026"),"")</f>
        <v/>
      </c>
      <c r="M331" t="str">
        <f>IF(A331="Backlog",COUNTIF($A$2:$A331,"Backlog"),"")</f>
        <v/>
      </c>
    </row>
    <row r="332" spans="1:13">
      <c r="A332" t="str">
        <f>IF(AND('PO-Backlog'!B13&lt;&gt;"",'PO-Backlog'!E13&lt;&gt;""),'PO-Backlog'!E13,"")</f>
        <v/>
      </c>
      <c r="B332" t="str">
        <f>IF(AND('PO-Backlog'!B13&lt;&gt;"",'PO-Backlog'!E13&lt;&gt;""),'PO-Backlog'!B13,"")</f>
        <v/>
      </c>
      <c r="C332" t="str">
        <f>IF(AND('PO-Backlog'!B13&lt;&gt;"",'PO-Backlog'!E13&lt;&gt;""),'PO-Backlog'!C13,"")</f>
        <v/>
      </c>
      <c r="D332" t="str">
        <f>IF(AND('PO-Backlog'!B13&lt;&gt;"",'PO-Backlog'!E13&lt;&gt;""),'PO-Backlog'!D13,"")</f>
        <v/>
      </c>
      <c r="E332" t="str">
        <f>IF(AND('PO-Backlog'!B13&lt;&gt;"",'PO-Backlog'!E13&lt;&gt;""),'PO-Backlog'!H13,"")</f>
        <v/>
      </c>
      <c r="F332" t="str">
        <f>IF(AND('PO-Backlog'!B13&lt;&gt;"",'PO-Backlog'!E13&lt;&gt;""),'PO-Backlog'!F13,"")</f>
        <v/>
      </c>
      <c r="G332" t="str">
        <f>IF(AND('PO-Backlog'!B13&lt;&gt;"",'PO-Backlog'!E13&lt;&gt;""),'PO-Backlog'!G13,"")</f>
        <v/>
      </c>
      <c r="H332" t="str">
        <f>IF(AND('PO-Backlog'!B13&lt;&gt;"",'PO-Backlog'!E13&lt;&gt;""),"PO-Backlog","")</f>
        <v/>
      </c>
      <c r="I332" t="str">
        <f>IF(A332="Q12026",COUNTIF($A$2:$A332,"Q12026"),"")</f>
        <v/>
      </c>
      <c r="J332" t="str">
        <f>IF(A332="Q22026",COUNTIF($A$2:$A332,"Q22026"),"")</f>
        <v/>
      </c>
      <c r="K332" t="str">
        <f>IF(A332="Q32026",COUNTIF($A$2:$A332,"Q32026"),"")</f>
        <v/>
      </c>
      <c r="L332" t="str">
        <f>IF(A332="Q42026",COUNTIF($A$2:$A332,"Q42026"),"")</f>
        <v/>
      </c>
      <c r="M332" t="str">
        <f>IF(A332="Backlog",COUNTIF($A$2:$A332,"Backlog"),"")</f>
        <v/>
      </c>
    </row>
    <row r="333" spans="1:13">
      <c r="A333" t="str">
        <f>IF(AND('PO-Backlog'!B14&lt;&gt;"",'PO-Backlog'!E14&lt;&gt;""),'PO-Backlog'!E14,"")</f>
        <v/>
      </c>
      <c r="B333" t="str">
        <f>IF(AND('PO-Backlog'!B14&lt;&gt;"",'PO-Backlog'!E14&lt;&gt;""),'PO-Backlog'!B14,"")</f>
        <v/>
      </c>
      <c r="C333" t="str">
        <f>IF(AND('PO-Backlog'!B14&lt;&gt;"",'PO-Backlog'!E14&lt;&gt;""),'PO-Backlog'!C14,"")</f>
        <v/>
      </c>
      <c r="D333" t="str">
        <f>IF(AND('PO-Backlog'!B14&lt;&gt;"",'PO-Backlog'!E14&lt;&gt;""),'PO-Backlog'!D14,"")</f>
        <v/>
      </c>
      <c r="E333" t="str">
        <f>IF(AND('PO-Backlog'!B14&lt;&gt;"",'PO-Backlog'!E14&lt;&gt;""),'PO-Backlog'!H14,"")</f>
        <v/>
      </c>
      <c r="F333" t="str">
        <f>IF(AND('PO-Backlog'!B14&lt;&gt;"",'PO-Backlog'!E14&lt;&gt;""),'PO-Backlog'!F14,"")</f>
        <v/>
      </c>
      <c r="G333" t="str">
        <f>IF(AND('PO-Backlog'!B14&lt;&gt;"",'PO-Backlog'!E14&lt;&gt;""),'PO-Backlog'!G14,"")</f>
        <v/>
      </c>
      <c r="H333" t="str">
        <f>IF(AND('PO-Backlog'!B14&lt;&gt;"",'PO-Backlog'!E14&lt;&gt;""),"PO-Backlog","")</f>
        <v/>
      </c>
      <c r="I333" t="str">
        <f>IF(A333="Q12026",COUNTIF($A$2:$A333,"Q12026"),"")</f>
        <v/>
      </c>
      <c r="J333" t="str">
        <f>IF(A333="Q22026",COUNTIF($A$2:$A333,"Q22026"),"")</f>
        <v/>
      </c>
      <c r="K333" t="str">
        <f>IF(A333="Q32026",COUNTIF($A$2:$A333,"Q32026"),"")</f>
        <v/>
      </c>
      <c r="L333" t="str">
        <f>IF(A333="Q42026",COUNTIF($A$2:$A333,"Q42026"),"")</f>
        <v/>
      </c>
      <c r="M333" t="str">
        <f>IF(A333="Backlog",COUNTIF($A$2:$A333,"Backlog"),"")</f>
        <v/>
      </c>
    </row>
    <row r="334" spans="1:13">
      <c r="A334" t="str">
        <f>IF(AND('PO-Backlog'!B15&lt;&gt;"",'PO-Backlog'!E15&lt;&gt;""),'PO-Backlog'!E15,"")</f>
        <v/>
      </c>
      <c r="B334" t="str">
        <f>IF(AND('PO-Backlog'!B15&lt;&gt;"",'PO-Backlog'!E15&lt;&gt;""),'PO-Backlog'!B15,"")</f>
        <v/>
      </c>
      <c r="C334" t="str">
        <f>IF(AND('PO-Backlog'!B15&lt;&gt;"",'PO-Backlog'!E15&lt;&gt;""),'PO-Backlog'!C15,"")</f>
        <v/>
      </c>
      <c r="D334" t="str">
        <f>IF(AND('PO-Backlog'!B15&lt;&gt;"",'PO-Backlog'!E15&lt;&gt;""),'PO-Backlog'!D15,"")</f>
        <v/>
      </c>
      <c r="E334" t="str">
        <f>IF(AND('PO-Backlog'!B15&lt;&gt;"",'PO-Backlog'!E15&lt;&gt;""),'PO-Backlog'!H15,"")</f>
        <v/>
      </c>
      <c r="F334" t="str">
        <f>IF(AND('PO-Backlog'!B15&lt;&gt;"",'PO-Backlog'!E15&lt;&gt;""),'PO-Backlog'!F15,"")</f>
        <v/>
      </c>
      <c r="G334" t="str">
        <f>IF(AND('PO-Backlog'!B15&lt;&gt;"",'PO-Backlog'!E15&lt;&gt;""),'PO-Backlog'!G15,"")</f>
        <v/>
      </c>
      <c r="H334" t="str">
        <f>IF(AND('PO-Backlog'!B15&lt;&gt;"",'PO-Backlog'!E15&lt;&gt;""),"PO-Backlog","")</f>
        <v/>
      </c>
      <c r="I334" t="str">
        <f>IF(A334="Q12026",COUNTIF($A$2:$A334,"Q12026"),"")</f>
        <v/>
      </c>
      <c r="J334" t="str">
        <f>IF(A334="Q22026",COUNTIF($A$2:$A334,"Q22026"),"")</f>
        <v/>
      </c>
      <c r="K334" t="str">
        <f>IF(A334="Q32026",COUNTIF($A$2:$A334,"Q32026"),"")</f>
        <v/>
      </c>
      <c r="L334" t="str">
        <f>IF(A334="Q42026",COUNTIF($A$2:$A334,"Q42026"),"")</f>
        <v/>
      </c>
      <c r="M334" t="str">
        <f>IF(A334="Backlog",COUNTIF($A$2:$A334,"Backlog"),"")</f>
        <v/>
      </c>
    </row>
    <row r="335" spans="1:13">
      <c r="A335" t="str">
        <f>IF(AND('PO-Backlog'!B16&lt;&gt;"",'PO-Backlog'!E16&lt;&gt;""),'PO-Backlog'!E16,"")</f>
        <v/>
      </c>
      <c r="B335" t="str">
        <f>IF(AND('PO-Backlog'!B16&lt;&gt;"",'PO-Backlog'!E16&lt;&gt;""),'PO-Backlog'!B16,"")</f>
        <v/>
      </c>
      <c r="C335" t="str">
        <f>IF(AND('PO-Backlog'!B16&lt;&gt;"",'PO-Backlog'!E16&lt;&gt;""),'PO-Backlog'!C16,"")</f>
        <v/>
      </c>
      <c r="D335" t="str">
        <f>IF(AND('PO-Backlog'!B16&lt;&gt;"",'PO-Backlog'!E16&lt;&gt;""),'PO-Backlog'!D16,"")</f>
        <v/>
      </c>
      <c r="E335" t="str">
        <f>IF(AND('PO-Backlog'!B16&lt;&gt;"",'PO-Backlog'!E16&lt;&gt;""),'PO-Backlog'!H16,"")</f>
        <v/>
      </c>
      <c r="F335" t="str">
        <f>IF(AND('PO-Backlog'!B16&lt;&gt;"",'PO-Backlog'!E16&lt;&gt;""),'PO-Backlog'!F16,"")</f>
        <v/>
      </c>
      <c r="G335" t="str">
        <f>IF(AND('PO-Backlog'!B16&lt;&gt;"",'PO-Backlog'!E16&lt;&gt;""),'PO-Backlog'!G16,"")</f>
        <v/>
      </c>
      <c r="H335" t="str">
        <f>IF(AND('PO-Backlog'!B16&lt;&gt;"",'PO-Backlog'!E16&lt;&gt;""),"PO-Backlog","")</f>
        <v/>
      </c>
      <c r="I335" t="str">
        <f>IF(A335="Q12026",COUNTIF($A$2:$A335,"Q12026"),"")</f>
        <v/>
      </c>
      <c r="J335" t="str">
        <f>IF(A335="Q22026",COUNTIF($A$2:$A335,"Q22026"),"")</f>
        <v/>
      </c>
      <c r="K335" t="str">
        <f>IF(A335="Q32026",COUNTIF($A$2:$A335,"Q32026"),"")</f>
        <v/>
      </c>
      <c r="L335" t="str">
        <f>IF(A335="Q42026",COUNTIF($A$2:$A335,"Q42026"),"")</f>
        <v/>
      </c>
      <c r="M335" t="str">
        <f>IF(A335="Backlog",COUNTIF($A$2:$A335,"Backlog"),"")</f>
        <v/>
      </c>
    </row>
    <row r="336" spans="1:13">
      <c r="A336" t="str">
        <f>IF(AND('PO-Backlog'!B17&lt;&gt;"",'PO-Backlog'!E17&lt;&gt;""),'PO-Backlog'!E17,"")</f>
        <v/>
      </c>
      <c r="B336" t="str">
        <f>IF(AND('PO-Backlog'!B17&lt;&gt;"",'PO-Backlog'!E17&lt;&gt;""),'PO-Backlog'!B17,"")</f>
        <v/>
      </c>
      <c r="C336" t="str">
        <f>IF(AND('PO-Backlog'!B17&lt;&gt;"",'PO-Backlog'!E17&lt;&gt;""),'PO-Backlog'!C17,"")</f>
        <v/>
      </c>
      <c r="D336" t="str">
        <f>IF(AND('PO-Backlog'!B17&lt;&gt;"",'PO-Backlog'!E17&lt;&gt;""),'PO-Backlog'!D17,"")</f>
        <v/>
      </c>
      <c r="E336" t="str">
        <f>IF(AND('PO-Backlog'!B17&lt;&gt;"",'PO-Backlog'!E17&lt;&gt;""),'PO-Backlog'!H17,"")</f>
        <v/>
      </c>
      <c r="F336" t="str">
        <f>IF(AND('PO-Backlog'!B17&lt;&gt;"",'PO-Backlog'!E17&lt;&gt;""),'PO-Backlog'!F17,"")</f>
        <v/>
      </c>
      <c r="G336" t="str">
        <f>IF(AND('PO-Backlog'!B17&lt;&gt;"",'PO-Backlog'!E17&lt;&gt;""),'PO-Backlog'!G17,"")</f>
        <v/>
      </c>
      <c r="H336" t="str">
        <f>IF(AND('PO-Backlog'!B17&lt;&gt;"",'PO-Backlog'!E17&lt;&gt;""),"PO-Backlog","")</f>
        <v/>
      </c>
      <c r="I336" t="str">
        <f>IF(A336="Q12026",COUNTIF($A$2:$A336,"Q12026"),"")</f>
        <v/>
      </c>
      <c r="J336" t="str">
        <f>IF(A336="Q22026",COUNTIF($A$2:$A336,"Q22026"),"")</f>
        <v/>
      </c>
      <c r="K336" t="str">
        <f>IF(A336="Q32026",COUNTIF($A$2:$A336,"Q32026"),"")</f>
        <v/>
      </c>
      <c r="L336" t="str">
        <f>IF(A336="Q42026",COUNTIF($A$2:$A336,"Q42026"),"")</f>
        <v/>
      </c>
      <c r="M336" t="str">
        <f>IF(A336="Backlog",COUNTIF($A$2:$A336,"Backlog"),"")</f>
        <v/>
      </c>
    </row>
    <row r="337" spans="1:13">
      <c r="A337" t="str">
        <f>IF(AND('PO-Backlog'!B18&lt;&gt;"",'PO-Backlog'!E18&lt;&gt;""),'PO-Backlog'!E18,"")</f>
        <v/>
      </c>
      <c r="B337" t="str">
        <f>IF(AND('PO-Backlog'!B18&lt;&gt;"",'PO-Backlog'!E18&lt;&gt;""),'PO-Backlog'!B18,"")</f>
        <v/>
      </c>
      <c r="C337" t="str">
        <f>IF(AND('PO-Backlog'!B18&lt;&gt;"",'PO-Backlog'!E18&lt;&gt;""),'PO-Backlog'!C18,"")</f>
        <v/>
      </c>
      <c r="D337" t="str">
        <f>IF(AND('PO-Backlog'!B18&lt;&gt;"",'PO-Backlog'!E18&lt;&gt;""),'PO-Backlog'!D18,"")</f>
        <v/>
      </c>
      <c r="E337" t="str">
        <f>IF(AND('PO-Backlog'!B18&lt;&gt;"",'PO-Backlog'!E18&lt;&gt;""),'PO-Backlog'!H18,"")</f>
        <v/>
      </c>
      <c r="F337" t="str">
        <f>IF(AND('PO-Backlog'!B18&lt;&gt;"",'PO-Backlog'!E18&lt;&gt;""),'PO-Backlog'!F18,"")</f>
        <v/>
      </c>
      <c r="G337" t="str">
        <f>IF(AND('PO-Backlog'!B18&lt;&gt;"",'PO-Backlog'!E18&lt;&gt;""),'PO-Backlog'!G18,"")</f>
        <v/>
      </c>
      <c r="H337" t="str">
        <f>IF(AND('PO-Backlog'!B18&lt;&gt;"",'PO-Backlog'!E18&lt;&gt;""),"PO-Backlog","")</f>
        <v/>
      </c>
      <c r="I337" t="str">
        <f>IF(A337="Q12026",COUNTIF($A$2:$A337,"Q12026"),"")</f>
        <v/>
      </c>
      <c r="J337" t="str">
        <f>IF(A337="Q22026",COUNTIF($A$2:$A337,"Q22026"),"")</f>
        <v/>
      </c>
      <c r="K337" t="str">
        <f>IF(A337="Q32026",COUNTIF($A$2:$A337,"Q32026"),"")</f>
        <v/>
      </c>
      <c r="L337" t="str">
        <f>IF(A337="Q42026",COUNTIF($A$2:$A337,"Q42026"),"")</f>
        <v/>
      </c>
      <c r="M337" t="str">
        <f>IF(A337="Backlog",COUNTIF($A$2:$A337,"Backlog"),"")</f>
        <v/>
      </c>
    </row>
    <row r="338" spans="1:13">
      <c r="A338" t="str">
        <f>IF(AND('PO-Backlog'!B19&lt;&gt;"",'PO-Backlog'!E19&lt;&gt;""),'PO-Backlog'!E19,"")</f>
        <v/>
      </c>
      <c r="B338" t="str">
        <f>IF(AND('PO-Backlog'!B19&lt;&gt;"",'PO-Backlog'!E19&lt;&gt;""),'PO-Backlog'!B19,"")</f>
        <v/>
      </c>
      <c r="C338" t="str">
        <f>IF(AND('PO-Backlog'!B19&lt;&gt;"",'PO-Backlog'!E19&lt;&gt;""),'PO-Backlog'!C19,"")</f>
        <v/>
      </c>
      <c r="D338" t="str">
        <f>IF(AND('PO-Backlog'!B19&lt;&gt;"",'PO-Backlog'!E19&lt;&gt;""),'PO-Backlog'!D19,"")</f>
        <v/>
      </c>
      <c r="E338" t="str">
        <f>IF(AND('PO-Backlog'!B19&lt;&gt;"",'PO-Backlog'!E19&lt;&gt;""),'PO-Backlog'!H19,"")</f>
        <v/>
      </c>
      <c r="F338" t="str">
        <f>IF(AND('PO-Backlog'!B19&lt;&gt;"",'PO-Backlog'!E19&lt;&gt;""),'PO-Backlog'!F19,"")</f>
        <v/>
      </c>
      <c r="G338" t="str">
        <f>IF(AND('PO-Backlog'!B19&lt;&gt;"",'PO-Backlog'!E19&lt;&gt;""),'PO-Backlog'!G19,"")</f>
        <v/>
      </c>
      <c r="H338" t="str">
        <f>IF(AND('PO-Backlog'!B19&lt;&gt;"",'PO-Backlog'!E19&lt;&gt;""),"PO-Backlog","")</f>
        <v/>
      </c>
      <c r="I338" t="str">
        <f>IF(A338="Q12026",COUNTIF($A$2:$A338,"Q12026"),"")</f>
        <v/>
      </c>
      <c r="J338" t="str">
        <f>IF(A338="Q22026",COUNTIF($A$2:$A338,"Q22026"),"")</f>
        <v/>
      </c>
      <c r="K338" t="str">
        <f>IF(A338="Q32026",COUNTIF($A$2:$A338,"Q32026"),"")</f>
        <v/>
      </c>
      <c r="L338" t="str">
        <f>IF(A338="Q42026",COUNTIF($A$2:$A338,"Q42026"),"")</f>
        <v/>
      </c>
      <c r="M338" t="str">
        <f>IF(A338="Backlog",COUNTIF($A$2:$A338,"Backlog"),"")</f>
        <v/>
      </c>
    </row>
    <row r="339" spans="1:13">
      <c r="A339" t="str">
        <f>IF(AND('PO-Backlog'!B20&lt;&gt;"",'PO-Backlog'!E20&lt;&gt;""),'PO-Backlog'!E20,"")</f>
        <v/>
      </c>
      <c r="B339" t="str">
        <f>IF(AND('PO-Backlog'!B20&lt;&gt;"",'PO-Backlog'!E20&lt;&gt;""),'PO-Backlog'!B20,"")</f>
        <v/>
      </c>
      <c r="C339" t="str">
        <f>IF(AND('PO-Backlog'!B20&lt;&gt;"",'PO-Backlog'!E20&lt;&gt;""),'PO-Backlog'!C20,"")</f>
        <v/>
      </c>
      <c r="D339" t="str">
        <f>IF(AND('PO-Backlog'!B20&lt;&gt;"",'PO-Backlog'!E20&lt;&gt;""),'PO-Backlog'!D20,"")</f>
        <v/>
      </c>
      <c r="E339" t="str">
        <f>IF(AND('PO-Backlog'!B20&lt;&gt;"",'PO-Backlog'!E20&lt;&gt;""),'PO-Backlog'!H20,"")</f>
        <v/>
      </c>
      <c r="F339" t="str">
        <f>IF(AND('PO-Backlog'!B20&lt;&gt;"",'PO-Backlog'!E20&lt;&gt;""),'PO-Backlog'!F20,"")</f>
        <v/>
      </c>
      <c r="G339" t="str">
        <f>IF(AND('PO-Backlog'!B20&lt;&gt;"",'PO-Backlog'!E20&lt;&gt;""),'PO-Backlog'!G20,"")</f>
        <v/>
      </c>
      <c r="H339" t="str">
        <f>IF(AND('PO-Backlog'!B20&lt;&gt;"",'PO-Backlog'!E20&lt;&gt;""),"PO-Backlog","")</f>
        <v/>
      </c>
      <c r="I339" t="str">
        <f>IF(A339="Q12026",COUNTIF($A$2:$A339,"Q12026"),"")</f>
        <v/>
      </c>
      <c r="J339" t="str">
        <f>IF(A339="Q22026",COUNTIF($A$2:$A339,"Q22026"),"")</f>
        <v/>
      </c>
      <c r="K339" t="str">
        <f>IF(A339="Q32026",COUNTIF($A$2:$A339,"Q32026"),"")</f>
        <v/>
      </c>
      <c r="L339" t="str">
        <f>IF(A339="Q42026",COUNTIF($A$2:$A339,"Q42026"),"")</f>
        <v/>
      </c>
      <c r="M339" t="str">
        <f>IF(A339="Backlog",COUNTIF($A$2:$A339,"Backlog"),"")</f>
        <v/>
      </c>
    </row>
    <row r="340" spans="1:13">
      <c r="A340" t="str">
        <f>IF(AND('PO-Backlog'!B21&lt;&gt;"",'PO-Backlog'!E21&lt;&gt;""),'PO-Backlog'!E21,"")</f>
        <v/>
      </c>
      <c r="B340" t="str">
        <f>IF(AND('PO-Backlog'!B21&lt;&gt;"",'PO-Backlog'!E21&lt;&gt;""),'PO-Backlog'!B21,"")</f>
        <v/>
      </c>
      <c r="C340" t="str">
        <f>IF(AND('PO-Backlog'!B21&lt;&gt;"",'PO-Backlog'!E21&lt;&gt;""),'PO-Backlog'!C21,"")</f>
        <v/>
      </c>
      <c r="D340" t="str">
        <f>IF(AND('PO-Backlog'!B21&lt;&gt;"",'PO-Backlog'!E21&lt;&gt;""),'PO-Backlog'!D21,"")</f>
        <v/>
      </c>
      <c r="E340" t="str">
        <f>IF(AND('PO-Backlog'!B21&lt;&gt;"",'PO-Backlog'!E21&lt;&gt;""),'PO-Backlog'!H21,"")</f>
        <v/>
      </c>
      <c r="F340" t="str">
        <f>IF(AND('PO-Backlog'!B21&lt;&gt;"",'PO-Backlog'!E21&lt;&gt;""),'PO-Backlog'!F21,"")</f>
        <v/>
      </c>
      <c r="G340" t="str">
        <f>IF(AND('PO-Backlog'!B21&lt;&gt;"",'PO-Backlog'!E21&lt;&gt;""),'PO-Backlog'!G21,"")</f>
        <v/>
      </c>
      <c r="H340" t="str">
        <f>IF(AND('PO-Backlog'!B21&lt;&gt;"",'PO-Backlog'!E21&lt;&gt;""),"PO-Backlog","")</f>
        <v/>
      </c>
      <c r="I340" t="str">
        <f>IF(A340="Q12026",COUNTIF($A$2:$A340,"Q12026"),"")</f>
        <v/>
      </c>
      <c r="J340" t="str">
        <f>IF(A340="Q22026",COUNTIF($A$2:$A340,"Q22026"),"")</f>
        <v/>
      </c>
      <c r="K340" t="str">
        <f>IF(A340="Q32026",COUNTIF($A$2:$A340,"Q32026"),"")</f>
        <v/>
      </c>
      <c r="L340" t="str">
        <f>IF(A340="Q42026",COUNTIF($A$2:$A340,"Q42026"),"")</f>
        <v/>
      </c>
      <c r="M340" t="str">
        <f>IF(A340="Backlog",COUNTIF($A$2:$A340,"Backlog"),"")</f>
        <v/>
      </c>
    </row>
    <row r="341" spans="1:13">
      <c r="A341" t="str">
        <f>IF(AND('PO-Backlog'!B22&lt;&gt;"",'PO-Backlog'!E22&lt;&gt;""),'PO-Backlog'!E22,"")</f>
        <v/>
      </c>
      <c r="B341" t="str">
        <f>IF(AND('PO-Backlog'!B22&lt;&gt;"",'PO-Backlog'!E22&lt;&gt;""),'PO-Backlog'!B22,"")</f>
        <v/>
      </c>
      <c r="C341" t="str">
        <f>IF(AND('PO-Backlog'!B22&lt;&gt;"",'PO-Backlog'!E22&lt;&gt;""),'PO-Backlog'!C22,"")</f>
        <v/>
      </c>
      <c r="D341" t="str">
        <f>IF(AND('PO-Backlog'!B22&lt;&gt;"",'PO-Backlog'!E22&lt;&gt;""),'PO-Backlog'!D22,"")</f>
        <v/>
      </c>
      <c r="E341" t="str">
        <f>IF(AND('PO-Backlog'!B22&lt;&gt;"",'PO-Backlog'!E22&lt;&gt;""),'PO-Backlog'!H22,"")</f>
        <v/>
      </c>
      <c r="F341" t="str">
        <f>IF(AND('PO-Backlog'!B22&lt;&gt;"",'PO-Backlog'!E22&lt;&gt;""),'PO-Backlog'!F22,"")</f>
        <v/>
      </c>
      <c r="G341" t="str">
        <f>IF(AND('PO-Backlog'!B22&lt;&gt;"",'PO-Backlog'!E22&lt;&gt;""),'PO-Backlog'!G22,"")</f>
        <v/>
      </c>
      <c r="H341" t="str">
        <f>IF(AND('PO-Backlog'!B22&lt;&gt;"",'PO-Backlog'!E22&lt;&gt;""),"PO-Backlog","")</f>
        <v/>
      </c>
      <c r="I341" t="str">
        <f>IF(A341="Q12026",COUNTIF($A$2:$A341,"Q12026"),"")</f>
        <v/>
      </c>
      <c r="J341" t="str">
        <f>IF(A341="Q22026",COUNTIF($A$2:$A341,"Q22026"),"")</f>
        <v/>
      </c>
      <c r="K341" t="str">
        <f>IF(A341="Q32026",COUNTIF($A$2:$A341,"Q32026"),"")</f>
        <v/>
      </c>
      <c r="L341" t="str">
        <f>IF(A341="Q42026",COUNTIF($A$2:$A341,"Q42026"),"")</f>
        <v/>
      </c>
      <c r="M341" t="str">
        <f>IF(A341="Backlog",COUNTIF($A$2:$A341,"Backlog"),"")</f>
        <v/>
      </c>
    </row>
    <row r="342" spans="1:13">
      <c r="A342" t="str">
        <f>IF(AND('PO-Backlog'!B23&lt;&gt;"",'PO-Backlog'!E23&lt;&gt;""),'PO-Backlog'!E23,"")</f>
        <v/>
      </c>
      <c r="B342" t="str">
        <f>IF(AND('PO-Backlog'!B23&lt;&gt;"",'PO-Backlog'!E23&lt;&gt;""),'PO-Backlog'!B23,"")</f>
        <v/>
      </c>
      <c r="C342" t="str">
        <f>IF(AND('PO-Backlog'!B23&lt;&gt;"",'PO-Backlog'!E23&lt;&gt;""),'PO-Backlog'!C23,"")</f>
        <v/>
      </c>
      <c r="D342" t="str">
        <f>IF(AND('PO-Backlog'!B23&lt;&gt;"",'PO-Backlog'!E23&lt;&gt;""),'PO-Backlog'!D23,"")</f>
        <v/>
      </c>
      <c r="E342" t="str">
        <f>IF(AND('PO-Backlog'!B23&lt;&gt;"",'PO-Backlog'!E23&lt;&gt;""),'PO-Backlog'!H23,"")</f>
        <v/>
      </c>
      <c r="F342" t="str">
        <f>IF(AND('PO-Backlog'!B23&lt;&gt;"",'PO-Backlog'!E23&lt;&gt;""),'PO-Backlog'!F23,"")</f>
        <v/>
      </c>
      <c r="G342" t="str">
        <f>IF(AND('PO-Backlog'!B23&lt;&gt;"",'PO-Backlog'!E23&lt;&gt;""),'PO-Backlog'!G23,"")</f>
        <v/>
      </c>
      <c r="H342" t="str">
        <f>IF(AND('PO-Backlog'!B23&lt;&gt;"",'PO-Backlog'!E23&lt;&gt;""),"PO-Backlog","")</f>
        <v/>
      </c>
      <c r="I342" t="str">
        <f>IF(A342="Q12026",COUNTIF($A$2:$A342,"Q12026"),"")</f>
        <v/>
      </c>
      <c r="J342" t="str">
        <f>IF(A342="Q22026",COUNTIF($A$2:$A342,"Q22026"),"")</f>
        <v/>
      </c>
      <c r="K342" t="str">
        <f>IF(A342="Q32026",COUNTIF($A$2:$A342,"Q32026"),"")</f>
        <v/>
      </c>
      <c r="L342" t="str">
        <f>IF(A342="Q42026",COUNTIF($A$2:$A342,"Q42026"),"")</f>
        <v/>
      </c>
      <c r="M342" t="str">
        <f>IF(A342="Backlog",COUNTIF($A$2:$A342,"Backlog"),"")</f>
        <v/>
      </c>
    </row>
    <row r="343" spans="1:13">
      <c r="A343" t="str">
        <f>IF(AND('PO-Backlog'!B24&lt;&gt;"",'PO-Backlog'!E24&lt;&gt;""),'PO-Backlog'!E24,"")</f>
        <v/>
      </c>
      <c r="B343" t="str">
        <f>IF(AND('PO-Backlog'!B24&lt;&gt;"",'PO-Backlog'!E24&lt;&gt;""),'PO-Backlog'!B24,"")</f>
        <v/>
      </c>
      <c r="C343" t="str">
        <f>IF(AND('PO-Backlog'!B24&lt;&gt;"",'PO-Backlog'!E24&lt;&gt;""),'PO-Backlog'!C24,"")</f>
        <v/>
      </c>
      <c r="D343" t="str">
        <f>IF(AND('PO-Backlog'!B24&lt;&gt;"",'PO-Backlog'!E24&lt;&gt;""),'PO-Backlog'!D24,"")</f>
        <v/>
      </c>
      <c r="E343" t="str">
        <f>IF(AND('PO-Backlog'!B24&lt;&gt;"",'PO-Backlog'!E24&lt;&gt;""),'PO-Backlog'!H24,"")</f>
        <v/>
      </c>
      <c r="F343" t="str">
        <f>IF(AND('PO-Backlog'!B24&lt;&gt;"",'PO-Backlog'!E24&lt;&gt;""),'PO-Backlog'!F24,"")</f>
        <v/>
      </c>
      <c r="G343" t="str">
        <f>IF(AND('PO-Backlog'!B24&lt;&gt;"",'PO-Backlog'!E24&lt;&gt;""),'PO-Backlog'!G24,"")</f>
        <v/>
      </c>
      <c r="H343" t="str">
        <f>IF(AND('PO-Backlog'!B24&lt;&gt;"",'PO-Backlog'!E24&lt;&gt;""),"PO-Backlog","")</f>
        <v/>
      </c>
      <c r="I343" t="str">
        <f>IF(A343="Q12026",COUNTIF($A$2:$A343,"Q12026"),"")</f>
        <v/>
      </c>
      <c r="J343" t="str">
        <f>IF(A343="Q22026",COUNTIF($A$2:$A343,"Q22026"),"")</f>
        <v/>
      </c>
      <c r="K343" t="str">
        <f>IF(A343="Q32026",COUNTIF($A$2:$A343,"Q32026"),"")</f>
        <v/>
      </c>
      <c r="L343" t="str">
        <f>IF(A343="Q42026",COUNTIF($A$2:$A343,"Q42026"),"")</f>
        <v/>
      </c>
      <c r="M343" t="str">
        <f>IF(A343="Backlog",COUNTIF($A$2:$A343,"Backlog"),"")</f>
        <v/>
      </c>
    </row>
    <row r="344" spans="1:13">
      <c r="A344" t="str">
        <f>IF(AND('PO-Backlog'!B25&lt;&gt;"",'PO-Backlog'!E25&lt;&gt;""),'PO-Backlog'!E25,"")</f>
        <v/>
      </c>
      <c r="B344" t="str">
        <f>IF(AND('PO-Backlog'!B25&lt;&gt;"",'PO-Backlog'!E25&lt;&gt;""),'PO-Backlog'!B25,"")</f>
        <v/>
      </c>
      <c r="C344" t="str">
        <f>IF(AND('PO-Backlog'!B25&lt;&gt;"",'PO-Backlog'!E25&lt;&gt;""),'PO-Backlog'!C25,"")</f>
        <v/>
      </c>
      <c r="D344" t="str">
        <f>IF(AND('PO-Backlog'!B25&lt;&gt;"",'PO-Backlog'!E25&lt;&gt;""),'PO-Backlog'!D25,"")</f>
        <v/>
      </c>
      <c r="E344" t="str">
        <f>IF(AND('PO-Backlog'!B25&lt;&gt;"",'PO-Backlog'!E25&lt;&gt;""),'PO-Backlog'!H25,"")</f>
        <v/>
      </c>
      <c r="F344" t="str">
        <f>IF(AND('PO-Backlog'!B25&lt;&gt;"",'PO-Backlog'!E25&lt;&gt;""),'PO-Backlog'!F25,"")</f>
        <v/>
      </c>
      <c r="G344" t="str">
        <f>IF(AND('PO-Backlog'!B25&lt;&gt;"",'PO-Backlog'!E25&lt;&gt;""),'PO-Backlog'!G25,"")</f>
        <v/>
      </c>
      <c r="H344" t="str">
        <f>IF(AND('PO-Backlog'!B25&lt;&gt;"",'PO-Backlog'!E25&lt;&gt;""),"PO-Backlog","")</f>
        <v/>
      </c>
      <c r="I344" t="str">
        <f>IF(A344="Q12026",COUNTIF($A$2:$A344,"Q12026"),"")</f>
        <v/>
      </c>
      <c r="J344" t="str">
        <f>IF(A344="Q22026",COUNTIF($A$2:$A344,"Q22026"),"")</f>
        <v/>
      </c>
      <c r="K344" t="str">
        <f>IF(A344="Q32026",COUNTIF($A$2:$A344,"Q32026"),"")</f>
        <v/>
      </c>
      <c r="L344" t="str">
        <f>IF(A344="Q42026",COUNTIF($A$2:$A344,"Q42026"),"")</f>
        <v/>
      </c>
      <c r="M344" t="str">
        <f>IF(A344="Backlog",COUNTIF($A$2:$A344,"Backlog"),"")</f>
        <v/>
      </c>
    </row>
    <row r="345" spans="1:13">
      <c r="A345" t="str">
        <f>IF(AND('PO-Backlog'!B26&lt;&gt;"",'PO-Backlog'!E26&lt;&gt;""),'PO-Backlog'!E26,"")</f>
        <v/>
      </c>
      <c r="B345" t="str">
        <f>IF(AND('PO-Backlog'!B26&lt;&gt;"",'PO-Backlog'!E26&lt;&gt;""),'PO-Backlog'!B26,"")</f>
        <v/>
      </c>
      <c r="C345" t="str">
        <f>IF(AND('PO-Backlog'!B26&lt;&gt;"",'PO-Backlog'!E26&lt;&gt;""),'PO-Backlog'!C26,"")</f>
        <v/>
      </c>
      <c r="D345" t="str">
        <f>IF(AND('PO-Backlog'!B26&lt;&gt;"",'PO-Backlog'!E26&lt;&gt;""),'PO-Backlog'!D26,"")</f>
        <v/>
      </c>
      <c r="E345" t="str">
        <f>IF(AND('PO-Backlog'!B26&lt;&gt;"",'PO-Backlog'!E26&lt;&gt;""),'PO-Backlog'!H26,"")</f>
        <v/>
      </c>
      <c r="F345" t="str">
        <f>IF(AND('PO-Backlog'!B26&lt;&gt;"",'PO-Backlog'!E26&lt;&gt;""),'PO-Backlog'!F26,"")</f>
        <v/>
      </c>
      <c r="G345" t="str">
        <f>IF(AND('PO-Backlog'!B26&lt;&gt;"",'PO-Backlog'!E26&lt;&gt;""),'PO-Backlog'!G26,"")</f>
        <v/>
      </c>
      <c r="H345" t="str">
        <f>IF(AND('PO-Backlog'!B26&lt;&gt;"",'PO-Backlog'!E26&lt;&gt;""),"PO-Backlog","")</f>
        <v/>
      </c>
      <c r="I345" t="str">
        <f>IF(A345="Q12026",COUNTIF($A$2:$A345,"Q12026"),"")</f>
        <v/>
      </c>
      <c r="J345" t="str">
        <f>IF(A345="Q22026",COUNTIF($A$2:$A345,"Q22026"),"")</f>
        <v/>
      </c>
      <c r="K345" t="str">
        <f>IF(A345="Q32026",COUNTIF($A$2:$A345,"Q32026"),"")</f>
        <v/>
      </c>
      <c r="L345" t="str">
        <f>IF(A345="Q42026",COUNTIF($A$2:$A345,"Q42026"),"")</f>
        <v/>
      </c>
      <c r="M345" t="str">
        <f>IF(A345="Backlog",COUNTIF($A$2:$A345,"Backlog"),"")</f>
        <v/>
      </c>
    </row>
    <row r="346" spans="1:13">
      <c r="A346" t="str">
        <f>IF(AND('PO-Backlog'!B27&lt;&gt;"",'PO-Backlog'!E27&lt;&gt;""),'PO-Backlog'!E27,"")</f>
        <v/>
      </c>
      <c r="B346" t="str">
        <f>IF(AND('PO-Backlog'!B27&lt;&gt;"",'PO-Backlog'!E27&lt;&gt;""),'PO-Backlog'!B27,"")</f>
        <v/>
      </c>
      <c r="C346" t="str">
        <f>IF(AND('PO-Backlog'!B27&lt;&gt;"",'PO-Backlog'!E27&lt;&gt;""),'PO-Backlog'!C27,"")</f>
        <v/>
      </c>
      <c r="D346" t="str">
        <f>IF(AND('PO-Backlog'!B27&lt;&gt;"",'PO-Backlog'!E27&lt;&gt;""),'PO-Backlog'!D27,"")</f>
        <v/>
      </c>
      <c r="E346" t="str">
        <f>IF(AND('PO-Backlog'!B27&lt;&gt;"",'PO-Backlog'!E27&lt;&gt;""),'PO-Backlog'!H27,"")</f>
        <v/>
      </c>
      <c r="F346" t="str">
        <f>IF(AND('PO-Backlog'!B27&lt;&gt;"",'PO-Backlog'!E27&lt;&gt;""),'PO-Backlog'!F27,"")</f>
        <v/>
      </c>
      <c r="G346" t="str">
        <f>IF(AND('PO-Backlog'!B27&lt;&gt;"",'PO-Backlog'!E27&lt;&gt;""),'PO-Backlog'!G27,"")</f>
        <v/>
      </c>
      <c r="H346" t="str">
        <f>IF(AND('PO-Backlog'!B27&lt;&gt;"",'PO-Backlog'!E27&lt;&gt;""),"PO-Backlog","")</f>
        <v/>
      </c>
      <c r="I346" t="str">
        <f>IF(A346="Q12026",COUNTIF($A$2:$A346,"Q12026"),"")</f>
        <v/>
      </c>
      <c r="J346" t="str">
        <f>IF(A346="Q22026",COUNTIF($A$2:$A346,"Q22026"),"")</f>
        <v/>
      </c>
      <c r="K346" t="str">
        <f>IF(A346="Q32026",COUNTIF($A$2:$A346,"Q32026"),"")</f>
        <v/>
      </c>
      <c r="L346" t="str">
        <f>IF(A346="Q42026",COUNTIF($A$2:$A346,"Q42026"),"")</f>
        <v/>
      </c>
      <c r="M346" t="str">
        <f>IF(A346="Backlog",COUNTIF($A$2:$A346,"Backlog"),"")</f>
        <v/>
      </c>
    </row>
    <row r="347" spans="1:13">
      <c r="A347" t="str">
        <f>IF(AND('PO-Backlog'!B28&lt;&gt;"",'PO-Backlog'!E28&lt;&gt;""),'PO-Backlog'!E28,"")</f>
        <v/>
      </c>
      <c r="B347" t="str">
        <f>IF(AND('PO-Backlog'!B28&lt;&gt;"",'PO-Backlog'!E28&lt;&gt;""),'PO-Backlog'!B28,"")</f>
        <v/>
      </c>
      <c r="C347" t="str">
        <f>IF(AND('PO-Backlog'!B28&lt;&gt;"",'PO-Backlog'!E28&lt;&gt;""),'PO-Backlog'!C28,"")</f>
        <v/>
      </c>
      <c r="D347" t="str">
        <f>IF(AND('PO-Backlog'!B28&lt;&gt;"",'PO-Backlog'!E28&lt;&gt;""),'PO-Backlog'!D28,"")</f>
        <v/>
      </c>
      <c r="E347" t="str">
        <f>IF(AND('PO-Backlog'!B28&lt;&gt;"",'PO-Backlog'!E28&lt;&gt;""),'PO-Backlog'!H28,"")</f>
        <v/>
      </c>
      <c r="F347" t="str">
        <f>IF(AND('PO-Backlog'!B28&lt;&gt;"",'PO-Backlog'!E28&lt;&gt;""),'PO-Backlog'!F28,"")</f>
        <v/>
      </c>
      <c r="G347" t="str">
        <f>IF(AND('PO-Backlog'!B28&lt;&gt;"",'PO-Backlog'!E28&lt;&gt;""),'PO-Backlog'!G28,"")</f>
        <v/>
      </c>
      <c r="H347" t="str">
        <f>IF(AND('PO-Backlog'!B28&lt;&gt;"",'PO-Backlog'!E28&lt;&gt;""),"PO-Backlog","")</f>
        <v/>
      </c>
      <c r="I347" t="str">
        <f>IF(A347="Q12026",COUNTIF($A$2:$A347,"Q12026"),"")</f>
        <v/>
      </c>
      <c r="J347" t="str">
        <f>IF(A347="Q22026",COUNTIF($A$2:$A347,"Q22026"),"")</f>
        <v/>
      </c>
      <c r="K347" t="str">
        <f>IF(A347="Q32026",COUNTIF($A$2:$A347,"Q32026"),"")</f>
        <v/>
      </c>
      <c r="L347" t="str">
        <f>IF(A347="Q42026",COUNTIF($A$2:$A347,"Q42026"),"")</f>
        <v/>
      </c>
      <c r="M347" t="str">
        <f>IF(A347="Backlog",COUNTIF($A$2:$A347,"Backlog"),"")</f>
        <v/>
      </c>
    </row>
    <row r="348" spans="1:13">
      <c r="A348" t="str">
        <f>IF(AND('PO-Backlog'!B29&lt;&gt;"",'PO-Backlog'!E29&lt;&gt;""),'PO-Backlog'!E29,"")</f>
        <v/>
      </c>
      <c r="B348" t="str">
        <f>IF(AND('PO-Backlog'!B29&lt;&gt;"",'PO-Backlog'!E29&lt;&gt;""),'PO-Backlog'!B29,"")</f>
        <v/>
      </c>
      <c r="C348" t="str">
        <f>IF(AND('PO-Backlog'!B29&lt;&gt;"",'PO-Backlog'!E29&lt;&gt;""),'PO-Backlog'!C29,"")</f>
        <v/>
      </c>
      <c r="D348" t="str">
        <f>IF(AND('PO-Backlog'!B29&lt;&gt;"",'PO-Backlog'!E29&lt;&gt;""),'PO-Backlog'!D29,"")</f>
        <v/>
      </c>
      <c r="E348" t="str">
        <f>IF(AND('PO-Backlog'!B29&lt;&gt;"",'PO-Backlog'!E29&lt;&gt;""),'PO-Backlog'!H29,"")</f>
        <v/>
      </c>
      <c r="F348" t="str">
        <f>IF(AND('PO-Backlog'!B29&lt;&gt;"",'PO-Backlog'!E29&lt;&gt;""),'PO-Backlog'!F29,"")</f>
        <v/>
      </c>
      <c r="G348" t="str">
        <f>IF(AND('PO-Backlog'!B29&lt;&gt;"",'PO-Backlog'!E29&lt;&gt;""),'PO-Backlog'!G29,"")</f>
        <v/>
      </c>
      <c r="H348" t="str">
        <f>IF(AND('PO-Backlog'!B29&lt;&gt;"",'PO-Backlog'!E29&lt;&gt;""),"PO-Backlog","")</f>
        <v/>
      </c>
      <c r="I348" t="str">
        <f>IF(A348="Q12026",COUNTIF($A$2:$A348,"Q12026"),"")</f>
        <v/>
      </c>
      <c r="J348" t="str">
        <f>IF(A348="Q22026",COUNTIF($A$2:$A348,"Q22026"),"")</f>
        <v/>
      </c>
      <c r="K348" t="str">
        <f>IF(A348="Q32026",COUNTIF($A$2:$A348,"Q32026"),"")</f>
        <v/>
      </c>
      <c r="L348" t="str">
        <f>IF(A348="Q42026",COUNTIF($A$2:$A348,"Q42026"),"")</f>
        <v/>
      </c>
      <c r="M348" t="str">
        <f>IF(A348="Backlog",COUNTIF($A$2:$A348,"Backlog"),"")</f>
        <v/>
      </c>
    </row>
    <row r="349" spans="1:13">
      <c r="A349" t="str">
        <f>IF(AND('PO-Backlog'!B30&lt;&gt;"",'PO-Backlog'!E30&lt;&gt;""),'PO-Backlog'!E30,"")</f>
        <v/>
      </c>
      <c r="B349" t="str">
        <f>IF(AND('PO-Backlog'!B30&lt;&gt;"",'PO-Backlog'!E30&lt;&gt;""),'PO-Backlog'!B30,"")</f>
        <v/>
      </c>
      <c r="C349" t="str">
        <f>IF(AND('PO-Backlog'!B30&lt;&gt;"",'PO-Backlog'!E30&lt;&gt;""),'PO-Backlog'!C30,"")</f>
        <v/>
      </c>
      <c r="D349" t="str">
        <f>IF(AND('PO-Backlog'!B30&lt;&gt;"",'PO-Backlog'!E30&lt;&gt;""),'PO-Backlog'!D30,"")</f>
        <v/>
      </c>
      <c r="E349" t="str">
        <f>IF(AND('PO-Backlog'!B30&lt;&gt;"",'PO-Backlog'!E30&lt;&gt;""),'PO-Backlog'!H30,"")</f>
        <v/>
      </c>
      <c r="F349" t="str">
        <f>IF(AND('PO-Backlog'!B30&lt;&gt;"",'PO-Backlog'!E30&lt;&gt;""),'PO-Backlog'!F30,"")</f>
        <v/>
      </c>
      <c r="G349" t="str">
        <f>IF(AND('PO-Backlog'!B30&lt;&gt;"",'PO-Backlog'!E30&lt;&gt;""),'PO-Backlog'!G30,"")</f>
        <v/>
      </c>
      <c r="H349" t="str">
        <f>IF(AND('PO-Backlog'!B30&lt;&gt;"",'PO-Backlog'!E30&lt;&gt;""),"PO-Backlog","")</f>
        <v/>
      </c>
      <c r="I349" t="str">
        <f>IF(A349="Q12026",COUNTIF($A$2:$A349,"Q12026"),"")</f>
        <v/>
      </c>
      <c r="J349" t="str">
        <f>IF(A349="Q22026",COUNTIF($A$2:$A349,"Q22026"),"")</f>
        <v/>
      </c>
      <c r="K349" t="str">
        <f>IF(A349="Q32026",COUNTIF($A$2:$A349,"Q32026"),"")</f>
        <v/>
      </c>
      <c r="L349" t="str">
        <f>IF(A349="Q42026",COUNTIF($A$2:$A349,"Q42026"),"")</f>
        <v/>
      </c>
      <c r="M349" t="str">
        <f>IF(A349="Backlog",COUNTIF($A$2:$A349,"Backlog"),"")</f>
        <v/>
      </c>
    </row>
    <row r="350" spans="1:13">
      <c r="A350" t="str">
        <f>IF(AND('PO-Backlog'!B31&lt;&gt;"",'PO-Backlog'!E31&lt;&gt;""),'PO-Backlog'!E31,"")</f>
        <v/>
      </c>
      <c r="B350" t="str">
        <f>IF(AND('PO-Backlog'!B31&lt;&gt;"",'PO-Backlog'!E31&lt;&gt;""),'PO-Backlog'!B31,"")</f>
        <v/>
      </c>
      <c r="C350" t="str">
        <f>IF(AND('PO-Backlog'!B31&lt;&gt;"",'PO-Backlog'!E31&lt;&gt;""),'PO-Backlog'!C31,"")</f>
        <v/>
      </c>
      <c r="D350" t="str">
        <f>IF(AND('PO-Backlog'!B31&lt;&gt;"",'PO-Backlog'!E31&lt;&gt;""),'PO-Backlog'!D31,"")</f>
        <v/>
      </c>
      <c r="E350" t="str">
        <f>IF(AND('PO-Backlog'!B31&lt;&gt;"",'PO-Backlog'!E31&lt;&gt;""),'PO-Backlog'!H31,"")</f>
        <v/>
      </c>
      <c r="F350" t="str">
        <f>IF(AND('PO-Backlog'!B31&lt;&gt;"",'PO-Backlog'!E31&lt;&gt;""),'PO-Backlog'!F31,"")</f>
        <v/>
      </c>
      <c r="G350" t="str">
        <f>IF(AND('PO-Backlog'!B31&lt;&gt;"",'PO-Backlog'!E31&lt;&gt;""),'PO-Backlog'!G31,"")</f>
        <v/>
      </c>
      <c r="H350" t="str">
        <f>IF(AND('PO-Backlog'!B31&lt;&gt;"",'PO-Backlog'!E31&lt;&gt;""),"PO-Backlog","")</f>
        <v/>
      </c>
      <c r="I350" t="str">
        <f>IF(A350="Q12026",COUNTIF($A$2:$A350,"Q12026"),"")</f>
        <v/>
      </c>
      <c r="J350" t="str">
        <f>IF(A350="Q22026",COUNTIF($A$2:$A350,"Q22026"),"")</f>
        <v/>
      </c>
      <c r="K350" t="str">
        <f>IF(A350="Q32026",COUNTIF($A$2:$A350,"Q32026"),"")</f>
        <v/>
      </c>
      <c r="L350" t="str">
        <f>IF(A350="Q42026",COUNTIF($A$2:$A350,"Q42026"),"")</f>
        <v/>
      </c>
      <c r="M350" t="str">
        <f>IF(A350="Backlog",COUNTIF($A$2:$A350,"Backlog"),"")</f>
        <v/>
      </c>
    </row>
    <row r="351" spans="1:13">
      <c r="A351" t="str">
        <f>IF(AND('PO-Backlog'!B32&lt;&gt;"",'PO-Backlog'!E32&lt;&gt;""),'PO-Backlog'!E32,"")</f>
        <v/>
      </c>
      <c r="B351" t="str">
        <f>IF(AND('PO-Backlog'!B32&lt;&gt;"",'PO-Backlog'!E32&lt;&gt;""),'PO-Backlog'!B32,"")</f>
        <v/>
      </c>
      <c r="C351" t="str">
        <f>IF(AND('PO-Backlog'!B32&lt;&gt;"",'PO-Backlog'!E32&lt;&gt;""),'PO-Backlog'!C32,"")</f>
        <v/>
      </c>
      <c r="D351" t="str">
        <f>IF(AND('PO-Backlog'!B32&lt;&gt;"",'PO-Backlog'!E32&lt;&gt;""),'PO-Backlog'!D32,"")</f>
        <v/>
      </c>
      <c r="E351" t="str">
        <f>IF(AND('PO-Backlog'!B32&lt;&gt;"",'PO-Backlog'!E32&lt;&gt;""),'PO-Backlog'!H32,"")</f>
        <v/>
      </c>
      <c r="F351" t="str">
        <f>IF(AND('PO-Backlog'!B32&lt;&gt;"",'PO-Backlog'!E32&lt;&gt;""),'PO-Backlog'!F32,"")</f>
        <v/>
      </c>
      <c r="G351" t="str">
        <f>IF(AND('PO-Backlog'!B32&lt;&gt;"",'PO-Backlog'!E32&lt;&gt;""),'PO-Backlog'!G32,"")</f>
        <v/>
      </c>
      <c r="H351" t="str">
        <f>IF(AND('PO-Backlog'!B32&lt;&gt;"",'PO-Backlog'!E32&lt;&gt;""),"PO-Backlog","")</f>
        <v/>
      </c>
      <c r="I351" t="str">
        <f>IF(A351="Q12026",COUNTIF($A$2:$A351,"Q12026"),"")</f>
        <v/>
      </c>
      <c r="J351" t="str">
        <f>IF(A351="Q22026",COUNTIF($A$2:$A351,"Q22026"),"")</f>
        <v/>
      </c>
      <c r="K351" t="str">
        <f>IF(A351="Q32026",COUNTIF($A$2:$A351,"Q32026"),"")</f>
        <v/>
      </c>
      <c r="L351" t="str">
        <f>IF(A351="Q42026",COUNTIF($A$2:$A351,"Q42026"),"")</f>
        <v/>
      </c>
      <c r="M351" t="str">
        <f>IF(A351="Backlog",COUNTIF($A$2:$A351,"Backlog"),"")</f>
        <v/>
      </c>
    </row>
    <row r="352" spans="1:13">
      <c r="A352" t="str">
        <f>IF(AND('PO-Backlog'!B33&lt;&gt;"",'PO-Backlog'!E33&lt;&gt;""),'PO-Backlog'!E33,"")</f>
        <v/>
      </c>
      <c r="B352" t="str">
        <f>IF(AND('PO-Backlog'!B33&lt;&gt;"",'PO-Backlog'!E33&lt;&gt;""),'PO-Backlog'!B33,"")</f>
        <v/>
      </c>
      <c r="C352" t="str">
        <f>IF(AND('PO-Backlog'!B33&lt;&gt;"",'PO-Backlog'!E33&lt;&gt;""),'PO-Backlog'!C33,"")</f>
        <v/>
      </c>
      <c r="D352" t="str">
        <f>IF(AND('PO-Backlog'!B33&lt;&gt;"",'PO-Backlog'!E33&lt;&gt;""),'PO-Backlog'!D33,"")</f>
        <v/>
      </c>
      <c r="E352" t="str">
        <f>IF(AND('PO-Backlog'!B33&lt;&gt;"",'PO-Backlog'!E33&lt;&gt;""),'PO-Backlog'!H33,"")</f>
        <v/>
      </c>
      <c r="F352" t="str">
        <f>IF(AND('PO-Backlog'!B33&lt;&gt;"",'PO-Backlog'!E33&lt;&gt;""),'PO-Backlog'!F33,"")</f>
        <v/>
      </c>
      <c r="G352" t="str">
        <f>IF(AND('PO-Backlog'!B33&lt;&gt;"",'PO-Backlog'!E33&lt;&gt;""),'PO-Backlog'!G33,"")</f>
        <v/>
      </c>
      <c r="H352" t="str">
        <f>IF(AND('PO-Backlog'!B33&lt;&gt;"",'PO-Backlog'!E33&lt;&gt;""),"PO-Backlog","")</f>
        <v/>
      </c>
      <c r="I352" t="str">
        <f>IF(A352="Q12026",COUNTIF($A$2:$A352,"Q12026"),"")</f>
        <v/>
      </c>
      <c r="J352" t="str">
        <f>IF(A352="Q22026",COUNTIF($A$2:$A352,"Q22026"),"")</f>
        <v/>
      </c>
      <c r="K352" t="str">
        <f>IF(A352="Q32026",COUNTIF($A$2:$A352,"Q32026"),"")</f>
        <v/>
      </c>
      <c r="L352" t="str">
        <f>IF(A352="Q42026",COUNTIF($A$2:$A352,"Q42026"),"")</f>
        <v/>
      </c>
      <c r="M352" t="str">
        <f>IF(A352="Backlog",COUNTIF($A$2:$A352,"Backlog"),"")</f>
        <v/>
      </c>
    </row>
    <row r="353" spans="1:13">
      <c r="A353" t="str">
        <f>IF(AND('PO-Backlog'!B34&lt;&gt;"",'PO-Backlog'!E34&lt;&gt;""),'PO-Backlog'!E34,"")</f>
        <v>Q42026</v>
      </c>
      <c r="B353" t="str">
        <f>IF(AND('PO-Backlog'!B34&lt;&gt;"",'PO-Backlog'!E34&lt;&gt;""),'PO-Backlog'!B34,"")</f>
        <v>Widerruf im Onlineshop (Pflicht ab 19.06.2026)</v>
      </c>
      <c r="C353">
        <f>IF(AND('PO-Backlog'!B34&lt;&gt;"",'PO-Backlog'!E34&lt;&gt;""),'PO-Backlog'!C34,"")</f>
        <v>0</v>
      </c>
      <c r="D353">
        <f>IF(AND('PO-Backlog'!B34&lt;&gt;"",'PO-Backlog'!E34&lt;&gt;""),'PO-Backlog'!D34,"")</f>
        <v>0</v>
      </c>
      <c r="E353" t="str">
        <f>IF(AND('PO-Backlog'!B34&lt;&gt;"",'PO-Backlog'!E34&lt;&gt;""),'PO-Backlog'!H34,"")</f>
        <v/>
      </c>
      <c r="F353">
        <f>IF(AND('PO-Backlog'!B34&lt;&gt;"",'PO-Backlog'!E34&lt;&gt;""),'PO-Backlog'!F34,"")</f>
        <v>0</v>
      </c>
      <c r="G353">
        <f>IF(AND('PO-Backlog'!B34&lt;&gt;"",'PO-Backlog'!E34&lt;&gt;""),'PO-Backlog'!G34,"")</f>
        <v>0</v>
      </c>
      <c r="H353" t="str">
        <f>IF(AND('PO-Backlog'!B34&lt;&gt;"",'PO-Backlog'!E34&lt;&gt;""),"PO-Backlog","")</f>
        <v>PO-Backlog</v>
      </c>
      <c r="I353" t="str">
        <f>IF(A353="Q12026",COUNTIF($A$2:$A353,"Q12026"),"")</f>
        <v/>
      </c>
      <c r="J353" t="str">
        <f>IF(A353="Q22026",COUNTIF($A$2:$A353,"Q22026"),"")</f>
        <v/>
      </c>
      <c r="K353" t="str">
        <f>IF(A353="Q32026",COUNTIF($A$2:$A353,"Q32026"),"")</f>
        <v/>
      </c>
      <c r="L353">
        <f>IF(A353="Q42026",COUNTIF($A$2:$A353,"Q42026"),"")</f>
        <v>27</v>
      </c>
      <c r="M353" t="str">
        <f>IF(A353="Backlog",COUNTIF($A$2:$A353,"Backlog"),"")</f>
        <v/>
      </c>
    </row>
    <row r="354" spans="1:13">
      <c r="A354" t="str">
        <f>IF(AND('PO-Backlog'!B35&lt;&gt;"",'PO-Backlog'!E35&lt;&gt;""),'PO-Backlog'!E35,"")</f>
        <v>Q32026</v>
      </c>
      <c r="B354" t="str">
        <f>IF(AND('PO-Backlog'!B35&lt;&gt;"",'PO-Backlog'!E35&lt;&gt;""),'PO-Backlog'!B35,"")</f>
        <v>KI-Prompt-Interface für den Desktop-UHD. Eventuell mittels "MCP"</v>
      </c>
      <c r="C354">
        <f>IF(AND('PO-Backlog'!B35&lt;&gt;"",'PO-Backlog'!E35&lt;&gt;""),'PO-Backlog'!C35,"")</f>
        <v>0</v>
      </c>
      <c r="D354">
        <f>IF(AND('PO-Backlog'!B35&lt;&gt;"",'PO-Backlog'!E35&lt;&gt;""),'PO-Backlog'!D35,"")</f>
        <v>0</v>
      </c>
      <c r="E354" t="str">
        <f>IF(AND('PO-Backlog'!B35&lt;&gt;"",'PO-Backlog'!E35&lt;&gt;""),'PO-Backlog'!H35,"")</f>
        <v/>
      </c>
      <c r="F354">
        <f>IF(AND('PO-Backlog'!B35&lt;&gt;"",'PO-Backlog'!E35&lt;&gt;""),'PO-Backlog'!F35,"")</f>
        <v>0</v>
      </c>
      <c r="G354">
        <f>IF(AND('PO-Backlog'!B35&lt;&gt;"",'PO-Backlog'!E35&lt;&gt;""),'PO-Backlog'!G35,"")</f>
        <v>0</v>
      </c>
      <c r="H354" t="str">
        <f>IF(AND('PO-Backlog'!B35&lt;&gt;"",'PO-Backlog'!E35&lt;&gt;""),"PO-Backlog","")</f>
        <v>PO-Backlog</v>
      </c>
      <c r="I354" t="str">
        <f>IF(A354="Q12026",COUNTIF($A$2:$A354,"Q12026"),"")</f>
        <v/>
      </c>
      <c r="J354" t="str">
        <f>IF(A354="Q22026",COUNTIF($A$2:$A354,"Q22026"),"")</f>
        <v/>
      </c>
      <c r="K354">
        <f>IF(A354="Q32026",COUNTIF($A$2:$A354,"Q32026"),"")</f>
        <v>25</v>
      </c>
      <c r="L354" t="str">
        <f>IF(A354="Q42026",COUNTIF($A$2:$A354,"Q42026"),"")</f>
        <v/>
      </c>
      <c r="M354" t="str">
        <f>IF(A354="Backlog",COUNTIF($A$2:$A354,"Backlog"),"")</f>
        <v/>
      </c>
    </row>
    <row r="355" spans="1:13">
      <c r="A355" t="str">
        <f>IF(AND('PO-Backlog'!B36&lt;&gt;"",'PO-Backlog'!E36&lt;&gt;""),'PO-Backlog'!E36,"")</f>
        <v>Q32026</v>
      </c>
      <c r="B355" t="str">
        <f>IF(AND('PO-Backlog'!B36&lt;&gt;"",'PO-Backlog'!E36&lt;&gt;""),'PO-Backlog'!B36,"")</f>
        <v>Touchpoint-Lizensierung</v>
      </c>
      <c r="C355">
        <f>IF(AND('PO-Backlog'!B36&lt;&gt;"",'PO-Backlog'!E36&lt;&gt;""),'PO-Backlog'!C36,"")</f>
        <v>0</v>
      </c>
      <c r="D355">
        <f>IF(AND('PO-Backlog'!B36&lt;&gt;"",'PO-Backlog'!E36&lt;&gt;""),'PO-Backlog'!D36,"")</f>
        <v>0</v>
      </c>
      <c r="E355" t="str">
        <f>IF(AND('PO-Backlog'!B36&lt;&gt;"",'PO-Backlog'!E36&lt;&gt;""),'PO-Backlog'!H36,"")</f>
        <v/>
      </c>
      <c r="F355">
        <f>IF(AND('PO-Backlog'!B36&lt;&gt;"",'PO-Backlog'!E36&lt;&gt;""),'PO-Backlog'!F36,"")</f>
        <v>0</v>
      </c>
      <c r="G355">
        <f>IF(AND('PO-Backlog'!B36&lt;&gt;"",'PO-Backlog'!E36&lt;&gt;""),'PO-Backlog'!G36,"")</f>
        <v>0</v>
      </c>
      <c r="H355" t="str">
        <f>IF(AND('PO-Backlog'!B36&lt;&gt;"",'PO-Backlog'!E36&lt;&gt;""),"PO-Backlog","")</f>
        <v>PO-Backlog</v>
      </c>
      <c r="I355" t="str">
        <f>IF(A355="Q12026",COUNTIF($A$2:$A355,"Q12026"),"")</f>
        <v/>
      </c>
      <c r="J355" t="str">
        <f>IF(A355="Q22026",COUNTIF($A$2:$A355,"Q22026"),"")</f>
        <v/>
      </c>
      <c r="K355">
        <f>IF(A355="Q32026",COUNTIF($A$2:$A355,"Q32026"),"")</f>
        <v>26</v>
      </c>
      <c r="L355" t="str">
        <f>IF(A355="Q42026",COUNTIF($A$2:$A355,"Q42026"),"")</f>
        <v/>
      </c>
      <c r="M355" t="str">
        <f>IF(A355="Backlog",COUNTIF($A$2:$A355,"Backlog"),"")</f>
        <v/>
      </c>
    </row>
    <row r="356" spans="1:13">
      <c r="A356" t="str">
        <f>IF(AND('PO-Backlog'!B37&lt;&gt;"",'PO-Backlog'!E37&lt;&gt;""),'PO-Backlog'!E37,"")</f>
        <v/>
      </c>
      <c r="B356" t="str">
        <f>IF(AND('PO-Backlog'!B37&lt;&gt;"",'PO-Backlog'!E37&lt;&gt;""),'PO-Backlog'!B37,"")</f>
        <v/>
      </c>
      <c r="C356" t="str">
        <f>IF(AND('PO-Backlog'!B37&lt;&gt;"",'PO-Backlog'!E37&lt;&gt;""),'PO-Backlog'!C37,"")</f>
        <v/>
      </c>
      <c r="D356" t="str">
        <f>IF(AND('PO-Backlog'!B37&lt;&gt;"",'PO-Backlog'!E37&lt;&gt;""),'PO-Backlog'!D37,"")</f>
        <v/>
      </c>
      <c r="E356" t="str">
        <f>IF(AND('PO-Backlog'!B37&lt;&gt;"",'PO-Backlog'!E37&lt;&gt;""),'PO-Backlog'!H37,"")</f>
        <v/>
      </c>
      <c r="F356" t="str">
        <f>IF(AND('PO-Backlog'!B37&lt;&gt;"",'PO-Backlog'!E37&lt;&gt;""),'PO-Backlog'!F37,"")</f>
        <v/>
      </c>
      <c r="G356" t="str">
        <f>IF(AND('PO-Backlog'!B37&lt;&gt;"",'PO-Backlog'!E37&lt;&gt;""),'PO-Backlog'!G37,"")</f>
        <v/>
      </c>
      <c r="H356" t="str">
        <f>IF(AND('PO-Backlog'!B37&lt;&gt;"",'PO-Backlog'!E37&lt;&gt;""),"PO-Backlog","")</f>
        <v/>
      </c>
      <c r="I356" t="str">
        <f>IF(A356="Q12026",COUNTIF($A$2:$A356,"Q12026"),"")</f>
        <v/>
      </c>
      <c r="J356" t="str">
        <f>IF(A356="Q22026",COUNTIF($A$2:$A356,"Q22026"),"")</f>
        <v/>
      </c>
      <c r="K356" t="str">
        <f>IF(A356="Q32026",COUNTIF($A$2:$A356,"Q32026"),"")</f>
        <v/>
      </c>
      <c r="L356" t="str">
        <f>IF(A356="Q42026",COUNTIF($A$2:$A356,"Q42026"),"")</f>
        <v/>
      </c>
      <c r="M356" t="str">
        <f>IF(A356="Backlog",COUNTIF($A$2:$A356,"Backlog"),"")</f>
        <v/>
      </c>
    </row>
    <row r="357" spans="1:13">
      <c r="A357" t="str">
        <f>IF(AND('PO-Backlog'!B38&lt;&gt;"",'PO-Backlog'!E38&lt;&gt;""),'PO-Backlog'!E38,"")</f>
        <v/>
      </c>
      <c r="B357" t="str">
        <f>IF(AND('PO-Backlog'!B38&lt;&gt;"",'PO-Backlog'!E38&lt;&gt;""),'PO-Backlog'!B38,"")</f>
        <v/>
      </c>
      <c r="C357" t="str">
        <f>IF(AND('PO-Backlog'!B38&lt;&gt;"",'PO-Backlog'!E38&lt;&gt;""),'PO-Backlog'!C38,"")</f>
        <v/>
      </c>
      <c r="D357" t="str">
        <f>IF(AND('PO-Backlog'!B38&lt;&gt;"",'PO-Backlog'!E38&lt;&gt;""),'PO-Backlog'!D38,"")</f>
        <v/>
      </c>
      <c r="E357" t="str">
        <f>IF(AND('PO-Backlog'!B38&lt;&gt;"",'PO-Backlog'!E38&lt;&gt;""),'PO-Backlog'!H38,"")</f>
        <v/>
      </c>
      <c r="F357" t="str">
        <f>IF(AND('PO-Backlog'!B38&lt;&gt;"",'PO-Backlog'!E38&lt;&gt;""),'PO-Backlog'!F38,"")</f>
        <v/>
      </c>
      <c r="G357" t="str">
        <f>IF(AND('PO-Backlog'!B38&lt;&gt;"",'PO-Backlog'!E38&lt;&gt;""),'PO-Backlog'!G38,"")</f>
        <v/>
      </c>
      <c r="H357" t="str">
        <f>IF(AND('PO-Backlog'!B38&lt;&gt;"",'PO-Backlog'!E38&lt;&gt;""),"PO-Backlog","")</f>
        <v/>
      </c>
      <c r="I357" t="str">
        <f>IF(A357="Q12026",COUNTIF($A$2:$A357,"Q12026"),"")</f>
        <v/>
      </c>
      <c r="J357" t="str">
        <f>IF(A357="Q22026",COUNTIF($A$2:$A357,"Q22026"),"")</f>
        <v/>
      </c>
      <c r="K357" t="str">
        <f>IF(A357="Q32026",COUNTIF($A$2:$A357,"Q32026"),"")</f>
        <v/>
      </c>
      <c r="L357" t="str">
        <f>IF(A357="Q42026",COUNTIF($A$2:$A357,"Q42026"),"")</f>
        <v/>
      </c>
      <c r="M357" t="str">
        <f>IF(A357="Backlog",COUNTIF($A$2:$A357,"Backlog"),"")</f>
        <v/>
      </c>
    </row>
    <row r="358" spans="1:13">
      <c r="A358" t="str">
        <f>IF(AND('PO-Backlog'!B39&lt;&gt;"",'PO-Backlog'!E39&lt;&gt;""),'PO-Backlog'!E39,"")</f>
        <v/>
      </c>
      <c r="B358" t="str">
        <f>IF(AND('PO-Backlog'!B39&lt;&gt;"",'PO-Backlog'!E39&lt;&gt;""),'PO-Backlog'!B39,"")</f>
        <v/>
      </c>
      <c r="C358" t="str">
        <f>IF(AND('PO-Backlog'!B39&lt;&gt;"",'PO-Backlog'!E39&lt;&gt;""),'PO-Backlog'!C39,"")</f>
        <v/>
      </c>
      <c r="D358" t="str">
        <f>IF(AND('PO-Backlog'!B39&lt;&gt;"",'PO-Backlog'!E39&lt;&gt;""),'PO-Backlog'!D39,"")</f>
        <v/>
      </c>
      <c r="E358" t="str">
        <f>IF(AND('PO-Backlog'!B39&lt;&gt;"",'PO-Backlog'!E39&lt;&gt;""),'PO-Backlog'!H39,"")</f>
        <v/>
      </c>
      <c r="F358" t="str">
        <f>IF(AND('PO-Backlog'!B39&lt;&gt;"",'PO-Backlog'!E39&lt;&gt;""),'PO-Backlog'!F39,"")</f>
        <v/>
      </c>
      <c r="G358" t="str">
        <f>IF(AND('PO-Backlog'!B39&lt;&gt;"",'PO-Backlog'!E39&lt;&gt;""),'PO-Backlog'!G39,"")</f>
        <v/>
      </c>
      <c r="H358" t="str">
        <f>IF(AND('PO-Backlog'!B39&lt;&gt;"",'PO-Backlog'!E39&lt;&gt;""),"PO-Backlog","")</f>
        <v/>
      </c>
      <c r="I358" t="str">
        <f>IF(A358="Q12026",COUNTIF($A$2:$A358,"Q12026"),"")</f>
        <v/>
      </c>
      <c r="J358" t="str">
        <f>IF(A358="Q22026",COUNTIF($A$2:$A358,"Q22026"),"")</f>
        <v/>
      </c>
      <c r="K358" t="str">
        <f>IF(A358="Q32026",COUNTIF($A$2:$A358,"Q32026"),"")</f>
        <v/>
      </c>
      <c r="L358" t="str">
        <f>IF(A358="Q42026",COUNTIF($A$2:$A358,"Q42026"),"")</f>
        <v/>
      </c>
      <c r="M358" t="str">
        <f>IF(A358="Backlog",COUNTIF($A$2:$A358,"Backlog"),"")</f>
        <v/>
      </c>
    </row>
    <row r="359" spans="1:13">
      <c r="A359" t="str">
        <f>IF(AND('PO-Backlog'!B40&lt;&gt;"",'PO-Backlog'!E40&lt;&gt;""),'PO-Backlog'!E40,"")</f>
        <v/>
      </c>
      <c r="B359" t="str">
        <f>IF(AND('PO-Backlog'!B40&lt;&gt;"",'PO-Backlog'!E40&lt;&gt;""),'PO-Backlog'!B40,"")</f>
        <v/>
      </c>
      <c r="C359" t="str">
        <f>IF(AND('PO-Backlog'!B40&lt;&gt;"",'PO-Backlog'!E40&lt;&gt;""),'PO-Backlog'!C40,"")</f>
        <v/>
      </c>
      <c r="D359" t="str">
        <f>IF(AND('PO-Backlog'!B40&lt;&gt;"",'PO-Backlog'!E40&lt;&gt;""),'PO-Backlog'!D40,"")</f>
        <v/>
      </c>
      <c r="E359" t="str">
        <f>IF(AND('PO-Backlog'!B40&lt;&gt;"",'PO-Backlog'!E40&lt;&gt;""),'PO-Backlog'!H40,"")</f>
        <v/>
      </c>
      <c r="F359" t="str">
        <f>IF(AND('PO-Backlog'!B40&lt;&gt;"",'PO-Backlog'!E40&lt;&gt;""),'PO-Backlog'!F40,"")</f>
        <v/>
      </c>
      <c r="G359" t="str">
        <f>IF(AND('PO-Backlog'!B40&lt;&gt;"",'PO-Backlog'!E40&lt;&gt;""),'PO-Backlog'!G40,"")</f>
        <v/>
      </c>
      <c r="H359" t="str">
        <f>IF(AND('PO-Backlog'!B40&lt;&gt;"",'PO-Backlog'!E40&lt;&gt;""),"PO-Backlog","")</f>
        <v/>
      </c>
      <c r="I359" t="str">
        <f>IF(A359="Q12026",COUNTIF($A$2:$A359,"Q12026"),"")</f>
        <v/>
      </c>
      <c r="J359" t="str">
        <f>IF(A359="Q22026",COUNTIF($A$2:$A359,"Q22026"),"")</f>
        <v/>
      </c>
      <c r="K359" t="str">
        <f>IF(A359="Q32026",COUNTIF($A$2:$A359,"Q32026"),"")</f>
        <v/>
      </c>
      <c r="L359" t="str">
        <f>IF(A359="Q42026",COUNTIF($A$2:$A359,"Q42026"),"")</f>
        <v/>
      </c>
      <c r="M359" t="str">
        <f>IF(A359="Backlog",COUNTIF($A$2:$A359,"Backlog"),"")</f>
        <v/>
      </c>
    </row>
    <row r="360" spans="1:13">
      <c r="A360" t="str">
        <f>IF(AND('PO-Backlog'!B41&lt;&gt;"",'PO-Backlog'!E41&lt;&gt;""),'PO-Backlog'!E41,"")</f>
        <v/>
      </c>
      <c r="B360" t="str">
        <f>IF(AND('PO-Backlog'!B41&lt;&gt;"",'PO-Backlog'!E41&lt;&gt;""),'PO-Backlog'!B41,"")</f>
        <v/>
      </c>
      <c r="C360" t="str">
        <f>IF(AND('PO-Backlog'!B41&lt;&gt;"",'PO-Backlog'!E41&lt;&gt;""),'PO-Backlog'!C41,"")</f>
        <v/>
      </c>
      <c r="D360" t="str">
        <f>IF(AND('PO-Backlog'!B41&lt;&gt;"",'PO-Backlog'!E41&lt;&gt;""),'PO-Backlog'!D41,"")</f>
        <v/>
      </c>
      <c r="E360" t="str">
        <f>IF(AND('PO-Backlog'!B41&lt;&gt;"",'PO-Backlog'!E41&lt;&gt;""),'PO-Backlog'!H41,"")</f>
        <v/>
      </c>
      <c r="F360" t="str">
        <f>IF(AND('PO-Backlog'!B41&lt;&gt;"",'PO-Backlog'!E41&lt;&gt;""),'PO-Backlog'!F41,"")</f>
        <v/>
      </c>
      <c r="G360" t="str">
        <f>IF(AND('PO-Backlog'!B41&lt;&gt;"",'PO-Backlog'!E41&lt;&gt;""),'PO-Backlog'!G41,"")</f>
        <v/>
      </c>
      <c r="H360" t="str">
        <f>IF(AND('PO-Backlog'!B41&lt;&gt;"",'PO-Backlog'!E41&lt;&gt;""),"PO-Backlog","")</f>
        <v/>
      </c>
      <c r="I360" t="str">
        <f>IF(A360="Q12026",COUNTIF($A$2:$A360,"Q12026"),"")</f>
        <v/>
      </c>
      <c r="J360" t="str">
        <f>IF(A360="Q22026",COUNTIF($A$2:$A360,"Q22026"),"")</f>
        <v/>
      </c>
      <c r="K360" t="str">
        <f>IF(A360="Q32026",COUNTIF($A$2:$A360,"Q32026"),"")</f>
        <v/>
      </c>
      <c r="L360" t="str">
        <f>IF(A360="Q42026",COUNTIF($A$2:$A360,"Q42026"),"")</f>
        <v/>
      </c>
      <c r="M360" t="str">
        <f>IF(A360="Backlog",COUNTIF($A$2:$A360,"Backlog"),"")</f>
        <v/>
      </c>
    </row>
    <row r="361" spans="1:13">
      <c r="A361" t="str">
        <f>IF(AND('PO-Backlog'!B42&lt;&gt;"",'PO-Backlog'!E42&lt;&gt;""),'PO-Backlog'!E42,"")</f>
        <v/>
      </c>
      <c r="B361" t="str">
        <f>IF(AND('PO-Backlog'!B42&lt;&gt;"",'PO-Backlog'!E42&lt;&gt;""),'PO-Backlog'!B42,"")</f>
        <v/>
      </c>
      <c r="C361" t="str">
        <f>IF(AND('PO-Backlog'!B42&lt;&gt;"",'PO-Backlog'!E42&lt;&gt;""),'PO-Backlog'!C42,"")</f>
        <v/>
      </c>
      <c r="D361" t="str">
        <f>IF(AND('PO-Backlog'!B42&lt;&gt;"",'PO-Backlog'!E42&lt;&gt;""),'PO-Backlog'!D42,"")</f>
        <v/>
      </c>
      <c r="E361" t="str">
        <f>IF(AND('PO-Backlog'!B42&lt;&gt;"",'PO-Backlog'!E42&lt;&gt;""),'PO-Backlog'!H42,"")</f>
        <v/>
      </c>
      <c r="F361" t="str">
        <f>IF(AND('PO-Backlog'!B42&lt;&gt;"",'PO-Backlog'!E42&lt;&gt;""),'PO-Backlog'!F42,"")</f>
        <v/>
      </c>
      <c r="G361" t="str">
        <f>IF(AND('PO-Backlog'!B42&lt;&gt;"",'PO-Backlog'!E42&lt;&gt;""),'PO-Backlog'!G42,"")</f>
        <v/>
      </c>
      <c r="H361" t="str">
        <f>IF(AND('PO-Backlog'!B42&lt;&gt;"",'PO-Backlog'!E42&lt;&gt;""),"PO-Backlog","")</f>
        <v/>
      </c>
      <c r="I361" t="str">
        <f>IF(A361="Q12026",COUNTIF($A$2:$A361,"Q12026"),"")</f>
        <v/>
      </c>
      <c r="J361" t="str">
        <f>IF(A361="Q22026",COUNTIF($A$2:$A361,"Q22026"),"")</f>
        <v/>
      </c>
      <c r="K361" t="str">
        <f>IF(A361="Q32026",COUNTIF($A$2:$A361,"Q32026"),"")</f>
        <v/>
      </c>
      <c r="L361" t="str">
        <f>IF(A361="Q42026",COUNTIF($A$2:$A361,"Q42026"),"")</f>
        <v/>
      </c>
      <c r="M361" t="str">
        <f>IF(A361="Backlog",COUNTIF($A$2:$A361,"Backlog"),"")</f>
        <v/>
      </c>
    </row>
    <row r="362" spans="1:13">
      <c r="A362" t="str">
        <f>IF(AND('PO-Backlog'!B43&lt;&gt;"",'PO-Backlog'!E43&lt;&gt;""),'PO-Backlog'!E43,"")</f>
        <v/>
      </c>
      <c r="B362" t="str">
        <f>IF(AND('PO-Backlog'!B43&lt;&gt;"",'PO-Backlog'!E43&lt;&gt;""),'PO-Backlog'!B43,"")</f>
        <v/>
      </c>
      <c r="C362" t="str">
        <f>IF(AND('PO-Backlog'!B43&lt;&gt;"",'PO-Backlog'!E43&lt;&gt;""),'PO-Backlog'!C43,"")</f>
        <v/>
      </c>
      <c r="D362" t="str">
        <f>IF(AND('PO-Backlog'!B43&lt;&gt;"",'PO-Backlog'!E43&lt;&gt;""),'PO-Backlog'!D43,"")</f>
        <v/>
      </c>
      <c r="E362" t="str">
        <f>IF(AND('PO-Backlog'!B43&lt;&gt;"",'PO-Backlog'!E43&lt;&gt;""),'PO-Backlog'!H43,"")</f>
        <v/>
      </c>
      <c r="F362" t="str">
        <f>IF(AND('PO-Backlog'!B43&lt;&gt;"",'PO-Backlog'!E43&lt;&gt;""),'PO-Backlog'!F43,"")</f>
        <v/>
      </c>
      <c r="G362" t="str">
        <f>IF(AND('PO-Backlog'!B43&lt;&gt;"",'PO-Backlog'!E43&lt;&gt;""),'PO-Backlog'!G43,"")</f>
        <v/>
      </c>
      <c r="H362" t="str">
        <f>IF(AND('PO-Backlog'!B43&lt;&gt;"",'PO-Backlog'!E43&lt;&gt;""),"PO-Backlog","")</f>
        <v/>
      </c>
      <c r="I362" t="str">
        <f>IF(A362="Q12026",COUNTIF($A$2:$A362,"Q12026"),"")</f>
        <v/>
      </c>
      <c r="J362" t="str">
        <f>IF(A362="Q22026",COUNTIF($A$2:$A362,"Q22026"),"")</f>
        <v/>
      </c>
      <c r="K362" t="str">
        <f>IF(A362="Q32026",COUNTIF($A$2:$A362,"Q32026"),"")</f>
        <v/>
      </c>
      <c r="L362" t="str">
        <f>IF(A362="Q42026",COUNTIF($A$2:$A362,"Q42026"),"")</f>
        <v/>
      </c>
      <c r="M362" t="str">
        <f>IF(A362="Backlog",COUNTIF($A$2:$A362,"Backlog"),"")</f>
        <v/>
      </c>
    </row>
    <row r="363" spans="1:13">
      <c r="A363" t="str">
        <f>IF(AND('PO-Backlog'!B44&lt;&gt;"",'PO-Backlog'!E44&lt;&gt;""),'PO-Backlog'!E44,"")</f>
        <v/>
      </c>
      <c r="B363" t="str">
        <f>IF(AND('PO-Backlog'!B44&lt;&gt;"",'PO-Backlog'!E44&lt;&gt;""),'PO-Backlog'!B44,"")</f>
        <v/>
      </c>
      <c r="C363" t="str">
        <f>IF(AND('PO-Backlog'!B44&lt;&gt;"",'PO-Backlog'!E44&lt;&gt;""),'PO-Backlog'!C44,"")</f>
        <v/>
      </c>
      <c r="D363" t="str">
        <f>IF(AND('PO-Backlog'!B44&lt;&gt;"",'PO-Backlog'!E44&lt;&gt;""),'PO-Backlog'!D44,"")</f>
        <v/>
      </c>
      <c r="E363" t="str">
        <f>IF(AND('PO-Backlog'!B44&lt;&gt;"",'PO-Backlog'!E44&lt;&gt;""),'PO-Backlog'!H44,"")</f>
        <v/>
      </c>
      <c r="F363" t="str">
        <f>IF(AND('PO-Backlog'!B44&lt;&gt;"",'PO-Backlog'!E44&lt;&gt;""),'PO-Backlog'!F44,"")</f>
        <v/>
      </c>
      <c r="G363" t="str">
        <f>IF(AND('PO-Backlog'!B44&lt;&gt;"",'PO-Backlog'!E44&lt;&gt;""),'PO-Backlog'!G44,"")</f>
        <v/>
      </c>
      <c r="H363" t="str">
        <f>IF(AND('PO-Backlog'!B44&lt;&gt;"",'PO-Backlog'!E44&lt;&gt;""),"PO-Backlog","")</f>
        <v/>
      </c>
      <c r="I363" t="str">
        <f>IF(A363="Q12026",COUNTIF($A$2:$A363,"Q12026"),"")</f>
        <v/>
      </c>
      <c r="J363" t="str">
        <f>IF(A363="Q22026",COUNTIF($A$2:$A363,"Q22026"),"")</f>
        <v/>
      </c>
      <c r="K363" t="str">
        <f>IF(A363="Q32026",COUNTIF($A$2:$A363,"Q32026"),"")</f>
        <v/>
      </c>
      <c r="L363" t="str">
        <f>IF(A363="Q42026",COUNTIF($A$2:$A363,"Q42026"),"")</f>
        <v/>
      </c>
      <c r="M363" t="str">
        <f>IF(A363="Backlog",COUNTIF($A$2:$A363,"Backlog"),"")</f>
        <v/>
      </c>
    </row>
    <row r="364" spans="1:13">
      <c r="A364" t="str">
        <f>IF(AND('PO-Backlog'!B45&lt;&gt;"",'PO-Backlog'!E45&lt;&gt;""),'PO-Backlog'!E45,"")</f>
        <v/>
      </c>
      <c r="B364" t="str">
        <f>IF(AND('PO-Backlog'!B45&lt;&gt;"",'PO-Backlog'!E45&lt;&gt;""),'PO-Backlog'!B45,"")</f>
        <v/>
      </c>
      <c r="C364" t="str">
        <f>IF(AND('PO-Backlog'!B45&lt;&gt;"",'PO-Backlog'!E45&lt;&gt;""),'PO-Backlog'!C45,"")</f>
        <v/>
      </c>
      <c r="D364" t="str">
        <f>IF(AND('PO-Backlog'!B45&lt;&gt;"",'PO-Backlog'!E45&lt;&gt;""),'PO-Backlog'!D45,"")</f>
        <v/>
      </c>
      <c r="E364" t="str">
        <f>IF(AND('PO-Backlog'!B45&lt;&gt;"",'PO-Backlog'!E45&lt;&gt;""),'PO-Backlog'!H45,"")</f>
        <v/>
      </c>
      <c r="F364" t="str">
        <f>IF(AND('PO-Backlog'!B45&lt;&gt;"",'PO-Backlog'!E45&lt;&gt;""),'PO-Backlog'!F45,"")</f>
        <v/>
      </c>
      <c r="G364" t="str">
        <f>IF(AND('PO-Backlog'!B45&lt;&gt;"",'PO-Backlog'!E45&lt;&gt;""),'PO-Backlog'!G45,"")</f>
        <v/>
      </c>
      <c r="H364" t="str">
        <f>IF(AND('PO-Backlog'!B45&lt;&gt;"",'PO-Backlog'!E45&lt;&gt;""),"PO-Backlog","")</f>
        <v/>
      </c>
      <c r="I364" t="str">
        <f>IF(A364="Q12026",COUNTIF($A$2:$A364,"Q12026"),"")</f>
        <v/>
      </c>
      <c r="J364" t="str">
        <f>IF(A364="Q22026",COUNTIF($A$2:$A364,"Q22026"),"")</f>
        <v/>
      </c>
      <c r="K364" t="str">
        <f>IF(A364="Q32026",COUNTIF($A$2:$A364,"Q32026"),"")</f>
        <v/>
      </c>
      <c r="L364" t="str">
        <f>IF(A364="Q42026",COUNTIF($A$2:$A364,"Q42026"),"")</f>
        <v/>
      </c>
      <c r="M364" t="str">
        <f>IF(A364="Backlog",COUNTIF($A$2:$A364,"Backlog"),"")</f>
        <v/>
      </c>
    </row>
    <row r="365" spans="1:13">
      <c r="A365" t="str">
        <f>IF(AND('PO-Backlog'!B46&lt;&gt;"",'PO-Backlog'!E46&lt;&gt;""),'PO-Backlog'!E46,"")</f>
        <v/>
      </c>
      <c r="B365" t="str">
        <f>IF(AND('PO-Backlog'!B46&lt;&gt;"",'PO-Backlog'!E46&lt;&gt;""),'PO-Backlog'!B46,"")</f>
        <v/>
      </c>
      <c r="C365" t="str">
        <f>IF(AND('PO-Backlog'!B46&lt;&gt;"",'PO-Backlog'!E46&lt;&gt;""),'PO-Backlog'!C46,"")</f>
        <v/>
      </c>
      <c r="D365" t="str">
        <f>IF(AND('PO-Backlog'!B46&lt;&gt;"",'PO-Backlog'!E46&lt;&gt;""),'PO-Backlog'!D46,"")</f>
        <v/>
      </c>
      <c r="E365" t="str">
        <f>IF(AND('PO-Backlog'!B46&lt;&gt;"",'PO-Backlog'!E46&lt;&gt;""),'PO-Backlog'!H46,"")</f>
        <v/>
      </c>
      <c r="F365" t="str">
        <f>IF(AND('PO-Backlog'!B46&lt;&gt;"",'PO-Backlog'!E46&lt;&gt;""),'PO-Backlog'!F46,"")</f>
        <v/>
      </c>
      <c r="G365" t="str">
        <f>IF(AND('PO-Backlog'!B46&lt;&gt;"",'PO-Backlog'!E46&lt;&gt;""),'PO-Backlog'!G46,"")</f>
        <v/>
      </c>
      <c r="H365" t="str">
        <f>IF(AND('PO-Backlog'!B46&lt;&gt;"",'PO-Backlog'!E46&lt;&gt;""),"PO-Backlog","")</f>
        <v/>
      </c>
      <c r="I365" t="str">
        <f>IF(A365="Q12026",COUNTIF($A$2:$A365,"Q12026"),"")</f>
        <v/>
      </c>
      <c r="J365" t="str">
        <f>IF(A365="Q22026",COUNTIF($A$2:$A365,"Q22026"),"")</f>
        <v/>
      </c>
      <c r="K365" t="str">
        <f>IF(A365="Q32026",COUNTIF($A$2:$A365,"Q32026"),"")</f>
        <v/>
      </c>
      <c r="L365" t="str">
        <f>IF(A365="Q42026",COUNTIF($A$2:$A365,"Q42026"),"")</f>
        <v/>
      </c>
      <c r="M365" t="str">
        <f>IF(A365="Backlog",COUNTIF($A$2:$A365,"Backlog"),"")</f>
        <v/>
      </c>
    </row>
    <row r="366" spans="1:13">
      <c r="A366" t="str">
        <f>IF(AND('PO-Backlog'!B47&lt;&gt;"",'PO-Backlog'!E47&lt;&gt;""),'PO-Backlog'!E47,"")</f>
        <v/>
      </c>
      <c r="B366" t="str">
        <f>IF(AND('PO-Backlog'!B47&lt;&gt;"",'PO-Backlog'!E47&lt;&gt;""),'PO-Backlog'!B47,"")</f>
        <v/>
      </c>
      <c r="C366" t="str">
        <f>IF(AND('PO-Backlog'!B47&lt;&gt;"",'PO-Backlog'!E47&lt;&gt;""),'PO-Backlog'!C47,"")</f>
        <v/>
      </c>
      <c r="D366" t="str">
        <f>IF(AND('PO-Backlog'!B47&lt;&gt;"",'PO-Backlog'!E47&lt;&gt;""),'PO-Backlog'!D47,"")</f>
        <v/>
      </c>
      <c r="E366" t="str">
        <f>IF(AND('PO-Backlog'!B47&lt;&gt;"",'PO-Backlog'!E47&lt;&gt;""),'PO-Backlog'!H47,"")</f>
        <v/>
      </c>
      <c r="F366" t="str">
        <f>IF(AND('PO-Backlog'!B47&lt;&gt;"",'PO-Backlog'!E47&lt;&gt;""),'PO-Backlog'!F47,"")</f>
        <v/>
      </c>
      <c r="G366" t="str">
        <f>IF(AND('PO-Backlog'!B47&lt;&gt;"",'PO-Backlog'!E47&lt;&gt;""),'PO-Backlog'!G47,"")</f>
        <v/>
      </c>
      <c r="H366" t="str">
        <f>IF(AND('PO-Backlog'!B47&lt;&gt;"",'PO-Backlog'!E47&lt;&gt;""),"PO-Backlog","")</f>
        <v/>
      </c>
      <c r="I366" t="str">
        <f>IF(A366="Q12026",COUNTIF($A$2:$A366,"Q12026"),"")</f>
        <v/>
      </c>
      <c r="J366" t="str">
        <f>IF(A366="Q22026",COUNTIF($A$2:$A366,"Q22026"),"")</f>
        <v/>
      </c>
      <c r="K366" t="str">
        <f>IF(A366="Q32026",COUNTIF($A$2:$A366,"Q32026"),"")</f>
        <v/>
      </c>
      <c r="L366" t="str">
        <f>IF(A366="Q42026",COUNTIF($A$2:$A366,"Q42026"),"")</f>
        <v/>
      </c>
      <c r="M366" t="str">
        <f>IF(A366="Backlog",COUNTIF($A$2:$A366,"Backlog"),"")</f>
        <v/>
      </c>
    </row>
    <row r="367" spans="1:13">
      <c r="A367" t="str">
        <f>IF(AND('PO-Backlog'!B48&lt;&gt;"",'PO-Backlog'!E48&lt;&gt;""),'PO-Backlog'!E48,"")</f>
        <v/>
      </c>
      <c r="B367" t="str">
        <f>IF(AND('PO-Backlog'!B48&lt;&gt;"",'PO-Backlog'!E48&lt;&gt;""),'PO-Backlog'!B48,"")</f>
        <v/>
      </c>
      <c r="C367" t="str">
        <f>IF(AND('PO-Backlog'!B48&lt;&gt;"",'PO-Backlog'!E48&lt;&gt;""),'PO-Backlog'!C48,"")</f>
        <v/>
      </c>
      <c r="D367" t="str">
        <f>IF(AND('PO-Backlog'!B48&lt;&gt;"",'PO-Backlog'!E48&lt;&gt;""),'PO-Backlog'!D48,"")</f>
        <v/>
      </c>
      <c r="E367" t="str">
        <f>IF(AND('PO-Backlog'!B48&lt;&gt;"",'PO-Backlog'!E48&lt;&gt;""),'PO-Backlog'!H48,"")</f>
        <v/>
      </c>
      <c r="F367" t="str">
        <f>IF(AND('PO-Backlog'!B48&lt;&gt;"",'PO-Backlog'!E48&lt;&gt;""),'PO-Backlog'!F48,"")</f>
        <v/>
      </c>
      <c r="G367" t="str">
        <f>IF(AND('PO-Backlog'!B48&lt;&gt;"",'PO-Backlog'!E48&lt;&gt;""),'PO-Backlog'!G48,"")</f>
        <v/>
      </c>
      <c r="H367" t="str">
        <f>IF(AND('PO-Backlog'!B48&lt;&gt;"",'PO-Backlog'!E48&lt;&gt;""),"PO-Backlog","")</f>
        <v/>
      </c>
      <c r="I367" t="str">
        <f>IF(A367="Q12026",COUNTIF($A$2:$A367,"Q12026"),"")</f>
        <v/>
      </c>
      <c r="J367" t="str">
        <f>IF(A367="Q22026",COUNTIF($A$2:$A367,"Q22026"),"")</f>
        <v/>
      </c>
      <c r="K367" t="str">
        <f>IF(A367="Q32026",COUNTIF($A$2:$A367,"Q32026"),"")</f>
        <v/>
      </c>
      <c r="L367" t="str">
        <f>IF(A367="Q42026",COUNTIF($A$2:$A367,"Q42026"),"")</f>
        <v/>
      </c>
      <c r="M367" t="str">
        <f>IF(A367="Backlog",COUNTIF($A$2:$A367,"Backlog"),"")</f>
        <v/>
      </c>
    </row>
    <row r="368" spans="1:13">
      <c r="A368" t="str">
        <f>IF(AND('PO-Backlog'!B49&lt;&gt;"",'PO-Backlog'!E49&lt;&gt;""),'PO-Backlog'!E49,"")</f>
        <v/>
      </c>
      <c r="B368" t="str">
        <f>IF(AND('PO-Backlog'!B49&lt;&gt;"",'PO-Backlog'!E49&lt;&gt;""),'PO-Backlog'!B49,"")</f>
        <v/>
      </c>
      <c r="C368" t="str">
        <f>IF(AND('PO-Backlog'!B49&lt;&gt;"",'PO-Backlog'!E49&lt;&gt;""),'PO-Backlog'!C49,"")</f>
        <v/>
      </c>
      <c r="D368" t="str">
        <f>IF(AND('PO-Backlog'!B49&lt;&gt;"",'PO-Backlog'!E49&lt;&gt;""),'PO-Backlog'!D49,"")</f>
        <v/>
      </c>
      <c r="E368" t="str">
        <f>IF(AND('PO-Backlog'!B49&lt;&gt;"",'PO-Backlog'!E49&lt;&gt;""),'PO-Backlog'!H49,"")</f>
        <v/>
      </c>
      <c r="F368" t="str">
        <f>IF(AND('PO-Backlog'!B49&lt;&gt;"",'PO-Backlog'!E49&lt;&gt;""),'PO-Backlog'!F49,"")</f>
        <v/>
      </c>
      <c r="G368" t="str">
        <f>IF(AND('PO-Backlog'!B49&lt;&gt;"",'PO-Backlog'!E49&lt;&gt;""),'PO-Backlog'!G49,"")</f>
        <v/>
      </c>
      <c r="H368" t="str">
        <f>IF(AND('PO-Backlog'!B49&lt;&gt;"",'PO-Backlog'!E49&lt;&gt;""),"PO-Backlog","")</f>
        <v/>
      </c>
      <c r="I368" t="str">
        <f>IF(A368="Q12026",COUNTIF($A$2:$A368,"Q12026"),"")</f>
        <v/>
      </c>
      <c r="J368" t="str">
        <f>IF(A368="Q22026",COUNTIF($A$2:$A368,"Q22026"),"")</f>
        <v/>
      </c>
      <c r="K368" t="str">
        <f>IF(A368="Q32026",COUNTIF($A$2:$A368,"Q32026"),"")</f>
        <v/>
      </c>
      <c r="L368" t="str">
        <f>IF(A368="Q42026",COUNTIF($A$2:$A368,"Q42026"),"")</f>
        <v/>
      </c>
      <c r="M368" t="str">
        <f>IF(A368="Backlog",COUNTIF($A$2:$A368,"Backlog"),"")</f>
        <v/>
      </c>
    </row>
    <row r="369" spans="1:13">
      <c r="A369" t="str">
        <f>IF(AND('PO-Backlog'!B50&lt;&gt;"",'PO-Backlog'!E50&lt;&gt;""),'PO-Backlog'!E50,"")</f>
        <v/>
      </c>
      <c r="B369" t="str">
        <f>IF(AND('PO-Backlog'!B50&lt;&gt;"",'PO-Backlog'!E50&lt;&gt;""),'PO-Backlog'!B50,"")</f>
        <v/>
      </c>
      <c r="C369" t="str">
        <f>IF(AND('PO-Backlog'!B50&lt;&gt;"",'PO-Backlog'!E50&lt;&gt;""),'PO-Backlog'!C50,"")</f>
        <v/>
      </c>
      <c r="D369" t="str">
        <f>IF(AND('PO-Backlog'!B50&lt;&gt;"",'PO-Backlog'!E50&lt;&gt;""),'PO-Backlog'!D50,"")</f>
        <v/>
      </c>
      <c r="E369" t="str">
        <f>IF(AND('PO-Backlog'!B50&lt;&gt;"",'PO-Backlog'!E50&lt;&gt;""),'PO-Backlog'!H50,"")</f>
        <v/>
      </c>
      <c r="F369" t="str">
        <f>IF(AND('PO-Backlog'!B50&lt;&gt;"",'PO-Backlog'!E50&lt;&gt;""),'PO-Backlog'!F50,"")</f>
        <v/>
      </c>
      <c r="G369" t="str">
        <f>IF(AND('PO-Backlog'!B50&lt;&gt;"",'PO-Backlog'!E50&lt;&gt;""),'PO-Backlog'!G50,"")</f>
        <v/>
      </c>
      <c r="H369" t="str">
        <f>IF(AND('PO-Backlog'!B50&lt;&gt;"",'PO-Backlog'!E50&lt;&gt;""),"PO-Backlog","")</f>
        <v/>
      </c>
      <c r="I369" t="str">
        <f>IF(A369="Q12026",COUNTIF($A$2:$A369,"Q12026"),"")</f>
        <v/>
      </c>
      <c r="J369" t="str">
        <f>IF(A369="Q22026",COUNTIF($A$2:$A369,"Q22026"),"")</f>
        <v/>
      </c>
      <c r="K369" t="str">
        <f>IF(A369="Q32026",COUNTIF($A$2:$A369,"Q32026"),"")</f>
        <v/>
      </c>
      <c r="L369" t="str">
        <f>IF(A369="Q42026",COUNTIF($A$2:$A369,"Q42026"),"")</f>
        <v/>
      </c>
      <c r="M369" t="str">
        <f>IF(A369="Backlog",COUNTIF($A$2:$A369,"Backlog"),"")</f>
        <v/>
      </c>
    </row>
    <row r="370" spans="1:13">
      <c r="A370" t="str">
        <f>IF(AND('PO-Backlog'!B51&lt;&gt;"",'PO-Backlog'!E51&lt;&gt;""),'PO-Backlog'!E51,"")</f>
        <v/>
      </c>
      <c r="B370" t="str">
        <f>IF(AND('PO-Backlog'!B51&lt;&gt;"",'PO-Backlog'!E51&lt;&gt;""),'PO-Backlog'!B51,"")</f>
        <v/>
      </c>
      <c r="C370" t="str">
        <f>IF(AND('PO-Backlog'!B51&lt;&gt;"",'PO-Backlog'!E51&lt;&gt;""),'PO-Backlog'!C51,"")</f>
        <v/>
      </c>
      <c r="D370" t="str">
        <f>IF(AND('PO-Backlog'!B51&lt;&gt;"",'PO-Backlog'!E51&lt;&gt;""),'PO-Backlog'!D51,"")</f>
        <v/>
      </c>
      <c r="E370" t="str">
        <f>IF(AND('PO-Backlog'!B51&lt;&gt;"",'PO-Backlog'!E51&lt;&gt;""),'PO-Backlog'!H51,"")</f>
        <v/>
      </c>
      <c r="F370" t="str">
        <f>IF(AND('PO-Backlog'!B51&lt;&gt;"",'PO-Backlog'!E51&lt;&gt;""),'PO-Backlog'!F51,"")</f>
        <v/>
      </c>
      <c r="G370" t="str">
        <f>IF(AND('PO-Backlog'!B51&lt;&gt;"",'PO-Backlog'!E51&lt;&gt;""),'PO-Backlog'!G51,"")</f>
        <v/>
      </c>
      <c r="H370" t="str">
        <f>IF(AND('PO-Backlog'!B51&lt;&gt;"",'PO-Backlog'!E51&lt;&gt;""),"PO-Backlog","")</f>
        <v/>
      </c>
      <c r="I370" t="str">
        <f>IF(A370="Q12026",COUNTIF($A$2:$A370,"Q12026"),"")</f>
        <v/>
      </c>
      <c r="J370" t="str">
        <f>IF(A370="Q22026",COUNTIF($A$2:$A370,"Q22026"),"")</f>
        <v/>
      </c>
      <c r="K370" t="str">
        <f>IF(A370="Q32026",COUNTIF($A$2:$A370,"Q32026"),"")</f>
        <v/>
      </c>
      <c r="L370" t="str">
        <f>IF(A370="Q42026",COUNTIF($A$2:$A370,"Q42026"),"")</f>
        <v/>
      </c>
      <c r="M370" t="str">
        <f>IF(A370="Backlog",COUNTIF($A$2:$A370,"Backlog"),"")</f>
        <v/>
      </c>
    </row>
    <row r="371" spans="1:13">
      <c r="A371" t="str">
        <f>IF(AND('PO-Backlog'!B52&lt;&gt;"",'PO-Backlog'!E52&lt;&gt;""),'PO-Backlog'!E52,"")</f>
        <v/>
      </c>
      <c r="B371" t="str">
        <f>IF(AND('PO-Backlog'!B52&lt;&gt;"",'PO-Backlog'!E52&lt;&gt;""),'PO-Backlog'!B52,"")</f>
        <v/>
      </c>
      <c r="C371" t="str">
        <f>IF(AND('PO-Backlog'!B52&lt;&gt;"",'PO-Backlog'!E52&lt;&gt;""),'PO-Backlog'!C52,"")</f>
        <v/>
      </c>
      <c r="D371" t="str">
        <f>IF(AND('PO-Backlog'!B52&lt;&gt;"",'PO-Backlog'!E52&lt;&gt;""),'PO-Backlog'!D52,"")</f>
        <v/>
      </c>
      <c r="E371" t="str">
        <f>IF(AND('PO-Backlog'!B52&lt;&gt;"",'PO-Backlog'!E52&lt;&gt;""),'PO-Backlog'!H52,"")</f>
        <v/>
      </c>
      <c r="F371" t="str">
        <f>IF(AND('PO-Backlog'!B52&lt;&gt;"",'PO-Backlog'!E52&lt;&gt;""),'PO-Backlog'!F52,"")</f>
        <v/>
      </c>
      <c r="G371" t="str">
        <f>IF(AND('PO-Backlog'!B52&lt;&gt;"",'PO-Backlog'!E52&lt;&gt;""),'PO-Backlog'!G52,"")</f>
        <v/>
      </c>
      <c r="H371" t="str">
        <f>IF(AND('PO-Backlog'!B52&lt;&gt;"",'PO-Backlog'!E52&lt;&gt;""),"PO-Backlog","")</f>
        <v/>
      </c>
      <c r="I371" t="str">
        <f>IF(A371="Q12026",COUNTIF($A$2:$A371,"Q12026"),"")</f>
        <v/>
      </c>
      <c r="J371" t="str">
        <f>IF(A371="Q22026",COUNTIF($A$2:$A371,"Q22026"),"")</f>
        <v/>
      </c>
      <c r="K371" t="str">
        <f>IF(A371="Q32026",COUNTIF($A$2:$A371,"Q32026"),"")</f>
        <v/>
      </c>
      <c r="L371" t="str">
        <f>IF(A371="Q42026",COUNTIF($A$2:$A371,"Q42026"),"")</f>
        <v/>
      </c>
      <c r="M371" t="str">
        <f>IF(A371="Backlog",COUNTIF($A$2:$A371,"Backlog"),"")</f>
        <v/>
      </c>
    </row>
    <row r="372" spans="1:13">
      <c r="A372" t="str">
        <f>IF(AND('PO-Backlog'!B53&lt;&gt;"",'PO-Backlog'!E53&lt;&gt;""),'PO-Backlog'!E53,"")</f>
        <v/>
      </c>
      <c r="B372" t="str">
        <f>IF(AND('PO-Backlog'!B53&lt;&gt;"",'PO-Backlog'!E53&lt;&gt;""),'PO-Backlog'!B53,"")</f>
        <v/>
      </c>
      <c r="C372" t="str">
        <f>IF(AND('PO-Backlog'!B53&lt;&gt;"",'PO-Backlog'!E53&lt;&gt;""),'PO-Backlog'!C53,"")</f>
        <v/>
      </c>
      <c r="D372" t="str">
        <f>IF(AND('PO-Backlog'!B53&lt;&gt;"",'PO-Backlog'!E53&lt;&gt;""),'PO-Backlog'!D53,"")</f>
        <v/>
      </c>
      <c r="E372" t="str">
        <f>IF(AND('PO-Backlog'!B53&lt;&gt;"",'PO-Backlog'!E53&lt;&gt;""),'PO-Backlog'!H53,"")</f>
        <v/>
      </c>
      <c r="F372" t="str">
        <f>IF(AND('PO-Backlog'!B53&lt;&gt;"",'PO-Backlog'!E53&lt;&gt;""),'PO-Backlog'!F53,"")</f>
        <v/>
      </c>
      <c r="G372" t="str">
        <f>IF(AND('PO-Backlog'!B53&lt;&gt;"",'PO-Backlog'!E53&lt;&gt;""),'PO-Backlog'!G53,"")</f>
        <v/>
      </c>
      <c r="H372" t="str">
        <f>IF(AND('PO-Backlog'!B53&lt;&gt;"",'PO-Backlog'!E53&lt;&gt;""),"PO-Backlog","")</f>
        <v/>
      </c>
      <c r="I372" t="str">
        <f>IF(A372="Q12026",COUNTIF($A$2:$A372,"Q12026"),"")</f>
        <v/>
      </c>
      <c r="J372" t="str">
        <f>IF(A372="Q22026",COUNTIF($A$2:$A372,"Q22026"),"")</f>
        <v/>
      </c>
      <c r="K372" t="str">
        <f>IF(A372="Q32026",COUNTIF($A$2:$A372,"Q32026"),"")</f>
        <v/>
      </c>
      <c r="L372" t="str">
        <f>IF(A372="Q42026",COUNTIF($A$2:$A372,"Q42026"),"")</f>
        <v/>
      </c>
      <c r="M372" t="str">
        <f>IF(A372="Backlog",COUNTIF($A$2:$A372,"Backlog"),"")</f>
        <v/>
      </c>
    </row>
    <row r="373" spans="1:13">
      <c r="A373" t="str">
        <f>IF(AND('PO-Backlog'!B54&lt;&gt;"",'PO-Backlog'!E54&lt;&gt;""),'PO-Backlog'!E54,"")</f>
        <v/>
      </c>
      <c r="B373" t="str">
        <f>IF(AND('PO-Backlog'!B54&lt;&gt;"",'PO-Backlog'!E54&lt;&gt;""),'PO-Backlog'!B54,"")</f>
        <v/>
      </c>
      <c r="C373" t="str">
        <f>IF(AND('PO-Backlog'!B54&lt;&gt;"",'PO-Backlog'!E54&lt;&gt;""),'PO-Backlog'!C54,"")</f>
        <v/>
      </c>
      <c r="D373" t="str">
        <f>IF(AND('PO-Backlog'!B54&lt;&gt;"",'PO-Backlog'!E54&lt;&gt;""),'PO-Backlog'!D54,"")</f>
        <v/>
      </c>
      <c r="E373" t="str">
        <f>IF(AND('PO-Backlog'!B54&lt;&gt;"",'PO-Backlog'!E54&lt;&gt;""),'PO-Backlog'!H54,"")</f>
        <v/>
      </c>
      <c r="F373" t="str">
        <f>IF(AND('PO-Backlog'!B54&lt;&gt;"",'PO-Backlog'!E54&lt;&gt;""),'PO-Backlog'!F54,"")</f>
        <v/>
      </c>
      <c r="G373" t="str">
        <f>IF(AND('PO-Backlog'!B54&lt;&gt;"",'PO-Backlog'!E54&lt;&gt;""),'PO-Backlog'!G54,"")</f>
        <v/>
      </c>
      <c r="H373" t="str">
        <f>IF(AND('PO-Backlog'!B54&lt;&gt;"",'PO-Backlog'!E54&lt;&gt;""),"PO-Backlog","")</f>
        <v/>
      </c>
      <c r="I373" t="str">
        <f>IF(A373="Q12026",COUNTIF($A$2:$A373,"Q12026"),"")</f>
        <v/>
      </c>
      <c r="J373" t="str">
        <f>IF(A373="Q22026",COUNTIF($A$2:$A373,"Q22026"),"")</f>
        <v/>
      </c>
      <c r="K373" t="str">
        <f>IF(A373="Q32026",COUNTIF($A$2:$A373,"Q32026"),"")</f>
        <v/>
      </c>
      <c r="L373" t="str">
        <f>IF(A373="Q42026",COUNTIF($A$2:$A373,"Q42026"),"")</f>
        <v/>
      </c>
      <c r="M373" t="str">
        <f>IF(A373="Backlog",COUNTIF($A$2:$A373,"Backlog"),"")</f>
        <v/>
      </c>
    </row>
    <row r="374" spans="1:13">
      <c r="A374" t="str">
        <f>IF(AND('PO-Backlog'!B55&lt;&gt;"",'PO-Backlog'!E55&lt;&gt;""),'PO-Backlog'!E55,"")</f>
        <v/>
      </c>
      <c r="B374" t="str">
        <f>IF(AND('PO-Backlog'!B55&lt;&gt;"",'PO-Backlog'!E55&lt;&gt;""),'PO-Backlog'!B55,"")</f>
        <v/>
      </c>
      <c r="C374" t="str">
        <f>IF(AND('PO-Backlog'!B55&lt;&gt;"",'PO-Backlog'!E55&lt;&gt;""),'PO-Backlog'!C55,"")</f>
        <v/>
      </c>
      <c r="D374" t="str">
        <f>IF(AND('PO-Backlog'!B55&lt;&gt;"",'PO-Backlog'!E55&lt;&gt;""),'PO-Backlog'!D55,"")</f>
        <v/>
      </c>
      <c r="E374" t="str">
        <f>IF(AND('PO-Backlog'!B55&lt;&gt;"",'PO-Backlog'!E55&lt;&gt;""),'PO-Backlog'!H55,"")</f>
        <v/>
      </c>
      <c r="F374" t="str">
        <f>IF(AND('PO-Backlog'!B55&lt;&gt;"",'PO-Backlog'!E55&lt;&gt;""),'PO-Backlog'!F55,"")</f>
        <v/>
      </c>
      <c r="G374" t="str">
        <f>IF(AND('PO-Backlog'!B55&lt;&gt;"",'PO-Backlog'!E55&lt;&gt;""),'PO-Backlog'!G55,"")</f>
        <v/>
      </c>
      <c r="H374" t="str">
        <f>IF(AND('PO-Backlog'!B55&lt;&gt;"",'PO-Backlog'!E55&lt;&gt;""),"PO-Backlog","")</f>
        <v/>
      </c>
      <c r="I374" t="str">
        <f>IF(A374="Q12026",COUNTIF($A$2:$A374,"Q12026"),"")</f>
        <v/>
      </c>
      <c r="J374" t="str">
        <f>IF(A374="Q22026",COUNTIF($A$2:$A374,"Q22026"),"")</f>
        <v/>
      </c>
      <c r="K374" t="str">
        <f>IF(A374="Q32026",COUNTIF($A$2:$A374,"Q32026"),"")</f>
        <v/>
      </c>
      <c r="L374" t="str">
        <f>IF(A374="Q42026",COUNTIF($A$2:$A374,"Q42026"),"")</f>
        <v/>
      </c>
      <c r="M374" t="str">
        <f>IF(A374="Backlog",COUNTIF($A$2:$A374,"Backlog"),"")</f>
        <v/>
      </c>
    </row>
    <row r="375" spans="1:13">
      <c r="A375" t="str">
        <f>IF(AND('PO-Backlog'!B56&lt;&gt;"",'PO-Backlog'!E56&lt;&gt;""),'PO-Backlog'!E56,"")</f>
        <v/>
      </c>
      <c r="B375" t="str">
        <f>IF(AND('PO-Backlog'!B56&lt;&gt;"",'PO-Backlog'!E56&lt;&gt;""),'PO-Backlog'!B56,"")</f>
        <v/>
      </c>
      <c r="C375" t="str">
        <f>IF(AND('PO-Backlog'!B56&lt;&gt;"",'PO-Backlog'!E56&lt;&gt;""),'PO-Backlog'!C56,"")</f>
        <v/>
      </c>
      <c r="D375" t="str">
        <f>IF(AND('PO-Backlog'!B56&lt;&gt;"",'PO-Backlog'!E56&lt;&gt;""),'PO-Backlog'!D56,"")</f>
        <v/>
      </c>
      <c r="E375" t="str">
        <f>IF(AND('PO-Backlog'!B56&lt;&gt;"",'PO-Backlog'!E56&lt;&gt;""),'PO-Backlog'!H56,"")</f>
        <v/>
      </c>
      <c r="F375" t="str">
        <f>IF(AND('PO-Backlog'!B56&lt;&gt;"",'PO-Backlog'!E56&lt;&gt;""),'PO-Backlog'!F56,"")</f>
        <v/>
      </c>
      <c r="G375" t="str">
        <f>IF(AND('PO-Backlog'!B56&lt;&gt;"",'PO-Backlog'!E56&lt;&gt;""),'PO-Backlog'!G56,"")</f>
        <v/>
      </c>
      <c r="H375" t="str">
        <f>IF(AND('PO-Backlog'!B56&lt;&gt;"",'PO-Backlog'!E56&lt;&gt;""),"PO-Backlog","")</f>
        <v/>
      </c>
      <c r="I375" t="str">
        <f>IF(A375="Q12026",COUNTIF($A$2:$A375,"Q12026"),"")</f>
        <v/>
      </c>
      <c r="J375" t="str">
        <f>IF(A375="Q22026",COUNTIF($A$2:$A375,"Q22026"),"")</f>
        <v/>
      </c>
      <c r="K375" t="str">
        <f>IF(A375="Q32026",COUNTIF($A$2:$A375,"Q32026"),"")</f>
        <v/>
      </c>
      <c r="L375" t="str">
        <f>IF(A375="Q42026",COUNTIF($A$2:$A375,"Q42026"),"")</f>
        <v/>
      </c>
      <c r="M375" t="str">
        <f>IF(A375="Backlog",COUNTIF($A$2:$A375,"Backlog"),"")</f>
        <v/>
      </c>
    </row>
    <row r="376" spans="1:13">
      <c r="A376" t="str">
        <f>IF(AND('PO-Backlog'!B57&lt;&gt;"",'PO-Backlog'!E57&lt;&gt;""),'PO-Backlog'!E57,"")</f>
        <v/>
      </c>
      <c r="B376" t="str">
        <f>IF(AND('PO-Backlog'!B57&lt;&gt;"",'PO-Backlog'!E57&lt;&gt;""),'PO-Backlog'!B57,"")</f>
        <v/>
      </c>
      <c r="C376" t="str">
        <f>IF(AND('PO-Backlog'!B57&lt;&gt;"",'PO-Backlog'!E57&lt;&gt;""),'PO-Backlog'!C57,"")</f>
        <v/>
      </c>
      <c r="D376" t="str">
        <f>IF(AND('PO-Backlog'!B57&lt;&gt;"",'PO-Backlog'!E57&lt;&gt;""),'PO-Backlog'!D57,"")</f>
        <v/>
      </c>
      <c r="E376" t="str">
        <f>IF(AND('PO-Backlog'!B57&lt;&gt;"",'PO-Backlog'!E57&lt;&gt;""),'PO-Backlog'!H57,"")</f>
        <v/>
      </c>
      <c r="F376" t="str">
        <f>IF(AND('PO-Backlog'!B57&lt;&gt;"",'PO-Backlog'!E57&lt;&gt;""),'PO-Backlog'!F57,"")</f>
        <v/>
      </c>
      <c r="G376" t="str">
        <f>IF(AND('PO-Backlog'!B57&lt;&gt;"",'PO-Backlog'!E57&lt;&gt;""),'PO-Backlog'!G57,"")</f>
        <v/>
      </c>
      <c r="H376" t="str">
        <f>IF(AND('PO-Backlog'!B57&lt;&gt;"",'PO-Backlog'!E57&lt;&gt;""),"PO-Backlog","")</f>
        <v/>
      </c>
      <c r="I376" t="str">
        <f>IF(A376="Q12026",COUNTIF($A$2:$A376,"Q12026"),"")</f>
        <v/>
      </c>
      <c r="J376" t="str">
        <f>IF(A376="Q22026",COUNTIF($A$2:$A376,"Q22026"),"")</f>
        <v/>
      </c>
      <c r="K376" t="str">
        <f>IF(A376="Q32026",COUNTIF($A$2:$A376,"Q32026"),"")</f>
        <v/>
      </c>
      <c r="L376" t="str">
        <f>IF(A376="Q42026",COUNTIF($A$2:$A376,"Q42026"),"")</f>
        <v/>
      </c>
      <c r="M376" t="str">
        <f>IF(A376="Backlog",COUNTIF($A$2:$A376,"Backlog"),"")</f>
        <v/>
      </c>
    </row>
    <row r="377" spans="1:13">
      <c r="A377" t="str">
        <f>IF(AND('PO-Backlog'!B58&lt;&gt;"",'PO-Backlog'!E58&lt;&gt;""),'PO-Backlog'!E58,"")</f>
        <v/>
      </c>
      <c r="B377" t="str">
        <f>IF(AND('PO-Backlog'!B58&lt;&gt;"",'PO-Backlog'!E58&lt;&gt;""),'PO-Backlog'!B58,"")</f>
        <v/>
      </c>
      <c r="C377" t="str">
        <f>IF(AND('PO-Backlog'!B58&lt;&gt;"",'PO-Backlog'!E58&lt;&gt;""),'PO-Backlog'!C58,"")</f>
        <v/>
      </c>
      <c r="D377" t="str">
        <f>IF(AND('PO-Backlog'!B58&lt;&gt;"",'PO-Backlog'!E58&lt;&gt;""),'PO-Backlog'!D58,"")</f>
        <v/>
      </c>
      <c r="E377" t="str">
        <f>IF(AND('PO-Backlog'!B58&lt;&gt;"",'PO-Backlog'!E58&lt;&gt;""),'PO-Backlog'!H58,"")</f>
        <v/>
      </c>
      <c r="F377" t="str">
        <f>IF(AND('PO-Backlog'!B58&lt;&gt;"",'PO-Backlog'!E58&lt;&gt;""),'PO-Backlog'!F58,"")</f>
        <v/>
      </c>
      <c r="G377" t="str">
        <f>IF(AND('PO-Backlog'!B58&lt;&gt;"",'PO-Backlog'!E58&lt;&gt;""),'PO-Backlog'!G58,"")</f>
        <v/>
      </c>
      <c r="H377" t="str">
        <f>IF(AND('PO-Backlog'!B58&lt;&gt;"",'PO-Backlog'!E58&lt;&gt;""),"PO-Backlog","")</f>
        <v/>
      </c>
      <c r="I377" t="str">
        <f>IF(A377="Q12026",COUNTIF($A$2:$A377,"Q12026"),"")</f>
        <v/>
      </c>
      <c r="J377" t="str">
        <f>IF(A377="Q22026",COUNTIF($A$2:$A377,"Q22026"),"")</f>
        <v/>
      </c>
      <c r="K377" t="str">
        <f>IF(A377="Q32026",COUNTIF($A$2:$A377,"Q32026"),"")</f>
        <v/>
      </c>
      <c r="L377" t="str">
        <f>IF(A377="Q42026",COUNTIF($A$2:$A377,"Q42026"),"")</f>
        <v/>
      </c>
      <c r="M377" t="str">
        <f>IF(A377="Backlog",COUNTIF($A$2:$A377,"Backlog"),"")</f>
        <v/>
      </c>
    </row>
    <row r="378" spans="1:13">
      <c r="A378" t="str">
        <f>IF(AND('PO-Backlog'!B59&lt;&gt;"",'PO-Backlog'!E59&lt;&gt;""),'PO-Backlog'!E59,"")</f>
        <v/>
      </c>
      <c r="B378" t="str">
        <f>IF(AND('PO-Backlog'!B59&lt;&gt;"",'PO-Backlog'!E59&lt;&gt;""),'PO-Backlog'!B59,"")</f>
        <v/>
      </c>
      <c r="C378" t="str">
        <f>IF(AND('PO-Backlog'!B59&lt;&gt;"",'PO-Backlog'!E59&lt;&gt;""),'PO-Backlog'!C59,"")</f>
        <v/>
      </c>
      <c r="D378" t="str">
        <f>IF(AND('PO-Backlog'!B59&lt;&gt;"",'PO-Backlog'!E59&lt;&gt;""),'PO-Backlog'!D59,"")</f>
        <v/>
      </c>
      <c r="E378" t="str">
        <f>IF(AND('PO-Backlog'!B59&lt;&gt;"",'PO-Backlog'!E59&lt;&gt;""),'PO-Backlog'!H59,"")</f>
        <v/>
      </c>
      <c r="F378" t="str">
        <f>IF(AND('PO-Backlog'!B59&lt;&gt;"",'PO-Backlog'!E59&lt;&gt;""),'PO-Backlog'!F59,"")</f>
        <v/>
      </c>
      <c r="G378" t="str">
        <f>IF(AND('PO-Backlog'!B59&lt;&gt;"",'PO-Backlog'!E59&lt;&gt;""),'PO-Backlog'!G59,"")</f>
        <v/>
      </c>
      <c r="H378" t="str">
        <f>IF(AND('PO-Backlog'!B59&lt;&gt;"",'PO-Backlog'!E59&lt;&gt;""),"PO-Backlog","")</f>
        <v/>
      </c>
      <c r="I378" t="str">
        <f>IF(A378="Q12026",COUNTIF($A$2:$A378,"Q12026"),"")</f>
        <v/>
      </c>
      <c r="J378" t="str">
        <f>IF(A378="Q22026",COUNTIF($A$2:$A378,"Q22026"),"")</f>
        <v/>
      </c>
      <c r="K378" t="str">
        <f>IF(A378="Q32026",COUNTIF($A$2:$A378,"Q32026"),"")</f>
        <v/>
      </c>
      <c r="L378" t="str">
        <f>IF(A378="Q42026",COUNTIF($A$2:$A378,"Q42026"),"")</f>
        <v/>
      </c>
      <c r="M378" t="str">
        <f>IF(A378="Backlog",COUNTIF($A$2:$A378,"Backlog"),"")</f>
        <v/>
      </c>
    </row>
    <row r="379" spans="1:13">
      <c r="A379" t="str">
        <f>IF(AND('PO-Backlog'!B60&lt;&gt;"",'PO-Backlog'!E60&lt;&gt;""),'PO-Backlog'!E60,"")</f>
        <v/>
      </c>
      <c r="B379" t="str">
        <f>IF(AND('PO-Backlog'!B60&lt;&gt;"",'PO-Backlog'!E60&lt;&gt;""),'PO-Backlog'!B60,"")</f>
        <v/>
      </c>
      <c r="C379" t="str">
        <f>IF(AND('PO-Backlog'!B60&lt;&gt;"",'PO-Backlog'!E60&lt;&gt;""),'PO-Backlog'!C60,"")</f>
        <v/>
      </c>
      <c r="D379" t="str">
        <f>IF(AND('PO-Backlog'!B60&lt;&gt;"",'PO-Backlog'!E60&lt;&gt;""),'PO-Backlog'!D60,"")</f>
        <v/>
      </c>
      <c r="E379" t="str">
        <f>IF(AND('PO-Backlog'!B60&lt;&gt;"",'PO-Backlog'!E60&lt;&gt;""),'PO-Backlog'!H60,"")</f>
        <v/>
      </c>
      <c r="F379" t="str">
        <f>IF(AND('PO-Backlog'!B60&lt;&gt;"",'PO-Backlog'!E60&lt;&gt;""),'PO-Backlog'!F60,"")</f>
        <v/>
      </c>
      <c r="G379" t="str">
        <f>IF(AND('PO-Backlog'!B60&lt;&gt;"",'PO-Backlog'!E60&lt;&gt;""),'PO-Backlog'!G60,"")</f>
        <v/>
      </c>
      <c r="H379" t="str">
        <f>IF(AND('PO-Backlog'!B60&lt;&gt;"",'PO-Backlog'!E60&lt;&gt;""),"PO-Backlog","")</f>
        <v/>
      </c>
      <c r="I379" t="str">
        <f>IF(A379="Q12026",COUNTIF($A$2:$A379,"Q12026"),"")</f>
        <v/>
      </c>
      <c r="J379" t="str">
        <f>IF(A379="Q22026",COUNTIF($A$2:$A379,"Q22026"),"")</f>
        <v/>
      </c>
      <c r="K379" t="str">
        <f>IF(A379="Q32026",COUNTIF($A$2:$A379,"Q32026"),"")</f>
        <v/>
      </c>
      <c r="L379" t="str">
        <f>IF(A379="Q42026",COUNTIF($A$2:$A379,"Q42026"),"")</f>
        <v/>
      </c>
      <c r="M379" t="str">
        <f>IF(A379="Backlog",COUNTIF($A$2:$A379,"Backlog"),"")</f>
        <v/>
      </c>
    </row>
    <row r="380" spans="1:13">
      <c r="A380" t="str">
        <f>IF(AND('PO-Backlog'!B61&lt;&gt;"",'PO-Backlog'!E61&lt;&gt;""),'PO-Backlog'!E61,"")</f>
        <v/>
      </c>
      <c r="B380" t="str">
        <f>IF(AND('PO-Backlog'!B61&lt;&gt;"",'PO-Backlog'!E61&lt;&gt;""),'PO-Backlog'!B61,"")</f>
        <v/>
      </c>
      <c r="C380" t="str">
        <f>IF(AND('PO-Backlog'!B61&lt;&gt;"",'PO-Backlog'!E61&lt;&gt;""),'PO-Backlog'!C61,"")</f>
        <v/>
      </c>
      <c r="D380" t="str">
        <f>IF(AND('PO-Backlog'!B61&lt;&gt;"",'PO-Backlog'!E61&lt;&gt;""),'PO-Backlog'!D61,"")</f>
        <v/>
      </c>
      <c r="E380" t="str">
        <f>IF(AND('PO-Backlog'!B61&lt;&gt;"",'PO-Backlog'!E61&lt;&gt;""),'PO-Backlog'!H61,"")</f>
        <v/>
      </c>
      <c r="F380" t="str">
        <f>IF(AND('PO-Backlog'!B61&lt;&gt;"",'PO-Backlog'!E61&lt;&gt;""),'PO-Backlog'!F61,"")</f>
        <v/>
      </c>
      <c r="G380" t="str">
        <f>IF(AND('PO-Backlog'!B61&lt;&gt;"",'PO-Backlog'!E61&lt;&gt;""),'PO-Backlog'!G61,"")</f>
        <v/>
      </c>
      <c r="H380" t="str">
        <f>IF(AND('PO-Backlog'!B61&lt;&gt;"",'PO-Backlog'!E61&lt;&gt;""),"PO-Backlog","")</f>
        <v/>
      </c>
      <c r="I380" t="str">
        <f>IF(A380="Q12026",COUNTIF($A$2:$A380,"Q12026"),"")</f>
        <v/>
      </c>
      <c r="J380" t="str">
        <f>IF(A380="Q22026",COUNTIF($A$2:$A380,"Q22026"),"")</f>
        <v/>
      </c>
      <c r="K380" t="str">
        <f>IF(A380="Q32026",COUNTIF($A$2:$A380,"Q32026"),"")</f>
        <v/>
      </c>
      <c r="L380" t="str">
        <f>IF(A380="Q42026",COUNTIF($A$2:$A380,"Q42026"),"")</f>
        <v/>
      </c>
      <c r="M380" t="str">
        <f>IF(A380="Backlog",COUNTIF($A$2:$A380,"Backlog"),"")</f>
        <v/>
      </c>
    </row>
    <row r="381" spans="1:13">
      <c r="A381" t="str">
        <f>IF(AND('PO-Backlog'!B62&lt;&gt;"",'PO-Backlog'!E62&lt;&gt;""),'PO-Backlog'!E62,"")</f>
        <v/>
      </c>
      <c r="B381" t="str">
        <f>IF(AND('PO-Backlog'!B62&lt;&gt;"",'PO-Backlog'!E62&lt;&gt;""),'PO-Backlog'!B62,"")</f>
        <v/>
      </c>
      <c r="C381" t="str">
        <f>IF(AND('PO-Backlog'!B62&lt;&gt;"",'PO-Backlog'!E62&lt;&gt;""),'PO-Backlog'!C62,"")</f>
        <v/>
      </c>
      <c r="D381" t="str">
        <f>IF(AND('PO-Backlog'!B62&lt;&gt;"",'PO-Backlog'!E62&lt;&gt;""),'PO-Backlog'!D62,"")</f>
        <v/>
      </c>
      <c r="E381" t="str">
        <f>IF(AND('PO-Backlog'!B62&lt;&gt;"",'PO-Backlog'!E62&lt;&gt;""),'PO-Backlog'!H62,"")</f>
        <v/>
      </c>
      <c r="F381" t="str">
        <f>IF(AND('PO-Backlog'!B62&lt;&gt;"",'PO-Backlog'!E62&lt;&gt;""),'PO-Backlog'!F62,"")</f>
        <v/>
      </c>
      <c r="G381" t="str">
        <f>IF(AND('PO-Backlog'!B62&lt;&gt;"",'PO-Backlog'!E62&lt;&gt;""),'PO-Backlog'!G62,"")</f>
        <v/>
      </c>
      <c r="H381" t="str">
        <f>IF(AND('PO-Backlog'!B62&lt;&gt;"",'PO-Backlog'!E62&lt;&gt;""),"PO-Backlog","")</f>
        <v/>
      </c>
      <c r="I381" t="str">
        <f>IF(A381="Q12026",COUNTIF($A$2:$A381,"Q12026"),"")</f>
        <v/>
      </c>
      <c r="J381" t="str">
        <f>IF(A381="Q22026",COUNTIF($A$2:$A381,"Q22026"),"")</f>
        <v/>
      </c>
      <c r="K381" t="str">
        <f>IF(A381="Q32026",COUNTIF($A$2:$A381,"Q32026"),"")</f>
        <v/>
      </c>
      <c r="L381" t="str">
        <f>IF(A381="Q42026",COUNTIF($A$2:$A381,"Q42026"),"")</f>
        <v/>
      </c>
      <c r="M381" t="str">
        <f>IF(A381="Backlog",COUNTIF($A$2:$A381,"Backlog"),"")</f>
        <v/>
      </c>
    </row>
    <row r="382" spans="1:13">
      <c r="A382" t="str">
        <f>IF(AND('PO-Backlog'!B63&lt;&gt;"",'PO-Backlog'!E63&lt;&gt;""),'PO-Backlog'!E63,"")</f>
        <v/>
      </c>
      <c r="B382" t="str">
        <f>IF(AND('PO-Backlog'!B63&lt;&gt;"",'PO-Backlog'!E63&lt;&gt;""),'PO-Backlog'!B63,"")</f>
        <v/>
      </c>
      <c r="C382" t="str">
        <f>IF(AND('PO-Backlog'!B63&lt;&gt;"",'PO-Backlog'!E63&lt;&gt;""),'PO-Backlog'!C63,"")</f>
        <v/>
      </c>
      <c r="D382" t="str">
        <f>IF(AND('PO-Backlog'!B63&lt;&gt;"",'PO-Backlog'!E63&lt;&gt;""),'PO-Backlog'!D63,"")</f>
        <v/>
      </c>
      <c r="E382" t="str">
        <f>IF(AND('PO-Backlog'!B63&lt;&gt;"",'PO-Backlog'!E63&lt;&gt;""),'PO-Backlog'!H63,"")</f>
        <v/>
      </c>
      <c r="F382" t="str">
        <f>IF(AND('PO-Backlog'!B63&lt;&gt;"",'PO-Backlog'!E63&lt;&gt;""),'PO-Backlog'!F63,"")</f>
        <v/>
      </c>
      <c r="G382" t="str">
        <f>IF(AND('PO-Backlog'!B63&lt;&gt;"",'PO-Backlog'!E63&lt;&gt;""),'PO-Backlog'!G63,"")</f>
        <v/>
      </c>
      <c r="H382" t="str">
        <f>IF(AND('PO-Backlog'!B63&lt;&gt;"",'PO-Backlog'!E63&lt;&gt;""),"PO-Backlog","")</f>
        <v/>
      </c>
      <c r="I382" t="str">
        <f>IF(A382="Q12026",COUNTIF($A$2:$A382,"Q12026"),"")</f>
        <v/>
      </c>
      <c r="J382" t="str">
        <f>IF(A382="Q22026",COUNTIF($A$2:$A382,"Q22026"),"")</f>
        <v/>
      </c>
      <c r="K382" t="str">
        <f>IF(A382="Q32026",COUNTIF($A$2:$A382,"Q32026"),"")</f>
        <v/>
      </c>
      <c r="L382" t="str">
        <f>IF(A382="Q42026",COUNTIF($A$2:$A382,"Q42026"),"")</f>
        <v/>
      </c>
      <c r="M382" t="str">
        <f>IF(A382="Backlog",COUNTIF($A$2:$A382,"Backlog"),"")</f>
        <v/>
      </c>
    </row>
    <row r="383" spans="1:13">
      <c r="A383" t="str">
        <f>IF(AND('PO-Backlog'!B64&lt;&gt;"",'PO-Backlog'!E64&lt;&gt;""),'PO-Backlog'!E64,"")</f>
        <v/>
      </c>
      <c r="B383" t="str">
        <f>IF(AND('PO-Backlog'!B64&lt;&gt;"",'PO-Backlog'!E64&lt;&gt;""),'PO-Backlog'!B64,"")</f>
        <v/>
      </c>
      <c r="C383" t="str">
        <f>IF(AND('PO-Backlog'!B64&lt;&gt;"",'PO-Backlog'!E64&lt;&gt;""),'PO-Backlog'!C64,"")</f>
        <v/>
      </c>
      <c r="D383" t="str">
        <f>IF(AND('PO-Backlog'!B64&lt;&gt;"",'PO-Backlog'!E64&lt;&gt;""),'PO-Backlog'!D64,"")</f>
        <v/>
      </c>
      <c r="E383" t="str">
        <f>IF(AND('PO-Backlog'!B64&lt;&gt;"",'PO-Backlog'!E64&lt;&gt;""),'PO-Backlog'!H64,"")</f>
        <v/>
      </c>
      <c r="F383" t="str">
        <f>IF(AND('PO-Backlog'!B64&lt;&gt;"",'PO-Backlog'!E64&lt;&gt;""),'PO-Backlog'!F64,"")</f>
        <v/>
      </c>
      <c r="G383" t="str">
        <f>IF(AND('PO-Backlog'!B64&lt;&gt;"",'PO-Backlog'!E64&lt;&gt;""),'PO-Backlog'!G64,"")</f>
        <v/>
      </c>
      <c r="H383" t="str">
        <f>IF(AND('PO-Backlog'!B64&lt;&gt;"",'PO-Backlog'!E64&lt;&gt;""),"PO-Backlog","")</f>
        <v/>
      </c>
      <c r="I383" t="str">
        <f>IF(A383="Q12026",COUNTIF($A$2:$A383,"Q12026"),"")</f>
        <v/>
      </c>
      <c r="J383" t="str">
        <f>IF(A383="Q22026",COUNTIF($A$2:$A383,"Q22026"),"")</f>
        <v/>
      </c>
      <c r="K383" t="str">
        <f>IF(A383="Q32026",COUNTIF($A$2:$A383,"Q32026"),"")</f>
        <v/>
      </c>
      <c r="L383" t="str">
        <f>IF(A383="Q42026",COUNTIF($A$2:$A383,"Q42026"),"")</f>
        <v/>
      </c>
      <c r="M383" t="str">
        <f>IF(A383="Backlog",COUNTIF($A$2:$A383,"Backlog"),"")</f>
        <v/>
      </c>
    </row>
    <row r="384" spans="1:13">
      <c r="A384" t="str">
        <f>IF(AND('PO-Backlog'!B65&lt;&gt;"",'PO-Backlog'!E65&lt;&gt;""),'PO-Backlog'!E65,"")</f>
        <v/>
      </c>
      <c r="B384" t="str">
        <f>IF(AND('PO-Backlog'!B65&lt;&gt;"",'PO-Backlog'!E65&lt;&gt;""),'PO-Backlog'!B65,"")</f>
        <v/>
      </c>
      <c r="C384" t="str">
        <f>IF(AND('PO-Backlog'!B65&lt;&gt;"",'PO-Backlog'!E65&lt;&gt;""),'PO-Backlog'!C65,"")</f>
        <v/>
      </c>
      <c r="D384" t="str">
        <f>IF(AND('PO-Backlog'!B65&lt;&gt;"",'PO-Backlog'!E65&lt;&gt;""),'PO-Backlog'!D65,"")</f>
        <v/>
      </c>
      <c r="E384" t="str">
        <f>IF(AND('PO-Backlog'!B65&lt;&gt;"",'PO-Backlog'!E65&lt;&gt;""),'PO-Backlog'!H65,"")</f>
        <v/>
      </c>
      <c r="F384" t="str">
        <f>IF(AND('PO-Backlog'!B65&lt;&gt;"",'PO-Backlog'!E65&lt;&gt;""),'PO-Backlog'!F65,"")</f>
        <v/>
      </c>
      <c r="G384" t="str">
        <f>IF(AND('PO-Backlog'!B65&lt;&gt;"",'PO-Backlog'!E65&lt;&gt;""),'PO-Backlog'!G65,"")</f>
        <v/>
      </c>
      <c r="H384" t="str">
        <f>IF(AND('PO-Backlog'!B65&lt;&gt;"",'PO-Backlog'!E65&lt;&gt;""),"PO-Backlog","")</f>
        <v/>
      </c>
      <c r="I384" t="str">
        <f>IF(A384="Q12026",COUNTIF($A$2:$A384,"Q12026"),"")</f>
        <v/>
      </c>
      <c r="J384" t="str">
        <f>IF(A384="Q22026",COUNTIF($A$2:$A384,"Q22026"),"")</f>
        <v/>
      </c>
      <c r="K384" t="str">
        <f>IF(A384="Q32026",COUNTIF($A$2:$A384,"Q32026"),"")</f>
        <v/>
      </c>
      <c r="L384" t="str">
        <f>IF(A384="Q42026",COUNTIF($A$2:$A384,"Q42026"),"")</f>
        <v/>
      </c>
      <c r="M384" t="str">
        <f>IF(A384="Backlog",COUNTIF($A$2:$A384,"Backlog"),"")</f>
        <v/>
      </c>
    </row>
    <row r="385" spans="1:13">
      <c r="A385" t="str">
        <f>IF(AND('PO-Backlog'!B66&lt;&gt;"",'PO-Backlog'!E66&lt;&gt;""),'PO-Backlog'!E66,"")</f>
        <v/>
      </c>
      <c r="B385" t="str">
        <f>IF(AND('PO-Backlog'!B66&lt;&gt;"",'PO-Backlog'!E66&lt;&gt;""),'PO-Backlog'!B66,"")</f>
        <v/>
      </c>
      <c r="C385" t="str">
        <f>IF(AND('PO-Backlog'!B66&lt;&gt;"",'PO-Backlog'!E66&lt;&gt;""),'PO-Backlog'!C66,"")</f>
        <v/>
      </c>
      <c r="D385" t="str">
        <f>IF(AND('PO-Backlog'!B66&lt;&gt;"",'PO-Backlog'!E66&lt;&gt;""),'PO-Backlog'!D66,"")</f>
        <v/>
      </c>
      <c r="E385" t="str">
        <f>IF(AND('PO-Backlog'!B66&lt;&gt;"",'PO-Backlog'!E66&lt;&gt;""),'PO-Backlog'!H66,"")</f>
        <v/>
      </c>
      <c r="F385" t="str">
        <f>IF(AND('PO-Backlog'!B66&lt;&gt;"",'PO-Backlog'!E66&lt;&gt;""),'PO-Backlog'!F66,"")</f>
        <v/>
      </c>
      <c r="G385" t="str">
        <f>IF(AND('PO-Backlog'!B66&lt;&gt;"",'PO-Backlog'!E66&lt;&gt;""),'PO-Backlog'!G66,"")</f>
        <v/>
      </c>
      <c r="H385" t="str">
        <f>IF(AND('PO-Backlog'!B66&lt;&gt;"",'PO-Backlog'!E66&lt;&gt;""),"PO-Backlog","")</f>
        <v/>
      </c>
      <c r="I385" t="str">
        <f>IF(A385="Q12026",COUNTIF($A$2:$A385,"Q12026"),"")</f>
        <v/>
      </c>
      <c r="J385" t="str">
        <f>IF(A385="Q22026",COUNTIF($A$2:$A385,"Q22026"),"")</f>
        <v/>
      </c>
      <c r="K385" t="str">
        <f>IF(A385="Q32026",COUNTIF($A$2:$A385,"Q32026"),"")</f>
        <v/>
      </c>
      <c r="L385" t="str">
        <f>IF(A385="Q42026",COUNTIF($A$2:$A385,"Q42026"),"")</f>
        <v/>
      </c>
      <c r="M385" t="str">
        <f>IF(A385="Backlog",COUNTIF($A$2:$A385,"Backlog"),"")</f>
        <v/>
      </c>
    </row>
    <row r="386" spans="1:13">
      <c r="A386" t="str">
        <f>IF(AND('PO-Backlog'!B67&lt;&gt;"",'PO-Backlog'!E67&lt;&gt;""),'PO-Backlog'!E67,"")</f>
        <v/>
      </c>
      <c r="B386" t="str">
        <f>IF(AND('PO-Backlog'!B67&lt;&gt;"",'PO-Backlog'!E67&lt;&gt;""),'PO-Backlog'!B67,"")</f>
        <v/>
      </c>
      <c r="C386" t="str">
        <f>IF(AND('PO-Backlog'!B67&lt;&gt;"",'PO-Backlog'!E67&lt;&gt;""),'PO-Backlog'!C67,"")</f>
        <v/>
      </c>
      <c r="D386" t="str">
        <f>IF(AND('PO-Backlog'!B67&lt;&gt;"",'PO-Backlog'!E67&lt;&gt;""),'PO-Backlog'!D67,"")</f>
        <v/>
      </c>
      <c r="E386" t="str">
        <f>IF(AND('PO-Backlog'!B67&lt;&gt;"",'PO-Backlog'!E67&lt;&gt;""),'PO-Backlog'!H67,"")</f>
        <v/>
      </c>
      <c r="F386" t="str">
        <f>IF(AND('PO-Backlog'!B67&lt;&gt;"",'PO-Backlog'!E67&lt;&gt;""),'PO-Backlog'!F67,"")</f>
        <v/>
      </c>
      <c r="G386" t="str">
        <f>IF(AND('PO-Backlog'!B67&lt;&gt;"",'PO-Backlog'!E67&lt;&gt;""),'PO-Backlog'!G67,"")</f>
        <v/>
      </c>
      <c r="H386" t="str">
        <f>IF(AND('PO-Backlog'!B67&lt;&gt;"",'PO-Backlog'!E67&lt;&gt;""),"PO-Backlog","")</f>
        <v/>
      </c>
      <c r="I386" t="str">
        <f>IF(A386="Q12026",COUNTIF($A$2:$A386,"Q12026"),"")</f>
        <v/>
      </c>
      <c r="J386" t="str">
        <f>IF(A386="Q22026",COUNTIF($A$2:$A386,"Q22026"),"")</f>
        <v/>
      </c>
      <c r="K386" t="str">
        <f>IF(A386="Q32026",COUNTIF($A$2:$A386,"Q32026"),"")</f>
        <v/>
      </c>
      <c r="L386" t="str">
        <f>IF(A386="Q42026",COUNTIF($A$2:$A386,"Q42026"),"")</f>
        <v/>
      </c>
      <c r="M386" t="str">
        <f>IF(A386="Backlog",COUNTIF($A$2:$A386,"Backlog"),"")</f>
        <v/>
      </c>
    </row>
    <row r="387" spans="1:13">
      <c r="A387" t="str">
        <f>IF(AND('PO-Backlog'!B68&lt;&gt;"",'PO-Backlog'!E68&lt;&gt;""),'PO-Backlog'!E68,"")</f>
        <v/>
      </c>
      <c r="B387" t="str">
        <f>IF(AND('PO-Backlog'!B68&lt;&gt;"",'PO-Backlog'!E68&lt;&gt;""),'PO-Backlog'!B68,"")</f>
        <v/>
      </c>
      <c r="C387" t="str">
        <f>IF(AND('PO-Backlog'!B68&lt;&gt;"",'PO-Backlog'!E68&lt;&gt;""),'PO-Backlog'!C68,"")</f>
        <v/>
      </c>
      <c r="D387" t="str">
        <f>IF(AND('PO-Backlog'!B68&lt;&gt;"",'PO-Backlog'!E68&lt;&gt;""),'PO-Backlog'!D68,"")</f>
        <v/>
      </c>
      <c r="E387" t="str">
        <f>IF(AND('PO-Backlog'!B68&lt;&gt;"",'PO-Backlog'!E68&lt;&gt;""),'PO-Backlog'!H68,"")</f>
        <v/>
      </c>
      <c r="F387" t="str">
        <f>IF(AND('PO-Backlog'!B68&lt;&gt;"",'PO-Backlog'!E68&lt;&gt;""),'PO-Backlog'!F68,"")</f>
        <v/>
      </c>
      <c r="G387" t="str">
        <f>IF(AND('PO-Backlog'!B68&lt;&gt;"",'PO-Backlog'!E68&lt;&gt;""),'PO-Backlog'!G68,"")</f>
        <v/>
      </c>
      <c r="H387" t="str">
        <f>IF(AND('PO-Backlog'!B68&lt;&gt;"",'PO-Backlog'!E68&lt;&gt;""),"PO-Backlog","")</f>
        <v/>
      </c>
      <c r="I387" t="str">
        <f>IF(A387="Q12026",COUNTIF($A$2:$A387,"Q12026"),"")</f>
        <v/>
      </c>
      <c r="J387" t="str">
        <f>IF(A387="Q22026",COUNTIF($A$2:$A387,"Q22026"),"")</f>
        <v/>
      </c>
      <c r="K387" t="str">
        <f>IF(A387="Q32026",COUNTIF($A$2:$A387,"Q32026"),"")</f>
        <v/>
      </c>
      <c r="L387" t="str">
        <f>IF(A387="Q42026",COUNTIF($A$2:$A387,"Q42026"),"")</f>
        <v/>
      </c>
      <c r="M387" t="str">
        <f>IF(A387="Backlog",COUNTIF($A$2:$A387,"Backlog"),"")</f>
        <v/>
      </c>
    </row>
    <row r="388" spans="1:13">
      <c r="A388" t="str">
        <f>IF(AND('PO-Backlog'!B69&lt;&gt;"",'PO-Backlog'!E69&lt;&gt;""),'PO-Backlog'!E69,"")</f>
        <v/>
      </c>
      <c r="B388" t="str">
        <f>IF(AND('PO-Backlog'!B69&lt;&gt;"",'PO-Backlog'!E69&lt;&gt;""),'PO-Backlog'!B69,"")</f>
        <v/>
      </c>
      <c r="C388" t="str">
        <f>IF(AND('PO-Backlog'!B69&lt;&gt;"",'PO-Backlog'!E69&lt;&gt;""),'PO-Backlog'!C69,"")</f>
        <v/>
      </c>
      <c r="D388" t="str">
        <f>IF(AND('PO-Backlog'!B69&lt;&gt;"",'PO-Backlog'!E69&lt;&gt;""),'PO-Backlog'!D69,"")</f>
        <v/>
      </c>
      <c r="E388" t="str">
        <f>IF(AND('PO-Backlog'!B69&lt;&gt;"",'PO-Backlog'!E69&lt;&gt;""),'PO-Backlog'!H69,"")</f>
        <v/>
      </c>
      <c r="F388" t="str">
        <f>IF(AND('PO-Backlog'!B69&lt;&gt;"",'PO-Backlog'!E69&lt;&gt;""),'PO-Backlog'!F69,"")</f>
        <v/>
      </c>
      <c r="G388" t="str">
        <f>IF(AND('PO-Backlog'!B69&lt;&gt;"",'PO-Backlog'!E69&lt;&gt;""),'PO-Backlog'!G69,"")</f>
        <v/>
      </c>
      <c r="H388" t="str">
        <f>IF(AND('PO-Backlog'!B69&lt;&gt;"",'PO-Backlog'!E69&lt;&gt;""),"PO-Backlog","")</f>
        <v/>
      </c>
      <c r="I388" t="str">
        <f>IF(A388="Q12026",COUNTIF($A$2:$A388,"Q12026"),"")</f>
        <v/>
      </c>
      <c r="J388" t="str">
        <f>IF(A388="Q22026",COUNTIF($A$2:$A388,"Q22026"),"")</f>
        <v/>
      </c>
      <c r="K388" t="str">
        <f>IF(A388="Q32026",COUNTIF($A$2:$A388,"Q32026"),"")</f>
        <v/>
      </c>
      <c r="L388" t="str">
        <f>IF(A388="Q42026",COUNTIF($A$2:$A388,"Q42026"),"")</f>
        <v/>
      </c>
      <c r="M388" t="str">
        <f>IF(A388="Backlog",COUNTIF($A$2:$A388,"Backlog"),"")</f>
        <v/>
      </c>
    </row>
    <row r="389" spans="1:13">
      <c r="A389" t="str">
        <f>IF(AND('PO-Backlog'!B70&lt;&gt;"",'PO-Backlog'!E70&lt;&gt;""),'PO-Backlog'!E70,"")</f>
        <v/>
      </c>
      <c r="B389" t="str">
        <f>IF(AND('PO-Backlog'!B70&lt;&gt;"",'PO-Backlog'!E70&lt;&gt;""),'PO-Backlog'!B70,"")</f>
        <v/>
      </c>
      <c r="C389" t="str">
        <f>IF(AND('PO-Backlog'!B70&lt;&gt;"",'PO-Backlog'!E70&lt;&gt;""),'PO-Backlog'!C70,"")</f>
        <v/>
      </c>
      <c r="D389" t="str">
        <f>IF(AND('PO-Backlog'!B70&lt;&gt;"",'PO-Backlog'!E70&lt;&gt;""),'PO-Backlog'!D70,"")</f>
        <v/>
      </c>
      <c r="E389" t="str">
        <f>IF(AND('PO-Backlog'!B70&lt;&gt;"",'PO-Backlog'!E70&lt;&gt;""),'PO-Backlog'!H70,"")</f>
        <v/>
      </c>
      <c r="F389" t="str">
        <f>IF(AND('PO-Backlog'!B70&lt;&gt;"",'PO-Backlog'!E70&lt;&gt;""),'PO-Backlog'!F70,"")</f>
        <v/>
      </c>
      <c r="G389" t="str">
        <f>IF(AND('PO-Backlog'!B70&lt;&gt;"",'PO-Backlog'!E70&lt;&gt;""),'PO-Backlog'!G70,"")</f>
        <v/>
      </c>
      <c r="H389" t="str">
        <f>IF(AND('PO-Backlog'!B70&lt;&gt;"",'PO-Backlog'!E70&lt;&gt;""),"PO-Backlog","")</f>
        <v/>
      </c>
      <c r="I389" t="str">
        <f>IF(A389="Q12026",COUNTIF($A$2:$A389,"Q12026"),"")</f>
        <v/>
      </c>
      <c r="J389" t="str">
        <f>IF(A389="Q22026",COUNTIF($A$2:$A389,"Q22026"),"")</f>
        <v/>
      </c>
      <c r="K389" t="str">
        <f>IF(A389="Q32026",COUNTIF($A$2:$A389,"Q32026"),"")</f>
        <v/>
      </c>
      <c r="L389" t="str">
        <f>IF(A389="Q42026",COUNTIF($A$2:$A389,"Q42026"),"")</f>
        <v/>
      </c>
      <c r="M389" t="str">
        <f>IF(A389="Backlog",COUNTIF($A$2:$A389,"Backlog"),"")</f>
        <v/>
      </c>
    </row>
    <row r="390" spans="1:13">
      <c r="A390" t="str">
        <f>IF(AND('PO-Backlog'!B71&lt;&gt;"",'PO-Backlog'!E71&lt;&gt;""),'PO-Backlog'!E71,"")</f>
        <v/>
      </c>
      <c r="B390" t="str">
        <f>IF(AND('PO-Backlog'!B71&lt;&gt;"",'PO-Backlog'!E71&lt;&gt;""),'PO-Backlog'!B71,"")</f>
        <v/>
      </c>
      <c r="C390" t="str">
        <f>IF(AND('PO-Backlog'!B71&lt;&gt;"",'PO-Backlog'!E71&lt;&gt;""),'PO-Backlog'!C71,"")</f>
        <v/>
      </c>
      <c r="D390" t="str">
        <f>IF(AND('PO-Backlog'!B71&lt;&gt;"",'PO-Backlog'!E71&lt;&gt;""),'PO-Backlog'!D71,"")</f>
        <v/>
      </c>
      <c r="E390" t="str">
        <f>IF(AND('PO-Backlog'!B71&lt;&gt;"",'PO-Backlog'!E71&lt;&gt;""),'PO-Backlog'!H71,"")</f>
        <v/>
      </c>
      <c r="F390" t="str">
        <f>IF(AND('PO-Backlog'!B71&lt;&gt;"",'PO-Backlog'!E71&lt;&gt;""),'PO-Backlog'!F71,"")</f>
        <v/>
      </c>
      <c r="G390" t="str">
        <f>IF(AND('PO-Backlog'!B71&lt;&gt;"",'PO-Backlog'!E71&lt;&gt;""),'PO-Backlog'!G71,"")</f>
        <v/>
      </c>
      <c r="H390" t="str">
        <f>IF(AND('PO-Backlog'!B71&lt;&gt;"",'PO-Backlog'!E71&lt;&gt;""),"PO-Backlog","")</f>
        <v/>
      </c>
      <c r="I390" t="str">
        <f>IF(A390="Q12026",COUNTIF($A$2:$A390,"Q12026"),"")</f>
        <v/>
      </c>
      <c r="J390" t="str">
        <f>IF(A390="Q22026",COUNTIF($A$2:$A390,"Q22026"),"")</f>
        <v/>
      </c>
      <c r="K390" t="str">
        <f>IF(A390="Q32026",COUNTIF($A$2:$A390,"Q32026"),"")</f>
        <v/>
      </c>
      <c r="L390" t="str">
        <f>IF(A390="Q42026",COUNTIF($A$2:$A390,"Q42026"),"")</f>
        <v/>
      </c>
      <c r="M390" t="str">
        <f>IF(A390="Backlog",COUNTIF($A$2:$A390,"Backlog"),"")</f>
        <v/>
      </c>
    </row>
    <row r="391" spans="1:13">
      <c r="A391" t="str">
        <f>IF(AND('PO-Backlog'!B72&lt;&gt;"",'PO-Backlog'!E72&lt;&gt;""),'PO-Backlog'!E72,"")</f>
        <v/>
      </c>
      <c r="B391" t="str">
        <f>IF(AND('PO-Backlog'!B72&lt;&gt;"",'PO-Backlog'!E72&lt;&gt;""),'PO-Backlog'!B72,"")</f>
        <v/>
      </c>
      <c r="C391" t="str">
        <f>IF(AND('PO-Backlog'!B72&lt;&gt;"",'PO-Backlog'!E72&lt;&gt;""),'PO-Backlog'!C72,"")</f>
        <v/>
      </c>
      <c r="D391" t="str">
        <f>IF(AND('PO-Backlog'!B72&lt;&gt;"",'PO-Backlog'!E72&lt;&gt;""),'PO-Backlog'!D72,"")</f>
        <v/>
      </c>
      <c r="E391" t="str">
        <f>IF(AND('PO-Backlog'!B72&lt;&gt;"",'PO-Backlog'!E72&lt;&gt;""),'PO-Backlog'!H72,"")</f>
        <v/>
      </c>
      <c r="F391" t="str">
        <f>IF(AND('PO-Backlog'!B72&lt;&gt;"",'PO-Backlog'!E72&lt;&gt;""),'PO-Backlog'!F72,"")</f>
        <v/>
      </c>
      <c r="G391" t="str">
        <f>IF(AND('PO-Backlog'!B72&lt;&gt;"",'PO-Backlog'!E72&lt;&gt;""),'PO-Backlog'!G72,"")</f>
        <v/>
      </c>
      <c r="H391" t="str">
        <f>IF(AND('PO-Backlog'!B72&lt;&gt;"",'PO-Backlog'!E72&lt;&gt;""),"PO-Backlog","")</f>
        <v/>
      </c>
      <c r="I391" t="str">
        <f>IF(A391="Q12026",COUNTIF($A$2:$A391,"Q12026"),"")</f>
        <v/>
      </c>
      <c r="J391" t="str">
        <f>IF(A391="Q22026",COUNTIF($A$2:$A391,"Q22026"),"")</f>
        <v/>
      </c>
      <c r="K391" t="str">
        <f>IF(A391="Q32026",COUNTIF($A$2:$A391,"Q32026"),"")</f>
        <v/>
      </c>
      <c r="L391" t="str">
        <f>IF(A391="Q42026",COUNTIF($A$2:$A391,"Q42026"),"")</f>
        <v/>
      </c>
      <c r="M391" t="str">
        <f>IF(A391="Backlog",COUNTIF($A$2:$A391,"Backlog"),"")</f>
        <v/>
      </c>
    </row>
    <row r="392" spans="1:13">
      <c r="A392" t="str">
        <f>IF(AND('PO-Backlog'!B73&lt;&gt;"",'PO-Backlog'!E73&lt;&gt;""),'PO-Backlog'!E73,"")</f>
        <v/>
      </c>
      <c r="B392" t="str">
        <f>IF(AND('PO-Backlog'!B73&lt;&gt;"",'PO-Backlog'!E73&lt;&gt;""),'PO-Backlog'!B73,"")</f>
        <v/>
      </c>
      <c r="C392" t="str">
        <f>IF(AND('PO-Backlog'!B73&lt;&gt;"",'PO-Backlog'!E73&lt;&gt;""),'PO-Backlog'!C73,"")</f>
        <v/>
      </c>
      <c r="D392" t="str">
        <f>IF(AND('PO-Backlog'!B73&lt;&gt;"",'PO-Backlog'!E73&lt;&gt;""),'PO-Backlog'!D73,"")</f>
        <v/>
      </c>
      <c r="E392" t="str">
        <f>IF(AND('PO-Backlog'!B73&lt;&gt;"",'PO-Backlog'!E73&lt;&gt;""),'PO-Backlog'!H73,"")</f>
        <v/>
      </c>
      <c r="F392" t="str">
        <f>IF(AND('PO-Backlog'!B73&lt;&gt;"",'PO-Backlog'!E73&lt;&gt;""),'PO-Backlog'!F73,"")</f>
        <v/>
      </c>
      <c r="G392" t="str">
        <f>IF(AND('PO-Backlog'!B73&lt;&gt;"",'PO-Backlog'!E73&lt;&gt;""),'PO-Backlog'!G73,"")</f>
        <v/>
      </c>
      <c r="H392" t="str">
        <f>IF(AND('PO-Backlog'!B73&lt;&gt;"",'PO-Backlog'!E73&lt;&gt;""),"PO-Backlog","")</f>
        <v/>
      </c>
      <c r="I392" t="str">
        <f>IF(A392="Q12026",COUNTIF($A$2:$A392,"Q12026"),"")</f>
        <v/>
      </c>
      <c r="J392" t="str">
        <f>IF(A392="Q22026",COUNTIF($A$2:$A392,"Q22026"),"")</f>
        <v/>
      </c>
      <c r="K392" t="str">
        <f>IF(A392="Q32026",COUNTIF($A$2:$A392,"Q32026"),"")</f>
        <v/>
      </c>
      <c r="L392" t="str">
        <f>IF(A392="Q42026",COUNTIF($A$2:$A392,"Q42026"),"")</f>
        <v/>
      </c>
      <c r="M392" t="str">
        <f>IF(A392="Backlog",COUNTIF($A$2:$A392,"Backlog"),"")</f>
        <v/>
      </c>
    </row>
    <row r="393" spans="1:13">
      <c r="A393" t="str">
        <f>IF(AND('PO-Backlog'!B74&lt;&gt;"",'PO-Backlog'!E74&lt;&gt;""),'PO-Backlog'!E74,"")</f>
        <v/>
      </c>
      <c r="B393" t="str">
        <f>IF(AND('PO-Backlog'!B74&lt;&gt;"",'PO-Backlog'!E74&lt;&gt;""),'PO-Backlog'!B74,"")</f>
        <v/>
      </c>
      <c r="C393" t="str">
        <f>IF(AND('PO-Backlog'!B74&lt;&gt;"",'PO-Backlog'!E74&lt;&gt;""),'PO-Backlog'!C74,"")</f>
        <v/>
      </c>
      <c r="D393" t="str">
        <f>IF(AND('PO-Backlog'!B74&lt;&gt;"",'PO-Backlog'!E74&lt;&gt;""),'PO-Backlog'!D74,"")</f>
        <v/>
      </c>
      <c r="E393" t="str">
        <f>IF(AND('PO-Backlog'!B74&lt;&gt;"",'PO-Backlog'!E74&lt;&gt;""),'PO-Backlog'!H74,"")</f>
        <v/>
      </c>
      <c r="F393" t="str">
        <f>IF(AND('PO-Backlog'!B74&lt;&gt;"",'PO-Backlog'!E74&lt;&gt;""),'PO-Backlog'!F74,"")</f>
        <v/>
      </c>
      <c r="G393" t="str">
        <f>IF(AND('PO-Backlog'!B74&lt;&gt;"",'PO-Backlog'!E74&lt;&gt;""),'PO-Backlog'!G74,"")</f>
        <v/>
      </c>
      <c r="H393" t="str">
        <f>IF(AND('PO-Backlog'!B74&lt;&gt;"",'PO-Backlog'!E74&lt;&gt;""),"PO-Backlog","")</f>
        <v/>
      </c>
      <c r="I393" t="str">
        <f>IF(A393="Q12026",COUNTIF($A$2:$A393,"Q12026"),"")</f>
        <v/>
      </c>
      <c r="J393" t="str">
        <f>IF(A393="Q22026",COUNTIF($A$2:$A393,"Q22026"),"")</f>
        <v/>
      </c>
      <c r="K393" t="str">
        <f>IF(A393="Q32026",COUNTIF($A$2:$A393,"Q32026"),"")</f>
        <v/>
      </c>
      <c r="L393" t="str">
        <f>IF(A393="Q42026",COUNTIF($A$2:$A393,"Q42026"),"")</f>
        <v/>
      </c>
      <c r="M393" t="str">
        <f>IF(A393="Backlog",COUNTIF($A$2:$A393,"Backlog"),"")</f>
        <v/>
      </c>
    </row>
    <row r="394" spans="1:13">
      <c r="A394" t="str">
        <f>IF(AND('PO-Backlog'!B75&lt;&gt;"",'PO-Backlog'!E75&lt;&gt;""),'PO-Backlog'!E75,"")</f>
        <v/>
      </c>
      <c r="B394" t="str">
        <f>IF(AND('PO-Backlog'!B75&lt;&gt;"",'PO-Backlog'!E75&lt;&gt;""),'PO-Backlog'!B75,"")</f>
        <v/>
      </c>
      <c r="C394" t="str">
        <f>IF(AND('PO-Backlog'!B75&lt;&gt;"",'PO-Backlog'!E75&lt;&gt;""),'PO-Backlog'!C75,"")</f>
        <v/>
      </c>
      <c r="D394" t="str">
        <f>IF(AND('PO-Backlog'!B75&lt;&gt;"",'PO-Backlog'!E75&lt;&gt;""),'PO-Backlog'!D75,"")</f>
        <v/>
      </c>
      <c r="E394" t="str">
        <f>IF(AND('PO-Backlog'!B75&lt;&gt;"",'PO-Backlog'!E75&lt;&gt;""),'PO-Backlog'!H75,"")</f>
        <v/>
      </c>
      <c r="F394" t="str">
        <f>IF(AND('PO-Backlog'!B75&lt;&gt;"",'PO-Backlog'!E75&lt;&gt;""),'PO-Backlog'!F75,"")</f>
        <v/>
      </c>
      <c r="G394" t="str">
        <f>IF(AND('PO-Backlog'!B75&lt;&gt;"",'PO-Backlog'!E75&lt;&gt;""),'PO-Backlog'!G75,"")</f>
        <v/>
      </c>
      <c r="H394" t="str">
        <f>IF(AND('PO-Backlog'!B75&lt;&gt;"",'PO-Backlog'!E75&lt;&gt;""),"PO-Backlog","")</f>
        <v/>
      </c>
      <c r="I394" t="str">
        <f>IF(A394="Q12026",COUNTIF($A$2:$A394,"Q12026"),"")</f>
        <v/>
      </c>
      <c r="J394" t="str">
        <f>IF(A394="Q22026",COUNTIF($A$2:$A394,"Q22026"),"")</f>
        <v/>
      </c>
      <c r="K394" t="str">
        <f>IF(A394="Q32026",COUNTIF($A$2:$A394,"Q32026"),"")</f>
        <v/>
      </c>
      <c r="L394" t="str">
        <f>IF(A394="Q42026",COUNTIF($A$2:$A394,"Q42026"),"")</f>
        <v/>
      </c>
      <c r="M394" t="str">
        <f>IF(A394="Backlog",COUNTIF($A$2:$A394,"Backlog"),"")</f>
        <v/>
      </c>
    </row>
    <row r="395" spans="1:13">
      <c r="A395" t="str">
        <f>IF(AND('PO-Backlog'!B76&lt;&gt;"",'PO-Backlog'!E76&lt;&gt;""),'PO-Backlog'!E76,"")</f>
        <v/>
      </c>
      <c r="B395" t="str">
        <f>IF(AND('PO-Backlog'!B76&lt;&gt;"",'PO-Backlog'!E76&lt;&gt;""),'PO-Backlog'!B76,"")</f>
        <v/>
      </c>
      <c r="C395" t="str">
        <f>IF(AND('PO-Backlog'!B76&lt;&gt;"",'PO-Backlog'!E76&lt;&gt;""),'PO-Backlog'!C76,"")</f>
        <v/>
      </c>
      <c r="D395" t="str">
        <f>IF(AND('PO-Backlog'!B76&lt;&gt;"",'PO-Backlog'!E76&lt;&gt;""),'PO-Backlog'!D76,"")</f>
        <v/>
      </c>
      <c r="E395" t="str">
        <f>IF(AND('PO-Backlog'!B76&lt;&gt;"",'PO-Backlog'!E76&lt;&gt;""),'PO-Backlog'!H76,"")</f>
        <v/>
      </c>
      <c r="F395" t="str">
        <f>IF(AND('PO-Backlog'!B76&lt;&gt;"",'PO-Backlog'!E76&lt;&gt;""),'PO-Backlog'!F76,"")</f>
        <v/>
      </c>
      <c r="G395" t="str">
        <f>IF(AND('PO-Backlog'!B76&lt;&gt;"",'PO-Backlog'!E76&lt;&gt;""),'PO-Backlog'!G76,"")</f>
        <v/>
      </c>
      <c r="H395" t="str">
        <f>IF(AND('PO-Backlog'!B76&lt;&gt;"",'PO-Backlog'!E76&lt;&gt;""),"PO-Backlog","")</f>
        <v/>
      </c>
      <c r="I395" t="str">
        <f>IF(A395="Q12026",COUNTIF($A$2:$A395,"Q12026"),"")</f>
        <v/>
      </c>
      <c r="J395" t="str">
        <f>IF(A395="Q22026",COUNTIF($A$2:$A395,"Q22026"),"")</f>
        <v/>
      </c>
      <c r="K395" t="str">
        <f>IF(A395="Q32026",COUNTIF($A$2:$A395,"Q32026"),"")</f>
        <v/>
      </c>
      <c r="L395" t="str">
        <f>IF(A395="Q42026",COUNTIF($A$2:$A395,"Q42026"),"")</f>
        <v/>
      </c>
      <c r="M395" t="str">
        <f>IF(A395="Backlog",COUNTIF($A$2:$A395,"Backlog"),"")</f>
        <v/>
      </c>
    </row>
    <row r="396" spans="1:13">
      <c r="A396" t="str">
        <f>IF(AND('PO-Backlog'!B77&lt;&gt;"",'PO-Backlog'!E77&lt;&gt;""),'PO-Backlog'!E77,"")</f>
        <v/>
      </c>
      <c r="B396" t="str">
        <f>IF(AND('PO-Backlog'!B77&lt;&gt;"",'PO-Backlog'!E77&lt;&gt;""),'PO-Backlog'!B77,"")</f>
        <v/>
      </c>
      <c r="C396" t="str">
        <f>IF(AND('PO-Backlog'!B77&lt;&gt;"",'PO-Backlog'!E77&lt;&gt;""),'PO-Backlog'!C77,"")</f>
        <v/>
      </c>
      <c r="D396" t="str">
        <f>IF(AND('PO-Backlog'!B77&lt;&gt;"",'PO-Backlog'!E77&lt;&gt;""),'PO-Backlog'!D77,"")</f>
        <v/>
      </c>
      <c r="E396" t="str">
        <f>IF(AND('PO-Backlog'!B77&lt;&gt;"",'PO-Backlog'!E77&lt;&gt;""),'PO-Backlog'!H77,"")</f>
        <v/>
      </c>
      <c r="F396" t="str">
        <f>IF(AND('PO-Backlog'!B77&lt;&gt;"",'PO-Backlog'!E77&lt;&gt;""),'PO-Backlog'!F77,"")</f>
        <v/>
      </c>
      <c r="G396" t="str">
        <f>IF(AND('PO-Backlog'!B77&lt;&gt;"",'PO-Backlog'!E77&lt;&gt;""),'PO-Backlog'!G77,"")</f>
        <v/>
      </c>
      <c r="H396" t="str">
        <f>IF(AND('PO-Backlog'!B77&lt;&gt;"",'PO-Backlog'!E77&lt;&gt;""),"PO-Backlog","")</f>
        <v/>
      </c>
      <c r="I396" t="str">
        <f>IF(A396="Q12026",COUNTIF($A$2:$A396,"Q12026"),"")</f>
        <v/>
      </c>
      <c r="J396" t="str">
        <f>IF(A396="Q22026",COUNTIF($A$2:$A396,"Q22026"),"")</f>
        <v/>
      </c>
      <c r="K396" t="str">
        <f>IF(A396="Q32026",COUNTIF($A$2:$A396,"Q32026"),"")</f>
        <v/>
      </c>
      <c r="L396" t="str">
        <f>IF(A396="Q42026",COUNTIF($A$2:$A396,"Q42026"),"")</f>
        <v/>
      </c>
      <c r="M396" t="str">
        <f>IF(A396="Backlog",COUNTIF($A$2:$A396,"Backlog"),"")</f>
        <v/>
      </c>
    </row>
    <row r="397" spans="1:13">
      <c r="A397" t="str">
        <f>IF(AND('PO-Backlog'!B78&lt;&gt;"",'PO-Backlog'!E78&lt;&gt;""),'PO-Backlog'!E78,"")</f>
        <v/>
      </c>
      <c r="B397" t="str">
        <f>IF(AND('PO-Backlog'!B78&lt;&gt;"",'PO-Backlog'!E78&lt;&gt;""),'PO-Backlog'!B78,"")</f>
        <v/>
      </c>
      <c r="C397" t="str">
        <f>IF(AND('PO-Backlog'!B78&lt;&gt;"",'PO-Backlog'!E78&lt;&gt;""),'PO-Backlog'!C78,"")</f>
        <v/>
      </c>
      <c r="D397" t="str">
        <f>IF(AND('PO-Backlog'!B78&lt;&gt;"",'PO-Backlog'!E78&lt;&gt;""),'PO-Backlog'!D78,"")</f>
        <v/>
      </c>
      <c r="E397" t="str">
        <f>IF(AND('PO-Backlog'!B78&lt;&gt;"",'PO-Backlog'!E78&lt;&gt;""),'PO-Backlog'!H78,"")</f>
        <v/>
      </c>
      <c r="F397" t="str">
        <f>IF(AND('PO-Backlog'!B78&lt;&gt;"",'PO-Backlog'!E78&lt;&gt;""),'PO-Backlog'!F78,"")</f>
        <v/>
      </c>
      <c r="G397" t="str">
        <f>IF(AND('PO-Backlog'!B78&lt;&gt;"",'PO-Backlog'!E78&lt;&gt;""),'PO-Backlog'!G78,"")</f>
        <v/>
      </c>
      <c r="H397" t="str">
        <f>IF(AND('PO-Backlog'!B78&lt;&gt;"",'PO-Backlog'!E78&lt;&gt;""),"PO-Backlog","")</f>
        <v/>
      </c>
      <c r="I397" t="str">
        <f>IF(A397="Q12026",COUNTIF($A$2:$A397,"Q12026"),"")</f>
        <v/>
      </c>
      <c r="J397" t="str">
        <f>IF(A397="Q22026",COUNTIF($A$2:$A397,"Q22026"),"")</f>
        <v/>
      </c>
      <c r="K397" t="str">
        <f>IF(A397="Q32026",COUNTIF($A$2:$A397,"Q32026"),"")</f>
        <v/>
      </c>
      <c r="L397" t="str">
        <f>IF(A397="Q42026",COUNTIF($A$2:$A397,"Q42026"),"")</f>
        <v/>
      </c>
      <c r="M397" t="str">
        <f>IF(A397="Backlog",COUNTIF($A$2:$A397,"Backlog"),"")</f>
        <v/>
      </c>
    </row>
    <row r="398" spans="1:13">
      <c r="A398" t="str">
        <f>IF(AND('PO-Backlog'!B79&lt;&gt;"",'PO-Backlog'!E79&lt;&gt;""),'PO-Backlog'!E79,"")</f>
        <v/>
      </c>
      <c r="B398" t="str">
        <f>IF(AND('PO-Backlog'!B79&lt;&gt;"",'PO-Backlog'!E79&lt;&gt;""),'PO-Backlog'!B79,"")</f>
        <v/>
      </c>
      <c r="C398" t="str">
        <f>IF(AND('PO-Backlog'!B79&lt;&gt;"",'PO-Backlog'!E79&lt;&gt;""),'PO-Backlog'!C79,"")</f>
        <v/>
      </c>
      <c r="D398" t="str">
        <f>IF(AND('PO-Backlog'!B79&lt;&gt;"",'PO-Backlog'!E79&lt;&gt;""),'PO-Backlog'!D79,"")</f>
        <v/>
      </c>
      <c r="E398" t="str">
        <f>IF(AND('PO-Backlog'!B79&lt;&gt;"",'PO-Backlog'!E79&lt;&gt;""),'PO-Backlog'!H79,"")</f>
        <v/>
      </c>
      <c r="F398" t="str">
        <f>IF(AND('PO-Backlog'!B79&lt;&gt;"",'PO-Backlog'!E79&lt;&gt;""),'PO-Backlog'!F79,"")</f>
        <v/>
      </c>
      <c r="G398" t="str">
        <f>IF(AND('PO-Backlog'!B79&lt;&gt;"",'PO-Backlog'!E79&lt;&gt;""),'PO-Backlog'!G79,"")</f>
        <v/>
      </c>
      <c r="H398" t="str">
        <f>IF(AND('PO-Backlog'!B79&lt;&gt;"",'PO-Backlog'!E79&lt;&gt;""),"PO-Backlog","")</f>
        <v/>
      </c>
      <c r="I398" t="str">
        <f>IF(A398="Q12026",COUNTIF($A$2:$A398,"Q12026"),"")</f>
        <v/>
      </c>
      <c r="J398" t="str">
        <f>IF(A398="Q22026",COUNTIF($A$2:$A398,"Q22026"),"")</f>
        <v/>
      </c>
      <c r="K398" t="str">
        <f>IF(A398="Q32026",COUNTIF($A$2:$A398,"Q32026"),"")</f>
        <v/>
      </c>
      <c r="L398" t="str">
        <f>IF(A398="Q42026",COUNTIF($A$2:$A398,"Q42026"),"")</f>
        <v/>
      </c>
      <c r="M398" t="str">
        <f>IF(A398="Backlog",COUNTIF($A$2:$A398,"Backlog"),"")</f>
        <v/>
      </c>
    </row>
    <row r="399" spans="1:13">
      <c r="A399" t="str">
        <f>IF(AND('PO-Backlog'!B80&lt;&gt;"",'PO-Backlog'!E80&lt;&gt;""),'PO-Backlog'!E80,"")</f>
        <v/>
      </c>
      <c r="B399" t="str">
        <f>IF(AND('PO-Backlog'!B80&lt;&gt;"",'PO-Backlog'!E80&lt;&gt;""),'PO-Backlog'!B80,"")</f>
        <v/>
      </c>
      <c r="C399" t="str">
        <f>IF(AND('PO-Backlog'!B80&lt;&gt;"",'PO-Backlog'!E80&lt;&gt;""),'PO-Backlog'!C80,"")</f>
        <v/>
      </c>
      <c r="D399" t="str">
        <f>IF(AND('PO-Backlog'!B80&lt;&gt;"",'PO-Backlog'!E80&lt;&gt;""),'PO-Backlog'!D80,"")</f>
        <v/>
      </c>
      <c r="E399" t="str">
        <f>IF(AND('PO-Backlog'!B80&lt;&gt;"",'PO-Backlog'!E80&lt;&gt;""),'PO-Backlog'!H80,"")</f>
        <v/>
      </c>
      <c r="F399" t="str">
        <f>IF(AND('PO-Backlog'!B80&lt;&gt;"",'PO-Backlog'!E80&lt;&gt;""),'PO-Backlog'!F80,"")</f>
        <v/>
      </c>
      <c r="G399" t="str">
        <f>IF(AND('PO-Backlog'!B80&lt;&gt;"",'PO-Backlog'!E80&lt;&gt;""),'PO-Backlog'!G80,"")</f>
        <v/>
      </c>
      <c r="H399" t="str">
        <f>IF(AND('PO-Backlog'!B80&lt;&gt;"",'PO-Backlog'!E80&lt;&gt;""),"PO-Backlog","")</f>
        <v/>
      </c>
      <c r="I399" t="str">
        <f>IF(A399="Q12026",COUNTIF($A$2:$A399,"Q12026"),"")</f>
        <v/>
      </c>
      <c r="J399" t="str">
        <f>IF(A399="Q22026",COUNTIF($A$2:$A399,"Q22026"),"")</f>
        <v/>
      </c>
      <c r="K399" t="str">
        <f>IF(A399="Q32026",COUNTIF($A$2:$A399,"Q32026"),"")</f>
        <v/>
      </c>
      <c r="L399" t="str">
        <f>IF(A399="Q42026",COUNTIF($A$2:$A399,"Q42026"),"")</f>
        <v/>
      </c>
      <c r="M399" t="str">
        <f>IF(A399="Backlog",COUNTIF($A$2:$A399,"Backlog"),"")</f>
        <v/>
      </c>
    </row>
    <row r="400" spans="1:13">
      <c r="A400" t="str">
        <f>IF(AND('PO-Backlog'!B81&lt;&gt;"",'PO-Backlog'!E81&lt;&gt;""),'PO-Backlog'!E81,"")</f>
        <v/>
      </c>
      <c r="B400" t="str">
        <f>IF(AND('PO-Backlog'!B81&lt;&gt;"",'PO-Backlog'!E81&lt;&gt;""),'PO-Backlog'!B81,"")</f>
        <v/>
      </c>
      <c r="C400" t="str">
        <f>IF(AND('PO-Backlog'!B81&lt;&gt;"",'PO-Backlog'!E81&lt;&gt;""),'PO-Backlog'!C81,"")</f>
        <v/>
      </c>
      <c r="D400" t="str">
        <f>IF(AND('PO-Backlog'!B81&lt;&gt;"",'PO-Backlog'!E81&lt;&gt;""),'PO-Backlog'!D81,"")</f>
        <v/>
      </c>
      <c r="E400" t="str">
        <f>IF(AND('PO-Backlog'!B81&lt;&gt;"",'PO-Backlog'!E81&lt;&gt;""),'PO-Backlog'!H81,"")</f>
        <v/>
      </c>
      <c r="F400" t="str">
        <f>IF(AND('PO-Backlog'!B81&lt;&gt;"",'PO-Backlog'!E81&lt;&gt;""),'PO-Backlog'!F81,"")</f>
        <v/>
      </c>
      <c r="G400" t="str">
        <f>IF(AND('PO-Backlog'!B81&lt;&gt;"",'PO-Backlog'!E81&lt;&gt;""),'PO-Backlog'!G81,"")</f>
        <v/>
      </c>
      <c r="H400" t="str">
        <f>IF(AND('PO-Backlog'!B81&lt;&gt;"",'PO-Backlog'!E81&lt;&gt;""),"PO-Backlog","")</f>
        <v/>
      </c>
      <c r="I400" t="str">
        <f>IF(A400="Q12026",COUNTIF($A$2:$A400,"Q12026"),"")</f>
        <v/>
      </c>
      <c r="J400" t="str">
        <f>IF(A400="Q22026",COUNTIF($A$2:$A400,"Q22026"),"")</f>
        <v/>
      </c>
      <c r="K400" t="str">
        <f>IF(A400="Q32026",COUNTIF($A$2:$A400,"Q32026"),"")</f>
        <v/>
      </c>
      <c r="L400" t="str">
        <f>IF(A400="Q42026",COUNTIF($A$2:$A400,"Q42026"),"")</f>
        <v/>
      </c>
      <c r="M400" t="str">
        <f>IF(A400="Backlog",COUNTIF($A$2:$A400,"Backlog"),"")</f>
        <v/>
      </c>
    </row>
    <row r="401" spans="1:13">
      <c r="A401" t="str">
        <f>IF(AND('PO-Backlog'!B82&lt;&gt;"",'PO-Backlog'!E82&lt;&gt;""),'PO-Backlog'!E82,"")</f>
        <v/>
      </c>
      <c r="B401" t="str">
        <f>IF(AND('PO-Backlog'!B82&lt;&gt;"",'PO-Backlog'!E82&lt;&gt;""),'PO-Backlog'!B82,"")</f>
        <v/>
      </c>
      <c r="C401" t="str">
        <f>IF(AND('PO-Backlog'!B82&lt;&gt;"",'PO-Backlog'!E82&lt;&gt;""),'PO-Backlog'!C82,"")</f>
        <v/>
      </c>
      <c r="D401" t="str">
        <f>IF(AND('PO-Backlog'!B82&lt;&gt;"",'PO-Backlog'!E82&lt;&gt;""),'PO-Backlog'!D82,"")</f>
        <v/>
      </c>
      <c r="E401" t="str">
        <f>IF(AND('PO-Backlog'!B82&lt;&gt;"",'PO-Backlog'!E82&lt;&gt;""),'PO-Backlog'!H82,"")</f>
        <v/>
      </c>
      <c r="F401" t="str">
        <f>IF(AND('PO-Backlog'!B82&lt;&gt;"",'PO-Backlog'!E82&lt;&gt;""),'PO-Backlog'!F82,"")</f>
        <v/>
      </c>
      <c r="G401" t="str">
        <f>IF(AND('PO-Backlog'!B82&lt;&gt;"",'PO-Backlog'!E82&lt;&gt;""),'PO-Backlog'!G82,"")</f>
        <v/>
      </c>
      <c r="H401" t="str">
        <f>IF(AND('PO-Backlog'!B82&lt;&gt;"",'PO-Backlog'!E82&lt;&gt;""),"PO-Backlog","")</f>
        <v/>
      </c>
      <c r="I401" t="str">
        <f>IF(A401="Q12026",COUNTIF($A$2:$A401,"Q12026"),"")</f>
        <v/>
      </c>
      <c r="J401" t="str">
        <f>IF(A401="Q22026",COUNTIF($A$2:$A401,"Q22026"),"")</f>
        <v/>
      </c>
      <c r="K401" t="str">
        <f>IF(A401="Q32026",COUNTIF($A$2:$A401,"Q32026"),"")</f>
        <v/>
      </c>
      <c r="L401" t="str">
        <f>IF(A401="Q42026",COUNTIF($A$2:$A401,"Q42026"),"")</f>
        <v/>
      </c>
      <c r="M401" t="str">
        <f>IF(A401="Backlog",COUNTIF($A$2:$A401,"Backlog"),"")</f>
        <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87"/>
  <sheetViews>
    <sheetView showGridLines="0" zoomScaleNormal="100" workbookViewId="0">
      <pane xSplit="1" ySplit="2" topLeftCell="B3" activePane="bottomRight" state="frozen"/>
      <selection pane="bottomRight"/>
      <selection pane="bottomLeft" activeCell="A3" sqref="A3"/>
      <selection pane="topRight" activeCell="B1" sqref="B1"/>
    </sheetView>
  </sheetViews>
  <sheetFormatPr defaultColWidth="8.7109375" defaultRowHeight="15"/>
  <cols>
    <col min="1" max="1" width="5" customWidth="1"/>
    <col min="2" max="2" width="42.85546875" customWidth="1"/>
    <col min="3" max="3" width="16" customWidth="1"/>
    <col min="4" max="4" width="14" customWidth="1"/>
    <col min="5" max="5" width="16" customWidth="1"/>
    <col min="6" max="7" width="12" customWidth="1"/>
    <col min="8" max="8" width="11" customWidth="1"/>
    <col min="9" max="9" width="30" customWidth="1"/>
    <col min="10" max="16" width="0.140625" hidden="1" customWidth="1"/>
  </cols>
  <sheetData>
    <row r="1" spans="1:14" ht="43.5" customHeight="1">
      <c r="A1" s="112" t="s">
        <v>226</v>
      </c>
      <c r="B1" s="112"/>
      <c r="C1" s="112"/>
      <c r="D1" s="112"/>
      <c r="E1" s="112"/>
      <c r="F1" s="112"/>
      <c r="G1" s="112"/>
      <c r="H1" s="112"/>
      <c r="I1" s="112"/>
    </row>
    <row r="2" spans="1:14" ht="24" customHeight="1">
      <c r="A2" s="24" t="s">
        <v>1</v>
      </c>
      <c r="B2" s="24" t="s">
        <v>2</v>
      </c>
      <c r="C2" s="24" t="s">
        <v>3</v>
      </c>
      <c r="D2" s="24" t="s">
        <v>4</v>
      </c>
      <c r="E2" s="24" t="s">
        <v>5</v>
      </c>
      <c r="F2" s="24" t="s">
        <v>6</v>
      </c>
      <c r="G2" s="24" t="s">
        <v>7</v>
      </c>
      <c r="H2" s="24" t="s">
        <v>8</v>
      </c>
      <c r="I2" s="24" t="s">
        <v>9</v>
      </c>
    </row>
    <row r="3" spans="1:14" ht="19.5" customHeight="1">
      <c r="A3" s="65">
        <v>1</v>
      </c>
      <c r="B3" s="16"/>
      <c r="C3" s="17"/>
      <c r="D3" s="17"/>
      <c r="E3" s="17"/>
      <c r="F3" s="17"/>
      <c r="G3" s="17"/>
      <c r="H3" s="66" t="str">
        <f>IF(C3="XXL (&gt;160h)",168,IF(C3="XL (&gt;40h)",48,IF(C3="L (20-40h)",30,IF(C3="M (10-20h)",15,IF(C3="S (&lt;10h)",5,"")))))</f>
        <v/>
      </c>
      <c r="I3" s="16"/>
      <c r="J3" s="67" t="str">
        <f>IF($E3="Q12027",COUNTIF($E$3:$E3,"Q12027"),"")</f>
        <v/>
      </c>
      <c r="K3" s="67" t="str">
        <f>IF($E3="Q22027",COUNTIF($E$3:$E3,"Q22027"),"")</f>
        <v/>
      </c>
      <c r="L3" s="67" t="str">
        <f>IF($E3="Q32027",COUNTIF($E$3:$E3,"Q32027"),"")</f>
        <v/>
      </c>
      <c r="M3" s="67" t="str">
        <f>IF($E3="Q42027",COUNTIF($E$3:$E3,"Q42027"),"")</f>
        <v/>
      </c>
      <c r="N3" s="67" t="str">
        <f>IF($E3="Backlog",COUNTIF($E$3:$E3,"Backlog"),"")</f>
        <v/>
      </c>
    </row>
    <row r="4" spans="1:14" ht="19.5" customHeight="1">
      <c r="A4" s="68">
        <v>2</v>
      </c>
      <c r="B4" s="18"/>
      <c r="C4" s="19"/>
      <c r="D4" s="19"/>
      <c r="E4" s="19"/>
      <c r="F4" s="19"/>
      <c r="G4" s="19"/>
      <c r="H4" s="69" t="str">
        <f>IF(C4="XXL (&gt;160h)",168,IF(C4="XL (&gt;40h)",48,IF(C4="L (20-40h)",30,IF(C4="M (10-20h)",15,IF(C4="S (&lt;10h)",5,"")))))</f>
        <v/>
      </c>
      <c r="I4" s="18"/>
      <c r="J4" s="67" t="str">
        <f>IF($E4="Q12027",COUNTIF($E$3:$E4,"Q12027"),"")</f>
        <v/>
      </c>
      <c r="K4" s="67" t="str">
        <f>IF($E4="Q22027",COUNTIF($E$3:$E4,"Q22027"),"")</f>
        <v/>
      </c>
      <c r="L4" s="67" t="str">
        <f>IF($E4="Q32027",COUNTIF($E$3:$E4,"Q32027"),"")</f>
        <v/>
      </c>
      <c r="M4" s="67" t="str">
        <f>IF($E4="Q42027",COUNTIF($E$3:$E4,"Q42027"),"")</f>
        <v/>
      </c>
      <c r="N4" s="67" t="str">
        <f>IF($E4="Backlog",COUNTIF($E$3:$E4,"Backlog"),"")</f>
        <v/>
      </c>
    </row>
    <row r="5" spans="1:14" ht="19.5" customHeight="1">
      <c r="A5" s="65">
        <v>3</v>
      </c>
      <c r="B5" s="16"/>
      <c r="C5" s="17"/>
      <c r="D5" s="17"/>
      <c r="E5" s="17"/>
      <c r="F5" s="17"/>
      <c r="G5" s="17"/>
      <c r="H5" s="66" t="str">
        <f>IF(C5="XXL (&gt;160h)",168,IF(C5="XL (&gt;40h)",48,IF(C5="L (20-40h)",30,IF(C5="M (10-20h)",15,IF(C5="S (&lt;10h)",5,"")))))</f>
        <v/>
      </c>
      <c r="I5" s="16"/>
      <c r="J5" s="67" t="str">
        <f>IF($E5="Q12027",COUNTIF($E$3:$E5,"Q12027"),"")</f>
        <v/>
      </c>
      <c r="K5" s="67" t="str">
        <f>IF($E5="Q22027",COUNTIF($E$3:$E5,"Q22027"),"")</f>
        <v/>
      </c>
      <c r="L5" s="67" t="str">
        <f>IF($E5="Q32027",COUNTIF($E$3:$E5,"Q32027"),"")</f>
        <v/>
      </c>
      <c r="M5" s="67" t="str">
        <f>IF($E5="Q42027",COUNTIF($E$3:$E5,"Q42027"),"")</f>
        <v/>
      </c>
      <c r="N5" s="67" t="str">
        <f>IF($E5="Backlog",COUNTIF($E$3:$E5,"Backlog"),"")</f>
        <v/>
      </c>
    </row>
    <row r="6" spans="1:14" ht="19.5" customHeight="1">
      <c r="A6" s="68">
        <v>4</v>
      </c>
      <c r="B6" s="18"/>
      <c r="C6" s="19"/>
      <c r="D6" s="19"/>
      <c r="E6" s="19"/>
      <c r="F6" s="19"/>
      <c r="G6" s="19"/>
      <c r="H6" s="69" t="str">
        <f>IF(C6="XXL (&gt;160h)",168,IF(C6="XL (&gt;40h)",48,IF(C6="L (20-40h)",30,IF(C6="M (10-20h)",15,IF(C6="S (&lt;10h)",5,"")))))</f>
        <v/>
      </c>
      <c r="I6" s="18"/>
      <c r="J6" s="67" t="str">
        <f>IF($E6="Q12027",COUNTIF($E$3:$E6,"Q12027"),"")</f>
        <v/>
      </c>
      <c r="K6" s="67" t="str">
        <f>IF($E6="Q22027",COUNTIF($E$3:$E6,"Q22027"),"")</f>
        <v/>
      </c>
      <c r="L6" s="67" t="str">
        <f>IF($E6="Q32027",COUNTIF($E$3:$E6,"Q32027"),"")</f>
        <v/>
      </c>
      <c r="M6" s="67" t="str">
        <f>IF($E6="Q42027",COUNTIF($E$3:$E6,"Q42027"),"")</f>
        <v/>
      </c>
      <c r="N6" s="67" t="str">
        <f>IF($E6="Backlog",COUNTIF($E$3:$E6,"Backlog"),"")</f>
        <v/>
      </c>
    </row>
    <row r="7" spans="1:14" ht="19.5" customHeight="1">
      <c r="A7" s="65">
        <v>5</v>
      </c>
      <c r="B7" s="16"/>
      <c r="C7" s="17"/>
      <c r="D7" s="17"/>
      <c r="E7" s="17"/>
      <c r="F7" s="17"/>
      <c r="G7" s="17"/>
      <c r="H7" s="66" t="str">
        <f>IF(C7="XXL (&gt;160h)",168,IF(C7="XL (&gt;40h)",48,IF(C7="L (20-40h)",30,IF(C7="M (10-20h)",15,IF(C7="S (&lt;10h)",5,"")))))</f>
        <v/>
      </c>
      <c r="I7" s="16"/>
      <c r="J7" s="67" t="str">
        <f>IF($E7="Q12027",COUNTIF($E$3:$E7,"Q12027"),"")</f>
        <v/>
      </c>
      <c r="K7" s="67" t="str">
        <f>IF($E7="Q22027",COUNTIF($E$3:$E7,"Q22027"),"")</f>
        <v/>
      </c>
      <c r="L7" s="67" t="str">
        <f>IF($E7="Q32027",COUNTIF($E$3:$E7,"Q32027"),"")</f>
        <v/>
      </c>
      <c r="M7" s="67" t="str">
        <f>IF($E7="Q42027",COUNTIF($E$3:$E7,"Q42027"),"")</f>
        <v/>
      </c>
      <c r="N7" s="67" t="str">
        <f>IF($E7="Backlog",COUNTIF($E$3:$E7,"Backlog"),"")</f>
        <v/>
      </c>
    </row>
    <row r="8" spans="1:14" ht="19.5" customHeight="1">
      <c r="A8" s="68">
        <v>6</v>
      </c>
      <c r="B8" s="18"/>
      <c r="C8" s="19"/>
      <c r="D8" s="19"/>
      <c r="E8" s="19"/>
      <c r="F8" s="19"/>
      <c r="G8" s="19"/>
      <c r="H8" s="69" t="str">
        <f>IF(C8="XXL (&gt;160h)",168,IF(C8="XL (&gt;40h)",48,IF(C8="L (20-40h)",30,IF(C8="M (10-20h)",15,IF(C8="S (&lt;10h)",5,"")))))</f>
        <v/>
      </c>
      <c r="I8" s="18"/>
      <c r="J8" s="67" t="str">
        <f>IF($E8="Q12027",COUNTIF($E$3:$E8,"Q12027"),"")</f>
        <v/>
      </c>
      <c r="K8" s="67" t="str">
        <f>IF($E8="Q22027",COUNTIF($E$3:$E8,"Q22027"),"")</f>
        <v/>
      </c>
      <c r="L8" s="67" t="str">
        <f>IF($E8="Q32027",COUNTIF($E$3:$E8,"Q32027"),"")</f>
        <v/>
      </c>
      <c r="M8" s="67" t="str">
        <f>IF($E8="Q42027",COUNTIF($E$3:$E8,"Q42027"),"")</f>
        <v/>
      </c>
      <c r="N8" s="67" t="str">
        <f>IF($E8="Backlog",COUNTIF($E$3:$E8,"Backlog"),"")</f>
        <v/>
      </c>
    </row>
    <row r="9" spans="1:14" ht="19.5" customHeight="1">
      <c r="A9" s="65">
        <v>7</v>
      </c>
      <c r="B9" s="16"/>
      <c r="C9" s="17"/>
      <c r="D9" s="17"/>
      <c r="E9" s="17"/>
      <c r="F9" s="17"/>
      <c r="G9" s="17"/>
      <c r="H9" s="66" t="str">
        <f>IF(C9="XXL (&gt;160h)",168,IF(C9="XL (&gt;40h)",48,IF(C9="L (20-40h)",30,IF(C9="M (10-20h)",15,IF(C9="S (&lt;10h)",5,"")))))</f>
        <v/>
      </c>
      <c r="I9" s="16"/>
      <c r="J9" s="67" t="str">
        <f>IF($E9="Q12027",COUNTIF($E$3:$E9,"Q12027"),"")</f>
        <v/>
      </c>
      <c r="K9" s="67" t="str">
        <f>IF($E9="Q22027",COUNTIF($E$3:$E9,"Q22027"),"")</f>
        <v/>
      </c>
      <c r="L9" s="67" t="str">
        <f>IF($E9="Q32027",COUNTIF($E$3:$E9,"Q32027"),"")</f>
        <v/>
      </c>
      <c r="M9" s="67" t="str">
        <f>IF($E9="Q42027",COUNTIF($E$3:$E9,"Q42027"),"")</f>
        <v/>
      </c>
      <c r="N9" s="67" t="str">
        <f>IF($E9="Backlog",COUNTIF($E$3:$E9,"Backlog"),"")</f>
        <v/>
      </c>
    </row>
    <row r="10" spans="1:14" ht="19.5" customHeight="1">
      <c r="A10" s="68">
        <v>8</v>
      </c>
      <c r="B10" s="18"/>
      <c r="C10" s="19"/>
      <c r="D10" s="19"/>
      <c r="E10" s="19"/>
      <c r="F10" s="19"/>
      <c r="G10" s="19"/>
      <c r="H10" s="69" t="str">
        <f>IF(C10="XXL (&gt;160h)",168,IF(C10="XL (&gt;40h)",48,IF(C10="L (20-40h)",30,IF(C10="M (10-20h)",15,IF(C10="S (&lt;10h)",5,"")))))</f>
        <v/>
      </c>
      <c r="I10" s="18"/>
      <c r="J10" s="67" t="str">
        <f>IF($E10="Q12027",COUNTIF($E$3:$E10,"Q12027"),"")</f>
        <v/>
      </c>
      <c r="K10" s="67" t="str">
        <f>IF($E10="Q22027",COUNTIF($E$3:$E10,"Q22027"),"")</f>
        <v/>
      </c>
      <c r="L10" s="67" t="str">
        <f>IF($E10="Q32027",COUNTIF($E$3:$E10,"Q32027"),"")</f>
        <v/>
      </c>
      <c r="M10" s="67" t="str">
        <f>IF($E10="Q42027",COUNTIF($E$3:$E10,"Q42027"),"")</f>
        <v/>
      </c>
      <c r="N10" s="67" t="str">
        <f>IF($E10="Backlog",COUNTIF($E$3:$E10,"Backlog"),"")</f>
        <v/>
      </c>
    </row>
    <row r="11" spans="1:14" ht="19.5" customHeight="1">
      <c r="A11" s="65">
        <v>9</v>
      </c>
      <c r="B11" s="16"/>
      <c r="C11" s="17"/>
      <c r="D11" s="17"/>
      <c r="E11" s="17"/>
      <c r="F11" s="17"/>
      <c r="G11" s="17"/>
      <c r="H11" s="66" t="str">
        <f>IF(C11="XXL (&gt;160h)",168,IF(C11="XL (&gt;40h)",48,IF(C11="L (20-40h)",30,IF(C11="M (10-20h)",15,IF(C11="S (&lt;10h)",5,"")))))</f>
        <v/>
      </c>
      <c r="I11" s="16"/>
      <c r="J11" s="67" t="str">
        <f>IF($E11="Q12027",COUNTIF($E$3:$E11,"Q12027"),"")</f>
        <v/>
      </c>
      <c r="K11" s="67" t="str">
        <f>IF($E11="Q22027",COUNTIF($E$3:$E11,"Q22027"),"")</f>
        <v/>
      </c>
      <c r="L11" s="67" t="str">
        <f>IF($E11="Q32027",COUNTIF($E$3:$E11,"Q32027"),"")</f>
        <v/>
      </c>
      <c r="M11" s="67" t="str">
        <f>IF($E11="Q42027",COUNTIF($E$3:$E11,"Q42027"),"")</f>
        <v/>
      </c>
      <c r="N11" s="67" t="str">
        <f>IF($E11="Backlog",COUNTIF($E$3:$E11,"Backlog"),"")</f>
        <v/>
      </c>
    </row>
    <row r="12" spans="1:14" ht="19.5" customHeight="1">
      <c r="A12" s="68">
        <v>10</v>
      </c>
      <c r="B12" s="18"/>
      <c r="C12" s="19"/>
      <c r="D12" s="19"/>
      <c r="E12" s="19"/>
      <c r="F12" s="19"/>
      <c r="G12" s="19"/>
      <c r="H12" s="69" t="str">
        <f>IF(C12="XXL (&gt;160h)",168,IF(C12="XL (&gt;40h)",48,IF(C12="L (20-40h)",30,IF(C12="M (10-20h)",15,IF(C12="S (&lt;10h)",5,"")))))</f>
        <v/>
      </c>
      <c r="I12" s="18"/>
      <c r="J12" s="67" t="str">
        <f>IF($E12="Q12027",COUNTIF($E$3:$E12,"Q12027"),"")</f>
        <v/>
      </c>
      <c r="K12" s="67" t="str">
        <f>IF($E12="Q22027",COUNTIF($E$3:$E12,"Q22027"),"")</f>
        <v/>
      </c>
      <c r="L12" s="67" t="str">
        <f>IF($E12="Q32027",COUNTIF($E$3:$E12,"Q32027"),"")</f>
        <v/>
      </c>
      <c r="M12" s="67" t="str">
        <f>IF($E12="Q42027",COUNTIF($E$3:$E12,"Q42027"),"")</f>
        <v/>
      </c>
      <c r="N12" s="67" t="str">
        <f>IF($E12="Backlog",COUNTIF($E$3:$E12,"Backlog"),"")</f>
        <v/>
      </c>
    </row>
    <row r="13" spans="1:14" ht="19.5" customHeight="1">
      <c r="A13" s="65">
        <v>11</v>
      </c>
      <c r="B13" s="16"/>
      <c r="C13" s="17"/>
      <c r="D13" s="17"/>
      <c r="E13" s="17"/>
      <c r="F13" s="17"/>
      <c r="G13" s="17"/>
      <c r="H13" s="66" t="str">
        <f>IF(C13="XXL (&gt;160h)",168,IF(C13="XL (&gt;40h)",48,IF(C13="L (20-40h)",30,IF(C13="M (10-20h)",15,IF(C13="S (&lt;10h)",5,"")))))</f>
        <v/>
      </c>
      <c r="I13" s="16"/>
      <c r="J13" s="67" t="str">
        <f>IF($E13="Q12027",COUNTIF($E$3:$E13,"Q12027"),"")</f>
        <v/>
      </c>
      <c r="K13" s="67" t="str">
        <f>IF($E13="Q22027",COUNTIF($E$3:$E13,"Q22027"),"")</f>
        <v/>
      </c>
      <c r="L13" s="67" t="str">
        <f>IF($E13="Q32027",COUNTIF($E$3:$E13,"Q32027"),"")</f>
        <v/>
      </c>
      <c r="M13" s="67" t="str">
        <f>IF($E13="Q42027",COUNTIF($E$3:$E13,"Q42027"),"")</f>
        <v/>
      </c>
      <c r="N13" s="67" t="str">
        <f>IF($E13="Backlog",COUNTIF($E$3:$E13,"Backlog"),"")</f>
        <v/>
      </c>
    </row>
    <row r="14" spans="1:14" ht="19.5" customHeight="1">
      <c r="A14" s="68">
        <v>12</v>
      </c>
      <c r="B14" s="18"/>
      <c r="C14" s="19"/>
      <c r="D14" s="19"/>
      <c r="E14" s="19"/>
      <c r="F14" s="19"/>
      <c r="G14" s="19"/>
      <c r="H14" s="69" t="str">
        <f>IF(C14="XXL (&gt;160h)",168,IF(C14="XL (&gt;40h)",48,IF(C14="L (20-40h)",30,IF(C14="M (10-20h)",15,IF(C14="S (&lt;10h)",5,"")))))</f>
        <v/>
      </c>
      <c r="I14" s="18"/>
      <c r="J14" s="67" t="str">
        <f>IF($E14="Q12027",COUNTIF($E$3:$E14,"Q12027"),"")</f>
        <v/>
      </c>
      <c r="K14" s="67" t="str">
        <f>IF($E14="Q22027",COUNTIF($E$3:$E14,"Q22027"),"")</f>
        <v/>
      </c>
      <c r="L14" s="67" t="str">
        <f>IF($E14="Q32027",COUNTIF($E$3:$E14,"Q32027"),"")</f>
        <v/>
      </c>
      <c r="M14" s="67" t="str">
        <f>IF($E14="Q42027",COUNTIF($E$3:$E14,"Q42027"),"")</f>
        <v/>
      </c>
      <c r="N14" s="67" t="str">
        <f>IF($E14="Backlog",COUNTIF($E$3:$E14,"Backlog"),"")</f>
        <v/>
      </c>
    </row>
    <row r="15" spans="1:14" ht="19.5" customHeight="1">
      <c r="A15" s="65">
        <v>13</v>
      </c>
      <c r="B15" s="16"/>
      <c r="C15" s="17"/>
      <c r="D15" s="17"/>
      <c r="E15" s="17"/>
      <c r="F15" s="17"/>
      <c r="G15" s="17"/>
      <c r="H15" s="66" t="str">
        <f>IF(C15="XXL (&gt;160h)",168,IF(C15="XL (&gt;40h)",48,IF(C15="L (20-40h)",30,IF(C15="M (10-20h)",15,IF(C15="S (&lt;10h)",5,"")))))</f>
        <v/>
      </c>
      <c r="I15" s="16"/>
      <c r="J15" s="67" t="str">
        <f>IF($E15="Q12027",COUNTIF($E$3:$E15,"Q12027"),"")</f>
        <v/>
      </c>
      <c r="K15" s="67" t="str">
        <f>IF($E15="Q22027",COUNTIF($E$3:$E15,"Q22027"),"")</f>
        <v/>
      </c>
      <c r="L15" s="67" t="str">
        <f>IF($E15="Q32027",COUNTIF($E$3:$E15,"Q32027"),"")</f>
        <v/>
      </c>
      <c r="M15" s="67" t="str">
        <f>IF($E15="Q42027",COUNTIF($E$3:$E15,"Q42027"),"")</f>
        <v/>
      </c>
      <c r="N15" s="67" t="str">
        <f>IF($E15="Backlog",COUNTIF($E$3:$E15,"Backlog"),"")</f>
        <v/>
      </c>
    </row>
    <row r="16" spans="1:14" ht="19.5" customHeight="1">
      <c r="A16" s="68">
        <v>14</v>
      </c>
      <c r="B16" s="18"/>
      <c r="C16" s="19"/>
      <c r="D16" s="19"/>
      <c r="E16" s="19"/>
      <c r="F16" s="19"/>
      <c r="G16" s="19"/>
      <c r="H16" s="69" t="str">
        <f>IF(C16="XXL (&gt;160h)",168,IF(C16="XL (&gt;40h)",48,IF(C16="L (20-40h)",30,IF(C16="M (10-20h)",15,IF(C16="S (&lt;10h)",5,"")))))</f>
        <v/>
      </c>
      <c r="I16" s="18"/>
      <c r="J16" s="67" t="str">
        <f>IF($E16="Q12027",COUNTIF($E$3:$E16,"Q12027"),"")</f>
        <v/>
      </c>
      <c r="K16" s="67" t="str">
        <f>IF($E16="Q22027",COUNTIF($E$3:$E16,"Q22027"),"")</f>
        <v/>
      </c>
      <c r="L16" s="67" t="str">
        <f>IF($E16="Q32027",COUNTIF($E$3:$E16,"Q32027"),"")</f>
        <v/>
      </c>
      <c r="M16" s="67" t="str">
        <f>IF($E16="Q42027",COUNTIF($E$3:$E16,"Q42027"),"")</f>
        <v/>
      </c>
      <c r="N16" s="67" t="str">
        <f>IF($E16="Backlog",COUNTIF($E$3:$E16,"Backlog"),"")</f>
        <v/>
      </c>
    </row>
    <row r="17" spans="1:14" ht="19.5" customHeight="1">
      <c r="A17" s="65">
        <v>15</v>
      </c>
      <c r="B17" s="16"/>
      <c r="C17" s="17"/>
      <c r="D17" s="17"/>
      <c r="E17" s="17"/>
      <c r="F17" s="17"/>
      <c r="G17" s="17"/>
      <c r="H17" s="66" t="str">
        <f>IF(C17="XXL (&gt;160h)",168,IF(C17="XL (&gt;40h)",48,IF(C17="L (20-40h)",30,IF(C17="M (10-20h)",15,IF(C17="S (&lt;10h)",5,"")))))</f>
        <v/>
      </c>
      <c r="I17" s="16"/>
      <c r="J17" s="67" t="str">
        <f>IF($E17="Q12027",COUNTIF($E$3:$E17,"Q12027"),"")</f>
        <v/>
      </c>
      <c r="K17" s="67" t="str">
        <f>IF($E17="Q22027",COUNTIF($E$3:$E17,"Q22027"),"")</f>
        <v/>
      </c>
      <c r="L17" s="67" t="str">
        <f>IF($E17="Q32027",COUNTIF($E$3:$E17,"Q32027"),"")</f>
        <v/>
      </c>
      <c r="M17" s="67" t="str">
        <f>IF($E17="Q42027",COUNTIF($E$3:$E17,"Q42027"),"")</f>
        <v/>
      </c>
      <c r="N17" s="67" t="str">
        <f>IF($E17="Backlog",COUNTIF($E$3:$E17,"Backlog"),"")</f>
        <v/>
      </c>
    </row>
    <row r="18" spans="1:14" ht="19.5" customHeight="1">
      <c r="A18" s="68">
        <v>16</v>
      </c>
      <c r="B18" s="18"/>
      <c r="C18" s="19"/>
      <c r="D18" s="19"/>
      <c r="E18" s="19"/>
      <c r="F18" s="19"/>
      <c r="G18" s="19"/>
      <c r="H18" s="69" t="str">
        <f>IF(C18="XXL (&gt;160h)",168,IF(C18="XL (&gt;40h)",48,IF(C18="L (20-40h)",30,IF(C18="M (10-20h)",15,IF(C18="S (&lt;10h)",5,"")))))</f>
        <v/>
      </c>
      <c r="I18" s="18"/>
      <c r="J18" s="67" t="str">
        <f>IF($E18="Q12027",COUNTIF($E$3:$E18,"Q12027"),"")</f>
        <v/>
      </c>
      <c r="K18" s="67" t="str">
        <f>IF($E18="Q22027",COUNTIF($E$3:$E18,"Q22027"),"")</f>
        <v/>
      </c>
      <c r="L18" s="67" t="str">
        <f>IF($E18="Q32027",COUNTIF($E$3:$E18,"Q32027"),"")</f>
        <v/>
      </c>
      <c r="M18" s="67" t="str">
        <f>IF($E18="Q42027",COUNTIF($E$3:$E18,"Q42027"),"")</f>
        <v/>
      </c>
      <c r="N18" s="67" t="str">
        <f>IF($E18="Backlog",COUNTIF($E$3:$E18,"Backlog"),"")</f>
        <v/>
      </c>
    </row>
    <row r="19" spans="1:14" ht="19.5" customHeight="1">
      <c r="A19" s="65">
        <v>17</v>
      </c>
      <c r="B19" s="16"/>
      <c r="C19" s="17"/>
      <c r="D19" s="17"/>
      <c r="E19" s="17"/>
      <c r="F19" s="17"/>
      <c r="G19" s="17"/>
      <c r="H19" s="66" t="str">
        <f>IF(C19="XXL (&gt;160h)",168,IF(C19="XL (&gt;40h)",48,IF(C19="L (20-40h)",30,IF(C19="M (10-20h)",15,IF(C19="S (&lt;10h)",5,"")))))</f>
        <v/>
      </c>
      <c r="I19" s="16"/>
      <c r="J19" s="67" t="str">
        <f>IF($E19="Q12027",COUNTIF($E$3:$E19,"Q12027"),"")</f>
        <v/>
      </c>
      <c r="K19" s="67" t="str">
        <f>IF($E19="Q22027",COUNTIF($E$3:$E19,"Q22027"),"")</f>
        <v/>
      </c>
      <c r="L19" s="67" t="str">
        <f>IF($E19="Q32027",COUNTIF($E$3:$E19,"Q32027"),"")</f>
        <v/>
      </c>
      <c r="M19" s="67" t="str">
        <f>IF($E19="Q42027",COUNTIF($E$3:$E19,"Q42027"),"")</f>
        <v/>
      </c>
      <c r="N19" s="67" t="str">
        <f>IF($E19="Backlog",COUNTIF($E$3:$E19,"Backlog"),"")</f>
        <v/>
      </c>
    </row>
    <row r="20" spans="1:14" ht="19.5" customHeight="1">
      <c r="A20" s="68">
        <v>18</v>
      </c>
      <c r="B20" s="18"/>
      <c r="C20" s="19"/>
      <c r="D20" s="19"/>
      <c r="E20" s="19"/>
      <c r="F20" s="19"/>
      <c r="G20" s="19"/>
      <c r="H20" s="69" t="str">
        <f>IF(C20="XXL (&gt;160h)",168,IF(C20="XL (&gt;40h)",48,IF(C20="L (20-40h)",30,IF(C20="M (10-20h)",15,IF(C20="S (&lt;10h)",5,"")))))</f>
        <v/>
      </c>
      <c r="I20" s="18"/>
      <c r="J20" s="67" t="str">
        <f>IF($E20="Q12027",COUNTIF($E$3:$E20,"Q12027"),"")</f>
        <v/>
      </c>
      <c r="K20" s="67" t="str">
        <f>IF($E20="Q22027",COUNTIF($E$3:$E20,"Q22027"),"")</f>
        <v/>
      </c>
      <c r="L20" s="67" t="str">
        <f>IF($E20="Q32027",COUNTIF($E$3:$E20,"Q32027"),"")</f>
        <v/>
      </c>
      <c r="M20" s="67" t="str">
        <f>IF($E20="Q42027",COUNTIF($E$3:$E20,"Q42027"),"")</f>
        <v/>
      </c>
      <c r="N20" s="67" t="str">
        <f>IF($E20="Backlog",COUNTIF($E$3:$E20,"Backlog"),"")</f>
        <v/>
      </c>
    </row>
    <row r="21" spans="1:14" ht="19.5" customHeight="1">
      <c r="A21" s="65">
        <v>19</v>
      </c>
      <c r="B21" s="16"/>
      <c r="C21" s="17"/>
      <c r="D21" s="17"/>
      <c r="E21" s="17"/>
      <c r="F21" s="17"/>
      <c r="G21" s="17"/>
      <c r="H21" s="66" t="str">
        <f>IF(C21="XXL (&gt;160h)",168,IF(C21="XL (&gt;40h)",48,IF(C21="L (20-40h)",30,IF(C21="M (10-20h)",15,IF(C21="S (&lt;10h)",5,"")))))</f>
        <v/>
      </c>
      <c r="I21" s="16"/>
      <c r="J21" s="67" t="str">
        <f>IF($E21="Q12027",COUNTIF($E$3:$E21,"Q12027"),"")</f>
        <v/>
      </c>
      <c r="K21" s="67" t="str">
        <f>IF($E21="Q22027",COUNTIF($E$3:$E21,"Q22027"),"")</f>
        <v/>
      </c>
      <c r="L21" s="67" t="str">
        <f>IF($E21="Q32027",COUNTIF($E$3:$E21,"Q32027"),"")</f>
        <v/>
      </c>
      <c r="M21" s="67" t="str">
        <f>IF($E21="Q42027",COUNTIF($E$3:$E21,"Q42027"),"")</f>
        <v/>
      </c>
      <c r="N21" s="67" t="str">
        <f>IF($E21="Backlog",COUNTIF($E$3:$E21,"Backlog"),"")</f>
        <v/>
      </c>
    </row>
    <row r="22" spans="1:14" ht="19.5" customHeight="1">
      <c r="A22" s="68">
        <v>20</v>
      </c>
      <c r="B22" s="18"/>
      <c r="C22" s="19"/>
      <c r="D22" s="19"/>
      <c r="E22" s="19"/>
      <c r="F22" s="19"/>
      <c r="G22" s="19"/>
      <c r="H22" s="69" t="str">
        <f>IF(C22="XXL (&gt;160h)",168,IF(C22="XL (&gt;40h)",48,IF(C22="L (20-40h)",30,IF(C22="M (10-20h)",15,IF(C22="S (&lt;10h)",5,"")))))</f>
        <v/>
      </c>
      <c r="I22" s="18"/>
      <c r="J22" s="67" t="str">
        <f>IF($E22="Q12027",COUNTIF($E$3:$E22,"Q12027"),"")</f>
        <v/>
      </c>
      <c r="K22" s="67" t="str">
        <f>IF($E22="Q22027",COUNTIF($E$3:$E22,"Q22027"),"")</f>
        <v/>
      </c>
      <c r="L22" s="67" t="str">
        <f>IF($E22="Q32027",COUNTIF($E$3:$E22,"Q32027"),"")</f>
        <v/>
      </c>
      <c r="M22" s="67" t="str">
        <f>IF($E22="Q42027",COUNTIF($E$3:$E22,"Q42027"),"")</f>
        <v/>
      </c>
      <c r="N22" s="67" t="str">
        <f>IF($E22="Backlog",COUNTIF($E$3:$E22,"Backlog"),"")</f>
        <v/>
      </c>
    </row>
    <row r="23" spans="1:14" ht="19.5" customHeight="1">
      <c r="A23" s="65">
        <v>21</v>
      </c>
      <c r="B23" s="16"/>
      <c r="C23" s="17"/>
      <c r="D23" s="17"/>
      <c r="E23" s="17"/>
      <c r="F23" s="17"/>
      <c r="G23" s="17"/>
      <c r="H23" s="66" t="str">
        <f>IF(C23="XXL (&gt;160h)",168,IF(C23="XL (&gt;40h)",48,IF(C23="L (20-40h)",30,IF(C23="M (10-20h)",15,IF(C23="S (&lt;10h)",5,"")))))</f>
        <v/>
      </c>
      <c r="I23" s="16"/>
      <c r="J23" s="67" t="str">
        <f>IF($E23="Q12027",COUNTIF($E$3:$E23,"Q12027"),"")</f>
        <v/>
      </c>
      <c r="K23" s="67" t="str">
        <f>IF($E23="Q22027",COUNTIF($E$3:$E23,"Q22027"),"")</f>
        <v/>
      </c>
      <c r="L23" s="67" t="str">
        <f>IF($E23="Q32027",COUNTIF($E$3:$E23,"Q32027"),"")</f>
        <v/>
      </c>
      <c r="M23" s="67" t="str">
        <f>IF($E23="Q42027",COUNTIF($E$3:$E23,"Q42027"),"")</f>
        <v/>
      </c>
      <c r="N23" s="67" t="str">
        <f>IF($E23="Backlog",COUNTIF($E$3:$E23,"Backlog"),"")</f>
        <v/>
      </c>
    </row>
    <row r="24" spans="1:14" ht="19.5" customHeight="1">
      <c r="A24" s="68">
        <v>22</v>
      </c>
      <c r="B24" s="18"/>
      <c r="C24" s="19"/>
      <c r="D24" s="19"/>
      <c r="E24" s="19"/>
      <c r="F24" s="19"/>
      <c r="G24" s="19"/>
      <c r="H24" s="69" t="str">
        <f>IF(C24="XXL (&gt;160h)",168,IF(C24="XL (&gt;40h)",48,IF(C24="L (20-40h)",30,IF(C24="M (10-20h)",15,IF(C24="S (&lt;10h)",5,"")))))</f>
        <v/>
      </c>
      <c r="I24" s="18"/>
      <c r="J24" s="67" t="str">
        <f>IF($E24="Q12027",COUNTIF($E$3:$E24,"Q12027"),"")</f>
        <v/>
      </c>
      <c r="K24" s="67" t="str">
        <f>IF($E24="Q22027",COUNTIF($E$3:$E24,"Q22027"),"")</f>
        <v/>
      </c>
      <c r="L24" s="67" t="str">
        <f>IF($E24="Q32027",COUNTIF($E$3:$E24,"Q32027"),"")</f>
        <v/>
      </c>
      <c r="M24" s="67" t="str">
        <f>IF($E24="Q42027",COUNTIF($E$3:$E24,"Q42027"),"")</f>
        <v/>
      </c>
      <c r="N24" s="67" t="str">
        <f>IF($E24="Backlog",COUNTIF($E$3:$E24,"Backlog"),"")</f>
        <v/>
      </c>
    </row>
    <row r="25" spans="1:14" ht="19.5" customHeight="1">
      <c r="A25" s="65">
        <v>23</v>
      </c>
      <c r="B25" s="16"/>
      <c r="C25" s="17"/>
      <c r="D25" s="17"/>
      <c r="E25" s="17"/>
      <c r="F25" s="17"/>
      <c r="G25" s="17"/>
      <c r="H25" s="66" t="str">
        <f>IF(C25="XXL (&gt;160h)",168,IF(C25="XL (&gt;40h)",48,IF(C25="L (20-40h)",30,IF(C25="M (10-20h)",15,IF(C25="S (&lt;10h)",5,"")))))</f>
        <v/>
      </c>
      <c r="I25" s="16"/>
      <c r="J25" s="67" t="str">
        <f>IF($E25="Q12027",COUNTIF($E$3:$E25,"Q12027"),"")</f>
        <v/>
      </c>
      <c r="K25" s="67" t="str">
        <f>IF($E25="Q22027",COUNTIF($E$3:$E25,"Q22027"),"")</f>
        <v/>
      </c>
      <c r="L25" s="67" t="str">
        <f>IF($E25="Q32027",COUNTIF($E$3:$E25,"Q32027"),"")</f>
        <v/>
      </c>
      <c r="M25" s="67" t="str">
        <f>IF($E25="Q42027",COUNTIF($E$3:$E25,"Q42027"),"")</f>
        <v/>
      </c>
      <c r="N25" s="67" t="str">
        <f>IF($E25="Backlog",COUNTIF($E$3:$E25,"Backlog"),"")</f>
        <v/>
      </c>
    </row>
    <row r="26" spans="1:14" ht="19.5" customHeight="1">
      <c r="A26" s="68">
        <v>24</v>
      </c>
      <c r="B26" s="18"/>
      <c r="C26" s="19"/>
      <c r="D26" s="19"/>
      <c r="E26" s="19"/>
      <c r="F26" s="19"/>
      <c r="G26" s="19"/>
      <c r="H26" s="69" t="str">
        <f>IF(C26="XXL (&gt;160h)",168,IF(C26="XL (&gt;40h)",48,IF(C26="L (20-40h)",30,IF(C26="M (10-20h)",15,IF(C26="S (&lt;10h)",5,"")))))</f>
        <v/>
      </c>
      <c r="I26" s="18"/>
      <c r="J26" s="67" t="str">
        <f>IF($E26="Q12027",COUNTIF($E$3:$E26,"Q12027"),"")</f>
        <v/>
      </c>
      <c r="K26" s="67" t="str">
        <f>IF($E26="Q22027",COUNTIF($E$3:$E26,"Q22027"),"")</f>
        <v/>
      </c>
      <c r="L26" s="67" t="str">
        <f>IF($E26="Q32027",COUNTIF($E$3:$E26,"Q32027"),"")</f>
        <v/>
      </c>
      <c r="M26" s="67" t="str">
        <f>IF($E26="Q42027",COUNTIF($E$3:$E26,"Q42027"),"")</f>
        <v/>
      </c>
      <c r="N26" s="67" t="str">
        <f>IF($E26="Backlog",COUNTIF($E$3:$E26,"Backlog"),"")</f>
        <v/>
      </c>
    </row>
    <row r="27" spans="1:14" ht="19.5" customHeight="1">
      <c r="A27" s="65">
        <v>25</v>
      </c>
      <c r="B27" s="16"/>
      <c r="C27" s="17"/>
      <c r="D27" s="17"/>
      <c r="E27" s="17"/>
      <c r="F27" s="17"/>
      <c r="G27" s="17"/>
      <c r="H27" s="66" t="str">
        <f>IF(C27="XXL (&gt;160h)",168,IF(C27="XL (&gt;40h)",48,IF(C27="L (20-40h)",30,IF(C27="M (10-20h)",15,IF(C27="S (&lt;10h)",5,"")))))</f>
        <v/>
      </c>
      <c r="I27" s="16"/>
      <c r="J27" s="67" t="str">
        <f>IF($E27="Q12027",COUNTIF($E$3:$E27,"Q12027"),"")</f>
        <v/>
      </c>
      <c r="K27" s="67" t="str">
        <f>IF($E27="Q22027",COUNTIF($E$3:$E27,"Q22027"),"")</f>
        <v/>
      </c>
      <c r="L27" s="67" t="str">
        <f>IF($E27="Q32027",COUNTIF($E$3:$E27,"Q32027"),"")</f>
        <v/>
      </c>
      <c r="M27" s="67" t="str">
        <f>IF($E27="Q42027",COUNTIF($E$3:$E27,"Q42027"),"")</f>
        <v/>
      </c>
      <c r="N27" s="67" t="str">
        <f>IF($E27="Backlog",COUNTIF($E$3:$E27,"Backlog"),"")</f>
        <v/>
      </c>
    </row>
    <row r="28" spans="1:14" ht="19.5" customHeight="1">
      <c r="A28" s="68">
        <v>26</v>
      </c>
      <c r="B28" s="18"/>
      <c r="C28" s="19"/>
      <c r="D28" s="19"/>
      <c r="E28" s="19"/>
      <c r="F28" s="19"/>
      <c r="G28" s="19"/>
      <c r="H28" s="69" t="str">
        <f>IF(C28="XXL (&gt;160h)",168,IF(C28="XL (&gt;40h)",48,IF(C28="L (20-40h)",30,IF(C28="M (10-20h)",15,IF(C28="S (&lt;10h)",5,"")))))</f>
        <v/>
      </c>
      <c r="I28" s="18"/>
      <c r="J28" s="67" t="str">
        <f>IF($E28="Q12027",COUNTIF($E$3:$E28,"Q12027"),"")</f>
        <v/>
      </c>
      <c r="K28" s="67" t="str">
        <f>IF($E28="Q22027",COUNTIF($E$3:$E28,"Q22027"),"")</f>
        <v/>
      </c>
      <c r="L28" s="67" t="str">
        <f>IF($E28="Q32027",COUNTIF($E$3:$E28,"Q32027"),"")</f>
        <v/>
      </c>
      <c r="M28" s="67" t="str">
        <f>IF($E28="Q42027",COUNTIF($E$3:$E28,"Q42027"),"")</f>
        <v/>
      </c>
      <c r="N28" s="67" t="str">
        <f>IF($E28="Backlog",COUNTIF($E$3:$E28,"Backlog"),"")</f>
        <v/>
      </c>
    </row>
    <row r="29" spans="1:14" ht="19.5" customHeight="1">
      <c r="A29" s="65">
        <v>27</v>
      </c>
      <c r="B29" s="16"/>
      <c r="C29" s="17"/>
      <c r="D29" s="17"/>
      <c r="E29" s="17"/>
      <c r="F29" s="17"/>
      <c r="G29" s="17"/>
      <c r="H29" s="66" t="str">
        <f>IF(C29="XXL (&gt;160h)",168,IF(C29="XL (&gt;40h)",48,IF(C29="L (20-40h)",30,IF(C29="M (10-20h)",15,IF(C29="S (&lt;10h)",5,"")))))</f>
        <v/>
      </c>
      <c r="I29" s="16"/>
      <c r="J29" s="67" t="str">
        <f>IF($E29="Q12027",COUNTIF($E$3:$E29,"Q12027"),"")</f>
        <v/>
      </c>
      <c r="K29" s="67" t="str">
        <f>IF($E29="Q22027",COUNTIF($E$3:$E29,"Q22027"),"")</f>
        <v/>
      </c>
      <c r="L29" s="67" t="str">
        <f>IF($E29="Q32027",COUNTIF($E$3:$E29,"Q32027"),"")</f>
        <v/>
      </c>
      <c r="M29" s="67" t="str">
        <f>IF($E29="Q42027",COUNTIF($E$3:$E29,"Q42027"),"")</f>
        <v/>
      </c>
      <c r="N29" s="67" t="str">
        <f>IF($E29="Backlog",COUNTIF($E$3:$E29,"Backlog"),"")</f>
        <v/>
      </c>
    </row>
    <row r="30" spans="1:14" ht="19.5" customHeight="1">
      <c r="A30" s="68">
        <v>28</v>
      </c>
      <c r="B30" s="18"/>
      <c r="C30" s="19"/>
      <c r="D30" s="19"/>
      <c r="E30" s="19"/>
      <c r="F30" s="19"/>
      <c r="G30" s="19"/>
      <c r="H30" s="69" t="str">
        <f>IF(C30="XXL (&gt;160h)",168,IF(C30="XL (&gt;40h)",48,IF(C30="L (20-40h)",30,IF(C30="M (10-20h)",15,IF(C30="S (&lt;10h)",5,"")))))</f>
        <v/>
      </c>
      <c r="I30" s="18"/>
      <c r="J30" s="67" t="str">
        <f>IF($E30="Q12027",COUNTIF($E$3:$E30,"Q12027"),"")</f>
        <v/>
      </c>
      <c r="K30" s="67" t="str">
        <f>IF($E30="Q22027",COUNTIF($E$3:$E30,"Q22027"),"")</f>
        <v/>
      </c>
      <c r="L30" s="67" t="str">
        <f>IF($E30="Q32027",COUNTIF($E$3:$E30,"Q32027"),"")</f>
        <v/>
      </c>
      <c r="M30" s="67" t="str">
        <f>IF($E30="Q42027",COUNTIF($E$3:$E30,"Q42027"),"")</f>
        <v/>
      </c>
      <c r="N30" s="67" t="str">
        <f>IF($E30="Backlog",COUNTIF($E$3:$E30,"Backlog"),"")</f>
        <v/>
      </c>
    </row>
    <row r="31" spans="1:14" ht="19.5" customHeight="1">
      <c r="A31" s="65">
        <v>29</v>
      </c>
      <c r="B31" s="16"/>
      <c r="C31" s="17"/>
      <c r="D31" s="17"/>
      <c r="E31" s="17"/>
      <c r="F31" s="17"/>
      <c r="G31" s="17"/>
      <c r="H31" s="66" t="str">
        <f>IF(C31="XXL (&gt;160h)",168,IF(C31="XL (&gt;40h)",48,IF(C31="L (20-40h)",30,IF(C31="M (10-20h)",15,IF(C31="S (&lt;10h)",5,"")))))</f>
        <v/>
      </c>
      <c r="I31" s="16"/>
      <c r="J31" s="67" t="str">
        <f>IF($E31="Q12027",COUNTIF($E$3:$E31,"Q12027"),"")</f>
        <v/>
      </c>
      <c r="K31" s="67" t="str">
        <f>IF($E31="Q22027",COUNTIF($E$3:$E31,"Q22027"),"")</f>
        <v/>
      </c>
      <c r="L31" s="67" t="str">
        <f>IF($E31="Q32027",COUNTIF($E$3:$E31,"Q32027"),"")</f>
        <v/>
      </c>
      <c r="M31" s="67" t="str">
        <f>IF($E31="Q42027",COUNTIF($E$3:$E31,"Q42027"),"")</f>
        <v/>
      </c>
      <c r="N31" s="67" t="str">
        <f>IF($E31="Backlog",COUNTIF($E$3:$E31,"Backlog"),"")</f>
        <v/>
      </c>
    </row>
    <row r="32" spans="1:14" ht="19.5" customHeight="1">
      <c r="A32" s="68">
        <v>30</v>
      </c>
      <c r="B32" s="18"/>
      <c r="C32" s="19"/>
      <c r="D32" s="19"/>
      <c r="E32" s="19"/>
      <c r="F32" s="19"/>
      <c r="G32" s="19"/>
      <c r="H32" s="69" t="str">
        <f>IF(C32="XXL (&gt;160h)",168,IF(C32="XL (&gt;40h)",48,IF(C32="L (20-40h)",30,IF(C32="M (10-20h)",15,IF(C32="S (&lt;10h)",5,"")))))</f>
        <v/>
      </c>
      <c r="I32" s="18"/>
      <c r="J32" s="67" t="str">
        <f>IF($E32="Q12027",COUNTIF($E$3:$E32,"Q12027"),"")</f>
        <v/>
      </c>
      <c r="K32" s="67" t="str">
        <f>IF($E32="Q22027",COUNTIF($E$3:$E32,"Q22027"),"")</f>
        <v/>
      </c>
      <c r="L32" s="67" t="str">
        <f>IF($E32="Q32027",COUNTIF($E$3:$E32,"Q32027"),"")</f>
        <v/>
      </c>
      <c r="M32" s="67" t="str">
        <f>IF($E32="Q42027",COUNTIF($E$3:$E32,"Q42027"),"")</f>
        <v/>
      </c>
      <c r="N32" s="67" t="str">
        <f>IF($E32="Backlog",COUNTIF($E$3:$E32,"Backlog"),"")</f>
        <v/>
      </c>
    </row>
    <row r="33" spans="1:14" ht="19.5" customHeight="1">
      <c r="A33" s="65">
        <v>31</v>
      </c>
      <c r="B33" s="16"/>
      <c r="C33" s="17"/>
      <c r="D33" s="17"/>
      <c r="E33" s="17"/>
      <c r="F33" s="17"/>
      <c r="G33" s="17"/>
      <c r="H33" s="66" t="str">
        <f>IF(C33="XXL (&gt;160h)",168,IF(C33="XL (&gt;40h)",48,IF(C33="L (20-40h)",30,IF(C33="M (10-20h)",15,IF(C33="S (&lt;10h)",5,"")))))</f>
        <v/>
      </c>
      <c r="I33" s="16"/>
      <c r="J33" s="67" t="str">
        <f>IF($E33="Q12027",COUNTIF($E$3:$E33,"Q12027"),"")</f>
        <v/>
      </c>
      <c r="K33" s="67" t="str">
        <f>IF($E33="Q22027",COUNTIF($E$3:$E33,"Q22027"),"")</f>
        <v/>
      </c>
      <c r="L33" s="67" t="str">
        <f>IF($E33="Q32027",COUNTIF($E$3:$E33,"Q32027"),"")</f>
        <v/>
      </c>
      <c r="M33" s="67" t="str">
        <f>IF($E33="Q42027",COUNTIF($E$3:$E33,"Q42027"),"")</f>
        <v/>
      </c>
      <c r="N33" s="67" t="str">
        <f>IF($E33="Backlog",COUNTIF($E$3:$E33,"Backlog"),"")</f>
        <v/>
      </c>
    </row>
    <row r="34" spans="1:14" ht="19.5" customHeight="1">
      <c r="A34" s="68">
        <v>32</v>
      </c>
      <c r="B34" s="18"/>
      <c r="C34" s="19"/>
      <c r="D34" s="19"/>
      <c r="E34" s="19"/>
      <c r="F34" s="19"/>
      <c r="G34" s="19"/>
      <c r="H34" s="69" t="str">
        <f>IF(C34="XXL (&gt;160h)",168,IF(C34="XL (&gt;40h)",48,IF(C34="L (20-40h)",30,IF(C34="M (10-20h)",15,IF(C34="S (&lt;10h)",5,"")))))</f>
        <v/>
      </c>
      <c r="I34" s="18"/>
      <c r="J34" s="67" t="str">
        <f>IF($E34="Q12027",COUNTIF($E$3:$E34,"Q12027"),"")</f>
        <v/>
      </c>
      <c r="K34" s="67" t="str">
        <f>IF($E34="Q22027",COUNTIF($E$3:$E34,"Q22027"),"")</f>
        <v/>
      </c>
      <c r="L34" s="67" t="str">
        <f>IF($E34="Q32027",COUNTIF($E$3:$E34,"Q32027"),"")</f>
        <v/>
      </c>
      <c r="M34" s="67" t="str">
        <f>IF($E34="Q42027",COUNTIF($E$3:$E34,"Q42027"),"")</f>
        <v/>
      </c>
      <c r="N34" s="67" t="str">
        <f>IF($E34="Backlog",COUNTIF($E$3:$E34,"Backlog"),"")</f>
        <v/>
      </c>
    </row>
    <row r="35" spans="1:14" ht="19.5" customHeight="1">
      <c r="A35" s="65">
        <v>33</v>
      </c>
      <c r="B35" s="16"/>
      <c r="C35" s="17"/>
      <c r="D35" s="17"/>
      <c r="E35" s="17"/>
      <c r="F35" s="17"/>
      <c r="G35" s="17"/>
      <c r="H35" s="66" t="str">
        <f>IF(C35="XXL (&gt;160h)",168,IF(C35="XL (&gt;40h)",48,IF(C35="L (20-40h)",30,IF(C35="M (10-20h)",15,IF(C35="S (&lt;10h)",5,"")))))</f>
        <v/>
      </c>
      <c r="I35" s="16"/>
      <c r="J35" s="67" t="str">
        <f>IF($E35="Q12027",COUNTIF($E$3:$E35,"Q12027"),"")</f>
        <v/>
      </c>
      <c r="K35" s="67" t="str">
        <f>IF($E35="Q22027",COUNTIF($E$3:$E35,"Q22027"),"")</f>
        <v/>
      </c>
      <c r="L35" s="67" t="str">
        <f>IF($E35="Q32027",COUNTIF($E$3:$E35,"Q32027"),"")</f>
        <v/>
      </c>
      <c r="M35" s="67" t="str">
        <f>IF($E35="Q42027",COUNTIF($E$3:$E35,"Q42027"),"")</f>
        <v/>
      </c>
      <c r="N35" s="67" t="str">
        <f>IF($E35="Backlog",COUNTIF($E$3:$E35,"Backlog"),"")</f>
        <v/>
      </c>
    </row>
    <row r="36" spans="1:14" ht="19.5" customHeight="1">
      <c r="A36" s="68">
        <v>34</v>
      </c>
      <c r="B36" s="18"/>
      <c r="C36" s="19"/>
      <c r="D36" s="19"/>
      <c r="E36" s="19"/>
      <c r="F36" s="19"/>
      <c r="G36" s="19"/>
      <c r="H36" s="69" t="str">
        <f>IF(C36="XXL (&gt;160h)",168,IF(C36="XL (&gt;40h)",48,IF(C36="L (20-40h)",30,IF(C36="M (10-20h)",15,IF(C36="S (&lt;10h)",5,"")))))</f>
        <v/>
      </c>
      <c r="I36" s="18"/>
      <c r="J36" s="67" t="str">
        <f>IF($E36="Q12027",COUNTIF($E$3:$E36,"Q12027"),"")</f>
        <v/>
      </c>
      <c r="K36" s="67" t="str">
        <f>IF($E36="Q22027",COUNTIF($E$3:$E36,"Q22027"),"")</f>
        <v/>
      </c>
      <c r="L36" s="67" t="str">
        <f>IF($E36="Q32027",COUNTIF($E$3:$E36,"Q32027"),"")</f>
        <v/>
      </c>
      <c r="M36" s="67" t="str">
        <f>IF($E36="Q42027",COUNTIF($E$3:$E36,"Q42027"),"")</f>
        <v/>
      </c>
      <c r="N36" s="67" t="str">
        <f>IF($E36="Backlog",COUNTIF($E$3:$E36,"Backlog"),"")</f>
        <v/>
      </c>
    </row>
    <row r="37" spans="1:14" ht="19.5" customHeight="1">
      <c r="A37" s="65">
        <v>35</v>
      </c>
      <c r="B37" s="16"/>
      <c r="C37" s="17"/>
      <c r="D37" s="17"/>
      <c r="E37" s="17"/>
      <c r="F37" s="17"/>
      <c r="G37" s="17"/>
      <c r="H37" s="66" t="str">
        <f>IF(C37="XXL (&gt;160h)",168,IF(C37="XL (&gt;40h)",48,IF(C37="L (20-40h)",30,IF(C37="M (10-20h)",15,IF(C37="S (&lt;10h)",5,"")))))</f>
        <v/>
      </c>
      <c r="I37" s="16"/>
      <c r="J37" s="67" t="str">
        <f>IF($E37="Q12027",COUNTIF($E$3:$E37,"Q12027"),"")</f>
        <v/>
      </c>
      <c r="K37" s="67" t="str">
        <f>IF($E37="Q22027",COUNTIF($E$3:$E37,"Q22027"),"")</f>
        <v/>
      </c>
      <c r="L37" s="67" t="str">
        <f>IF($E37="Q32027",COUNTIF($E$3:$E37,"Q32027"),"")</f>
        <v/>
      </c>
      <c r="M37" s="67" t="str">
        <f>IF($E37="Q42027",COUNTIF($E$3:$E37,"Q42027"),"")</f>
        <v/>
      </c>
      <c r="N37" s="67" t="str">
        <f>IF($E37="Backlog",COUNTIF($E$3:$E37,"Backlog"),"")</f>
        <v/>
      </c>
    </row>
    <row r="38" spans="1:14" ht="19.5" customHeight="1">
      <c r="A38" s="68">
        <v>36</v>
      </c>
      <c r="B38" s="18"/>
      <c r="C38" s="19"/>
      <c r="D38" s="19"/>
      <c r="E38" s="19"/>
      <c r="F38" s="19"/>
      <c r="G38" s="19"/>
      <c r="H38" s="69" t="str">
        <f>IF(C38="XXL (&gt;160h)",168,IF(C38="XL (&gt;40h)",48,IF(C38="L (20-40h)",30,IF(C38="M (10-20h)",15,IF(C38="S (&lt;10h)",5,"")))))</f>
        <v/>
      </c>
      <c r="I38" s="18"/>
      <c r="J38" s="67" t="str">
        <f>IF($E38="Q12027",COUNTIF($E$3:$E38,"Q12027"),"")</f>
        <v/>
      </c>
      <c r="K38" s="67" t="str">
        <f>IF($E38="Q22027",COUNTIF($E$3:$E38,"Q22027"),"")</f>
        <v/>
      </c>
      <c r="L38" s="67" t="str">
        <f>IF($E38="Q32027",COUNTIF($E$3:$E38,"Q32027"),"")</f>
        <v/>
      </c>
      <c r="M38" s="67" t="str">
        <f>IF($E38="Q42027",COUNTIF($E$3:$E38,"Q42027"),"")</f>
        <v/>
      </c>
      <c r="N38" s="67" t="str">
        <f>IF($E38="Backlog",COUNTIF($E$3:$E38,"Backlog"),"")</f>
        <v/>
      </c>
    </row>
    <row r="39" spans="1:14" ht="19.5" customHeight="1">
      <c r="A39" s="65">
        <v>37</v>
      </c>
      <c r="B39" s="16"/>
      <c r="C39" s="17"/>
      <c r="D39" s="17"/>
      <c r="E39" s="17"/>
      <c r="F39" s="17"/>
      <c r="G39" s="17"/>
      <c r="H39" s="66" t="str">
        <f>IF(C39="XXL (&gt;160h)",168,IF(C39="XL (&gt;40h)",48,IF(C39="L (20-40h)",30,IF(C39="M (10-20h)",15,IF(C39="S (&lt;10h)",5,"")))))</f>
        <v/>
      </c>
      <c r="I39" s="16"/>
      <c r="J39" s="67" t="str">
        <f>IF($E39="Q12027",COUNTIF($E$3:$E39,"Q12027"),"")</f>
        <v/>
      </c>
      <c r="K39" s="67" t="str">
        <f>IF($E39="Q22027",COUNTIF($E$3:$E39,"Q22027"),"")</f>
        <v/>
      </c>
      <c r="L39" s="67" t="str">
        <f>IF($E39="Q32027",COUNTIF($E$3:$E39,"Q32027"),"")</f>
        <v/>
      </c>
      <c r="M39" s="67" t="str">
        <f>IF($E39="Q42027",COUNTIF($E$3:$E39,"Q42027"),"")</f>
        <v/>
      </c>
      <c r="N39" s="67" t="str">
        <f>IF($E39="Backlog",COUNTIF($E$3:$E39,"Backlog"),"")</f>
        <v/>
      </c>
    </row>
    <row r="40" spans="1:14" ht="19.5" customHeight="1">
      <c r="A40" s="68">
        <v>38</v>
      </c>
      <c r="B40" s="18"/>
      <c r="C40" s="19"/>
      <c r="D40" s="19"/>
      <c r="E40" s="19"/>
      <c r="F40" s="19"/>
      <c r="G40" s="19"/>
      <c r="H40" s="69" t="str">
        <f>IF(C40="XXL (&gt;160h)",168,IF(C40="XL (&gt;40h)",48,IF(C40="L (20-40h)",30,IF(C40="M (10-20h)",15,IF(C40="S (&lt;10h)",5,"")))))</f>
        <v/>
      </c>
      <c r="I40" s="18"/>
      <c r="J40" s="67" t="str">
        <f>IF($E40="Q12027",COUNTIF($E$3:$E40,"Q12027"),"")</f>
        <v/>
      </c>
      <c r="K40" s="67" t="str">
        <f>IF($E40="Q22027",COUNTIF($E$3:$E40,"Q22027"),"")</f>
        <v/>
      </c>
      <c r="L40" s="67" t="str">
        <f>IF($E40="Q32027",COUNTIF($E$3:$E40,"Q32027"),"")</f>
        <v/>
      </c>
      <c r="M40" s="67" t="str">
        <f>IF($E40="Q42027",COUNTIF($E$3:$E40,"Q42027"),"")</f>
        <v/>
      </c>
      <c r="N40" s="67" t="str">
        <f>IF($E40="Backlog",COUNTIF($E$3:$E40,"Backlog"),"")</f>
        <v/>
      </c>
    </row>
    <row r="41" spans="1:14" ht="19.5" customHeight="1">
      <c r="A41" s="65">
        <v>39</v>
      </c>
      <c r="B41" s="16"/>
      <c r="C41" s="17"/>
      <c r="D41" s="17"/>
      <c r="E41" s="17"/>
      <c r="F41" s="17"/>
      <c r="G41" s="17"/>
      <c r="H41" s="66" t="str">
        <f>IF(C41="XXL (&gt;160h)",168,IF(C41="XL (&gt;40h)",48,IF(C41="L (20-40h)",30,IF(C41="M (10-20h)",15,IF(C41="S (&lt;10h)",5,"")))))</f>
        <v/>
      </c>
      <c r="I41" s="16"/>
      <c r="J41" s="67" t="str">
        <f>IF($E41="Q12027",COUNTIF($E$3:$E41,"Q12027"),"")</f>
        <v/>
      </c>
      <c r="K41" s="67" t="str">
        <f>IF($E41="Q22027",COUNTIF($E$3:$E41,"Q22027"),"")</f>
        <v/>
      </c>
      <c r="L41" s="67" t="str">
        <f>IF($E41="Q32027",COUNTIF($E$3:$E41,"Q32027"),"")</f>
        <v/>
      </c>
      <c r="M41" s="67" t="str">
        <f>IF($E41="Q42027",COUNTIF($E$3:$E41,"Q42027"),"")</f>
        <v/>
      </c>
      <c r="N41" s="67" t="str">
        <f>IF($E41="Backlog",COUNTIF($E$3:$E41,"Backlog"),"")</f>
        <v/>
      </c>
    </row>
    <row r="42" spans="1:14" ht="19.5" customHeight="1">
      <c r="A42" s="68">
        <v>40</v>
      </c>
      <c r="B42" s="18"/>
      <c r="C42" s="19"/>
      <c r="D42" s="19"/>
      <c r="E42" s="19"/>
      <c r="F42" s="19"/>
      <c r="G42" s="19"/>
      <c r="H42" s="69" t="str">
        <f>IF(C42="XXL (&gt;160h)",168,IF(C42="XL (&gt;40h)",48,IF(C42="L (20-40h)",30,IF(C42="M (10-20h)",15,IF(C42="S (&lt;10h)",5,"")))))</f>
        <v/>
      </c>
      <c r="I42" s="18"/>
      <c r="J42" s="67" t="str">
        <f>IF($E42="Q12027",COUNTIF($E$3:$E42,"Q12027"),"")</f>
        <v/>
      </c>
      <c r="K42" s="67" t="str">
        <f>IF($E42="Q22027",COUNTIF($E$3:$E42,"Q22027"),"")</f>
        <v/>
      </c>
      <c r="L42" s="67" t="str">
        <f>IF($E42="Q32027",COUNTIF($E$3:$E42,"Q32027"),"")</f>
        <v/>
      </c>
      <c r="M42" s="67" t="str">
        <f>IF($E42="Q42027",COUNTIF($E$3:$E42,"Q42027"),"")</f>
        <v/>
      </c>
      <c r="N42" s="67" t="str">
        <f>IF($E42="Backlog",COUNTIF($E$3:$E42,"Backlog"),"")</f>
        <v/>
      </c>
    </row>
    <row r="43" spans="1:14" ht="19.5" customHeight="1">
      <c r="A43" s="65">
        <v>41</v>
      </c>
      <c r="B43" s="16"/>
      <c r="C43" s="17"/>
      <c r="D43" s="17"/>
      <c r="E43" s="17"/>
      <c r="F43" s="17"/>
      <c r="G43" s="17"/>
      <c r="H43" s="66" t="str">
        <f>IF(C43="XXL (&gt;160h)",168,IF(C43="XL (&gt;40h)",48,IF(C43="L (20-40h)",30,IF(C43="M (10-20h)",15,IF(C43="S (&lt;10h)",5,"")))))</f>
        <v/>
      </c>
      <c r="I43" s="16"/>
      <c r="J43" s="67" t="str">
        <f>IF($E43="Q12027",COUNTIF($E$3:$E43,"Q12027"),"")</f>
        <v/>
      </c>
      <c r="K43" s="67" t="str">
        <f>IF($E43="Q22027",COUNTIF($E$3:$E43,"Q22027"),"")</f>
        <v/>
      </c>
      <c r="L43" s="67" t="str">
        <f>IF($E43="Q32027",COUNTIF($E$3:$E43,"Q32027"),"")</f>
        <v/>
      </c>
      <c r="M43" s="67" t="str">
        <f>IF($E43="Q42027",COUNTIF($E$3:$E43,"Q42027"),"")</f>
        <v/>
      </c>
      <c r="N43" s="67" t="str">
        <f>IF($E43="Backlog",COUNTIF($E$3:$E43,"Backlog"),"")</f>
        <v/>
      </c>
    </row>
    <row r="44" spans="1:14" ht="19.5" customHeight="1">
      <c r="A44" s="68">
        <v>42</v>
      </c>
      <c r="B44" s="18"/>
      <c r="C44" s="19"/>
      <c r="D44" s="19"/>
      <c r="E44" s="19"/>
      <c r="F44" s="19"/>
      <c r="G44" s="19"/>
      <c r="H44" s="69" t="str">
        <f>IF(C44="XXL (&gt;160h)",168,IF(C44="XL (&gt;40h)",48,IF(C44="L (20-40h)",30,IF(C44="M (10-20h)",15,IF(C44="S (&lt;10h)",5,"")))))</f>
        <v/>
      </c>
      <c r="I44" s="18"/>
      <c r="J44" s="67" t="str">
        <f>IF($E44="Q12027",COUNTIF($E$3:$E44,"Q12027"),"")</f>
        <v/>
      </c>
      <c r="K44" s="67" t="str">
        <f>IF($E44="Q22027",COUNTIF($E$3:$E44,"Q22027"),"")</f>
        <v/>
      </c>
      <c r="L44" s="67" t="str">
        <f>IF($E44="Q32027",COUNTIF($E$3:$E44,"Q32027"),"")</f>
        <v/>
      </c>
      <c r="M44" s="67" t="str">
        <f>IF($E44="Q42027",COUNTIF($E$3:$E44,"Q42027"),"")</f>
        <v/>
      </c>
      <c r="N44" s="67" t="str">
        <f>IF($E44="Backlog",COUNTIF($E$3:$E44,"Backlog"),"")</f>
        <v/>
      </c>
    </row>
    <row r="45" spans="1:14" ht="19.5" customHeight="1">
      <c r="A45" s="65">
        <v>43</v>
      </c>
      <c r="B45" s="16"/>
      <c r="C45" s="17"/>
      <c r="D45" s="17"/>
      <c r="E45" s="17"/>
      <c r="F45" s="17"/>
      <c r="G45" s="17"/>
      <c r="H45" s="66" t="str">
        <f>IF(C45="XXL (&gt;160h)",168,IF(C45="XL (&gt;40h)",48,IF(C45="L (20-40h)",30,IF(C45="M (10-20h)",15,IF(C45="S (&lt;10h)",5,"")))))</f>
        <v/>
      </c>
      <c r="I45" s="16"/>
      <c r="J45" s="67" t="str">
        <f>IF($E45="Q12027",COUNTIF($E$3:$E45,"Q12027"),"")</f>
        <v/>
      </c>
      <c r="K45" s="67" t="str">
        <f>IF($E45="Q22027",COUNTIF($E$3:$E45,"Q22027"),"")</f>
        <v/>
      </c>
      <c r="L45" s="67" t="str">
        <f>IF($E45="Q32027",COUNTIF($E$3:$E45,"Q32027"),"")</f>
        <v/>
      </c>
      <c r="M45" s="67" t="str">
        <f>IF($E45="Q42027",COUNTIF($E$3:$E45,"Q42027"),"")</f>
        <v/>
      </c>
      <c r="N45" s="67" t="str">
        <f>IF($E45="Backlog",COUNTIF($E$3:$E45,"Backlog"),"")</f>
        <v/>
      </c>
    </row>
    <row r="46" spans="1:14" ht="19.5" customHeight="1">
      <c r="A46" s="68">
        <v>44</v>
      </c>
      <c r="B46" s="18"/>
      <c r="C46" s="19"/>
      <c r="D46" s="19"/>
      <c r="E46" s="19"/>
      <c r="F46" s="19"/>
      <c r="G46" s="19"/>
      <c r="H46" s="69" t="str">
        <f>IF(C46="XXL (&gt;160h)",168,IF(C46="XL (&gt;40h)",48,IF(C46="L (20-40h)",30,IF(C46="M (10-20h)",15,IF(C46="S (&lt;10h)",5,"")))))</f>
        <v/>
      </c>
      <c r="I46" s="18"/>
      <c r="J46" s="67" t="str">
        <f>IF($E46="Q12027",COUNTIF($E$3:$E46,"Q12027"),"")</f>
        <v/>
      </c>
      <c r="K46" s="67" t="str">
        <f>IF($E46="Q22027",COUNTIF($E$3:$E46,"Q22027"),"")</f>
        <v/>
      </c>
      <c r="L46" s="67" t="str">
        <f>IF($E46="Q32027",COUNTIF($E$3:$E46,"Q32027"),"")</f>
        <v/>
      </c>
      <c r="M46" s="67" t="str">
        <f>IF($E46="Q42027",COUNTIF($E$3:$E46,"Q42027"),"")</f>
        <v/>
      </c>
      <c r="N46" s="67" t="str">
        <f>IF($E46="Backlog",COUNTIF($E$3:$E46,"Backlog"),"")</f>
        <v/>
      </c>
    </row>
    <row r="47" spans="1:14" ht="19.5" customHeight="1">
      <c r="A47" s="65">
        <v>45</v>
      </c>
      <c r="B47" s="16"/>
      <c r="C47" s="17"/>
      <c r="D47" s="17"/>
      <c r="E47" s="17"/>
      <c r="F47" s="17"/>
      <c r="G47" s="17"/>
      <c r="H47" s="66" t="str">
        <f>IF(C47="XXL (&gt;160h)",168,IF(C47="XL (&gt;40h)",48,IF(C47="L (20-40h)",30,IF(C47="M (10-20h)",15,IF(C47="S (&lt;10h)",5,"")))))</f>
        <v/>
      </c>
      <c r="I47" s="16"/>
      <c r="J47" s="67" t="str">
        <f>IF($E47="Q12027",COUNTIF($E$3:$E47,"Q12027"),"")</f>
        <v/>
      </c>
      <c r="K47" s="67" t="str">
        <f>IF($E47="Q22027",COUNTIF($E$3:$E47,"Q22027"),"")</f>
        <v/>
      </c>
      <c r="L47" s="67" t="str">
        <f>IF($E47="Q32027",COUNTIF($E$3:$E47,"Q32027"),"")</f>
        <v/>
      </c>
      <c r="M47" s="67" t="str">
        <f>IF($E47="Q42027",COUNTIF($E$3:$E47,"Q42027"),"")</f>
        <v/>
      </c>
      <c r="N47" s="67" t="str">
        <f>IF($E47="Backlog",COUNTIF($E$3:$E47,"Backlog"),"")</f>
        <v/>
      </c>
    </row>
    <row r="48" spans="1:14" ht="19.5" customHeight="1">
      <c r="A48" s="68">
        <v>46</v>
      </c>
      <c r="B48" s="18"/>
      <c r="C48" s="19"/>
      <c r="D48" s="19"/>
      <c r="E48" s="19"/>
      <c r="F48" s="19"/>
      <c r="G48" s="19"/>
      <c r="H48" s="69" t="str">
        <f>IF(C48="XXL (&gt;160h)",168,IF(C48="XL (&gt;40h)",48,IF(C48="L (20-40h)",30,IF(C48="M (10-20h)",15,IF(C48="S (&lt;10h)",5,"")))))</f>
        <v/>
      </c>
      <c r="I48" s="18"/>
      <c r="J48" s="67" t="str">
        <f>IF($E48="Q12027",COUNTIF($E$3:$E48,"Q12027"),"")</f>
        <v/>
      </c>
      <c r="K48" s="67" t="str">
        <f>IF($E48="Q22027",COUNTIF($E$3:$E48,"Q22027"),"")</f>
        <v/>
      </c>
      <c r="L48" s="67" t="str">
        <f>IF($E48="Q32027",COUNTIF($E$3:$E48,"Q32027"),"")</f>
        <v/>
      </c>
      <c r="M48" s="67" t="str">
        <f>IF($E48="Q42027",COUNTIF($E$3:$E48,"Q42027"),"")</f>
        <v/>
      </c>
      <c r="N48" s="67" t="str">
        <f>IF($E48="Backlog",COUNTIF($E$3:$E48,"Backlog"),"")</f>
        <v/>
      </c>
    </row>
    <row r="49" spans="1:14" ht="19.5" customHeight="1">
      <c r="A49" s="65">
        <v>47</v>
      </c>
      <c r="B49" s="16"/>
      <c r="C49" s="17"/>
      <c r="D49" s="17"/>
      <c r="E49" s="17"/>
      <c r="F49" s="17"/>
      <c r="G49" s="17"/>
      <c r="H49" s="66" t="str">
        <f>IF(C49="XXL (&gt;160h)",168,IF(C49="XL (&gt;40h)",48,IF(C49="L (20-40h)",30,IF(C49="M (10-20h)",15,IF(C49="S (&lt;10h)",5,"")))))</f>
        <v/>
      </c>
      <c r="I49" s="16"/>
      <c r="J49" s="67" t="str">
        <f>IF($E49="Q12027",COUNTIF($E$3:$E49,"Q12027"),"")</f>
        <v/>
      </c>
      <c r="K49" s="67" t="str">
        <f>IF($E49="Q22027",COUNTIF($E$3:$E49,"Q22027"),"")</f>
        <v/>
      </c>
      <c r="L49" s="67" t="str">
        <f>IF($E49="Q32027",COUNTIF($E$3:$E49,"Q32027"),"")</f>
        <v/>
      </c>
      <c r="M49" s="67" t="str">
        <f>IF($E49="Q42027",COUNTIF($E$3:$E49,"Q42027"),"")</f>
        <v/>
      </c>
      <c r="N49" s="67" t="str">
        <f>IF($E49="Backlog",COUNTIF($E$3:$E49,"Backlog"),"")</f>
        <v/>
      </c>
    </row>
    <row r="50" spans="1:14" ht="19.5" customHeight="1">
      <c r="A50" s="68">
        <v>48</v>
      </c>
      <c r="B50" s="18"/>
      <c r="C50" s="19"/>
      <c r="D50" s="19"/>
      <c r="E50" s="19"/>
      <c r="F50" s="19"/>
      <c r="G50" s="19"/>
      <c r="H50" s="69" t="str">
        <f>IF(C50="XXL (&gt;160h)",168,IF(C50="XL (&gt;40h)",48,IF(C50="L (20-40h)",30,IF(C50="M (10-20h)",15,IF(C50="S (&lt;10h)",5,"")))))</f>
        <v/>
      </c>
      <c r="I50" s="18"/>
      <c r="J50" s="67" t="str">
        <f>IF($E50="Q12027",COUNTIF($E$3:$E50,"Q12027"),"")</f>
        <v/>
      </c>
      <c r="K50" s="67" t="str">
        <f>IF($E50="Q22027",COUNTIF($E$3:$E50,"Q22027"),"")</f>
        <v/>
      </c>
      <c r="L50" s="67" t="str">
        <f>IF($E50="Q32027",COUNTIF($E$3:$E50,"Q32027"),"")</f>
        <v/>
      </c>
      <c r="M50" s="67" t="str">
        <f>IF($E50="Q42027",COUNTIF($E$3:$E50,"Q42027"),"")</f>
        <v/>
      </c>
      <c r="N50" s="67" t="str">
        <f>IF($E50="Backlog",COUNTIF($E$3:$E50,"Backlog"),"")</f>
        <v/>
      </c>
    </row>
    <row r="51" spans="1:14" ht="19.5" customHeight="1">
      <c r="A51" s="65">
        <v>49</v>
      </c>
      <c r="B51" s="16"/>
      <c r="C51" s="17"/>
      <c r="D51" s="17"/>
      <c r="E51" s="17"/>
      <c r="F51" s="17"/>
      <c r="G51" s="17"/>
      <c r="H51" s="66" t="str">
        <f>IF(C51="XXL (&gt;160h)",168,IF(C51="XL (&gt;40h)",48,IF(C51="L (20-40h)",30,IF(C51="M (10-20h)",15,IF(C51="S (&lt;10h)",5,"")))))</f>
        <v/>
      </c>
      <c r="I51" s="16"/>
      <c r="J51" s="67" t="str">
        <f>IF($E51="Q12027",COUNTIF($E$3:$E51,"Q12027"),"")</f>
        <v/>
      </c>
      <c r="K51" s="67" t="str">
        <f>IF($E51="Q22027",COUNTIF($E$3:$E51,"Q22027"),"")</f>
        <v/>
      </c>
      <c r="L51" s="67" t="str">
        <f>IF($E51="Q32027",COUNTIF($E$3:$E51,"Q32027"),"")</f>
        <v/>
      </c>
      <c r="M51" s="67" t="str">
        <f>IF($E51="Q42027",COUNTIF($E$3:$E51,"Q42027"),"")</f>
        <v/>
      </c>
      <c r="N51" s="67" t="str">
        <f>IF($E51="Backlog",COUNTIF($E$3:$E51,"Backlog"),"")</f>
        <v/>
      </c>
    </row>
    <row r="52" spans="1:14" ht="19.5" customHeight="1">
      <c r="A52" s="68">
        <v>50</v>
      </c>
      <c r="B52" s="18"/>
      <c r="C52" s="19"/>
      <c r="D52" s="19"/>
      <c r="E52" s="19"/>
      <c r="F52" s="19"/>
      <c r="G52" s="19"/>
      <c r="H52" s="69" t="str">
        <f>IF(C52="XXL (&gt;160h)",168,IF(C52="XL (&gt;40h)",48,IF(C52="L (20-40h)",30,IF(C52="M (10-20h)",15,IF(C52="S (&lt;10h)",5,"")))))</f>
        <v/>
      </c>
      <c r="I52" s="18"/>
      <c r="J52" s="67" t="str">
        <f>IF($E52="Q12027",COUNTIF($E$3:$E52,"Q12027"),"")</f>
        <v/>
      </c>
      <c r="K52" s="67" t="str">
        <f>IF($E52="Q22027",COUNTIF($E$3:$E52,"Q22027"),"")</f>
        <v/>
      </c>
      <c r="L52" s="67" t="str">
        <f>IF($E52="Q32027",COUNTIF($E$3:$E52,"Q32027"),"")</f>
        <v/>
      </c>
      <c r="M52" s="67" t="str">
        <f>IF($E52="Q42027",COUNTIF($E$3:$E52,"Q42027"),"")</f>
        <v/>
      </c>
      <c r="N52" s="67" t="str">
        <f>IF($E52="Backlog",COUNTIF($E$3:$E52,"Backlog"),"")</f>
        <v/>
      </c>
    </row>
    <row r="53" spans="1:14" ht="19.5" customHeight="1">
      <c r="A53" s="65">
        <v>51</v>
      </c>
      <c r="B53" s="16"/>
      <c r="C53" s="17"/>
      <c r="D53" s="17"/>
      <c r="E53" s="17"/>
      <c r="F53" s="17"/>
      <c r="G53" s="17"/>
      <c r="H53" s="66" t="str">
        <f>IF(C53="XXL (&gt;160h)",168,IF(C53="XL (&gt;40h)",48,IF(C53="L (20-40h)",30,IF(C53="M (10-20h)",15,IF(C53="S (&lt;10h)",5,"")))))</f>
        <v/>
      </c>
      <c r="I53" s="16"/>
      <c r="J53" s="67" t="str">
        <f>IF($E53="Q12027",COUNTIF($E$3:$E53,"Q12027"),"")</f>
        <v/>
      </c>
      <c r="K53" s="67" t="str">
        <f>IF($E53="Q22027",COUNTIF($E$3:$E53,"Q22027"),"")</f>
        <v/>
      </c>
      <c r="L53" s="67" t="str">
        <f>IF($E53="Q32027",COUNTIF($E$3:$E53,"Q32027"),"")</f>
        <v/>
      </c>
      <c r="M53" s="67" t="str">
        <f>IF($E53="Q42027",COUNTIF($E$3:$E53,"Q42027"),"")</f>
        <v/>
      </c>
      <c r="N53" s="67" t="str">
        <f>IF($E53="Backlog",COUNTIF($E$3:$E53,"Backlog"),"")</f>
        <v/>
      </c>
    </row>
    <row r="54" spans="1:14" ht="19.5" customHeight="1">
      <c r="A54" s="68">
        <v>52</v>
      </c>
      <c r="B54" s="18"/>
      <c r="C54" s="19"/>
      <c r="D54" s="19"/>
      <c r="E54" s="19"/>
      <c r="F54" s="19"/>
      <c r="G54" s="19"/>
      <c r="H54" s="69" t="str">
        <f>IF(C54="XXL (&gt;160h)",168,IF(C54="XL (&gt;40h)",48,IF(C54="L (20-40h)",30,IF(C54="M (10-20h)",15,IF(C54="S (&lt;10h)",5,"")))))</f>
        <v/>
      </c>
      <c r="I54" s="18"/>
      <c r="J54" s="67" t="str">
        <f>IF($E54="Q12027",COUNTIF($E$3:$E54,"Q12027"),"")</f>
        <v/>
      </c>
      <c r="K54" s="67" t="str">
        <f>IF($E54="Q22027",COUNTIF($E$3:$E54,"Q22027"),"")</f>
        <v/>
      </c>
      <c r="L54" s="67" t="str">
        <f>IF($E54="Q32027",COUNTIF($E$3:$E54,"Q32027"),"")</f>
        <v/>
      </c>
      <c r="M54" s="67" t="str">
        <f>IF($E54="Q42027",COUNTIF($E$3:$E54,"Q42027"),"")</f>
        <v/>
      </c>
      <c r="N54" s="67" t="str">
        <f>IF($E54="Backlog",COUNTIF($E$3:$E54,"Backlog"),"")</f>
        <v/>
      </c>
    </row>
    <row r="55" spans="1:14" ht="19.5" customHeight="1">
      <c r="A55" s="65">
        <v>53</v>
      </c>
      <c r="B55" s="16"/>
      <c r="C55" s="17"/>
      <c r="D55" s="17"/>
      <c r="E55" s="17"/>
      <c r="F55" s="17"/>
      <c r="G55" s="17"/>
      <c r="H55" s="66" t="str">
        <f>IF(C55="XXL (&gt;160h)",168,IF(C55="XL (&gt;40h)",48,IF(C55="L (20-40h)",30,IF(C55="M (10-20h)",15,IF(C55="S (&lt;10h)",5,"")))))</f>
        <v/>
      </c>
      <c r="I55" s="16"/>
      <c r="J55" s="67" t="str">
        <f>IF($E55="Q12027",COUNTIF($E$3:$E55,"Q12027"),"")</f>
        <v/>
      </c>
      <c r="K55" s="67" t="str">
        <f>IF($E55="Q22027",COUNTIF($E$3:$E55,"Q22027"),"")</f>
        <v/>
      </c>
      <c r="L55" s="67" t="str">
        <f>IF($E55="Q32027",COUNTIF($E$3:$E55,"Q32027"),"")</f>
        <v/>
      </c>
      <c r="M55" s="67" t="str">
        <f>IF($E55="Q42027",COUNTIF($E$3:$E55,"Q42027"),"")</f>
        <v/>
      </c>
      <c r="N55" s="67" t="str">
        <f>IF($E55="Backlog",COUNTIF($E$3:$E55,"Backlog"),"")</f>
        <v/>
      </c>
    </row>
    <row r="56" spans="1:14" ht="19.5" customHeight="1">
      <c r="A56" s="68">
        <v>54</v>
      </c>
      <c r="B56" s="18"/>
      <c r="C56" s="19"/>
      <c r="D56" s="19"/>
      <c r="E56" s="19"/>
      <c r="F56" s="19"/>
      <c r="G56" s="19"/>
      <c r="H56" s="69" t="str">
        <f>IF(C56="XXL (&gt;160h)",168,IF(C56="XL (&gt;40h)",48,IF(C56="L (20-40h)",30,IF(C56="M (10-20h)",15,IF(C56="S (&lt;10h)",5,"")))))</f>
        <v/>
      </c>
      <c r="I56" s="18"/>
      <c r="J56" s="67" t="str">
        <f>IF($E56="Q12027",COUNTIF($E$3:$E56,"Q12027"),"")</f>
        <v/>
      </c>
      <c r="K56" s="67" t="str">
        <f>IF($E56="Q22027",COUNTIF($E$3:$E56,"Q22027"),"")</f>
        <v/>
      </c>
      <c r="L56" s="67" t="str">
        <f>IF($E56="Q32027",COUNTIF($E$3:$E56,"Q32027"),"")</f>
        <v/>
      </c>
      <c r="M56" s="67" t="str">
        <f>IF($E56="Q42027",COUNTIF($E$3:$E56,"Q42027"),"")</f>
        <v/>
      </c>
      <c r="N56" s="67" t="str">
        <f>IF($E56="Backlog",COUNTIF($E$3:$E56,"Backlog"),"")</f>
        <v/>
      </c>
    </row>
    <row r="57" spans="1:14" ht="19.5" customHeight="1">
      <c r="A57" s="65">
        <v>55</v>
      </c>
      <c r="B57" s="16"/>
      <c r="C57" s="17"/>
      <c r="D57" s="17"/>
      <c r="E57" s="17"/>
      <c r="F57" s="17"/>
      <c r="G57" s="17"/>
      <c r="H57" s="66" t="str">
        <f>IF(C57="XXL (&gt;160h)",168,IF(C57="XL (&gt;40h)",48,IF(C57="L (20-40h)",30,IF(C57="M (10-20h)",15,IF(C57="S (&lt;10h)",5,"")))))</f>
        <v/>
      </c>
      <c r="I57" s="16"/>
      <c r="J57" s="67" t="str">
        <f>IF($E57="Q12027",COUNTIF($E$3:$E57,"Q12027"),"")</f>
        <v/>
      </c>
      <c r="K57" s="67" t="str">
        <f>IF($E57="Q22027",COUNTIF($E$3:$E57,"Q22027"),"")</f>
        <v/>
      </c>
      <c r="L57" s="67" t="str">
        <f>IF($E57="Q32027",COUNTIF($E$3:$E57,"Q32027"),"")</f>
        <v/>
      </c>
      <c r="M57" s="67" t="str">
        <f>IF($E57="Q42027",COUNTIF($E$3:$E57,"Q42027"),"")</f>
        <v/>
      </c>
      <c r="N57" s="67" t="str">
        <f>IF($E57="Backlog",COUNTIF($E$3:$E57,"Backlog"),"")</f>
        <v/>
      </c>
    </row>
    <row r="58" spans="1:14" ht="19.5" customHeight="1">
      <c r="A58" s="68">
        <v>56</v>
      </c>
      <c r="B58" s="18"/>
      <c r="C58" s="19"/>
      <c r="D58" s="19"/>
      <c r="E58" s="19"/>
      <c r="F58" s="19"/>
      <c r="G58" s="19"/>
      <c r="H58" s="69" t="str">
        <f>IF(C58="XXL (&gt;160h)",168,IF(C58="XL (&gt;40h)",48,IF(C58="L (20-40h)",30,IF(C58="M (10-20h)",15,IF(C58="S (&lt;10h)",5,"")))))</f>
        <v/>
      </c>
      <c r="I58" s="18"/>
      <c r="J58" s="67" t="str">
        <f>IF($E58="Q12027",COUNTIF($E$3:$E58,"Q12027"),"")</f>
        <v/>
      </c>
      <c r="K58" s="67" t="str">
        <f>IF($E58="Q22027",COUNTIF($E$3:$E58,"Q22027"),"")</f>
        <v/>
      </c>
      <c r="L58" s="67" t="str">
        <f>IF($E58="Q32027",COUNTIF($E$3:$E58,"Q32027"),"")</f>
        <v/>
      </c>
      <c r="M58" s="67" t="str">
        <f>IF($E58="Q42027",COUNTIF($E$3:$E58,"Q42027"),"")</f>
        <v/>
      </c>
      <c r="N58" s="67" t="str">
        <f>IF($E58="Backlog",COUNTIF($E$3:$E58,"Backlog"),"")</f>
        <v/>
      </c>
    </row>
    <row r="59" spans="1:14" ht="19.5" customHeight="1">
      <c r="A59" s="65">
        <v>57</v>
      </c>
      <c r="B59" s="16"/>
      <c r="C59" s="17"/>
      <c r="D59" s="17"/>
      <c r="E59" s="17"/>
      <c r="F59" s="17"/>
      <c r="G59" s="17"/>
      <c r="H59" s="66" t="str">
        <f>IF(C59="XXL (&gt;160h)",168,IF(C59="XL (&gt;40h)",48,IF(C59="L (20-40h)",30,IF(C59="M (10-20h)",15,IF(C59="S (&lt;10h)",5,"")))))</f>
        <v/>
      </c>
      <c r="I59" s="16"/>
      <c r="J59" s="67" t="str">
        <f>IF($E59="Q12027",COUNTIF($E$3:$E59,"Q12027"),"")</f>
        <v/>
      </c>
      <c r="K59" s="67" t="str">
        <f>IF($E59="Q22027",COUNTIF($E$3:$E59,"Q22027"),"")</f>
        <v/>
      </c>
      <c r="L59" s="67" t="str">
        <f>IF($E59="Q32027",COUNTIF($E$3:$E59,"Q32027"),"")</f>
        <v/>
      </c>
      <c r="M59" s="67" t="str">
        <f>IF($E59="Q42027",COUNTIF($E$3:$E59,"Q42027"),"")</f>
        <v/>
      </c>
      <c r="N59" s="67" t="str">
        <f>IF($E59="Backlog",COUNTIF($E$3:$E59,"Backlog"),"")</f>
        <v/>
      </c>
    </row>
    <row r="60" spans="1:14" ht="19.5" customHeight="1">
      <c r="A60" s="68">
        <v>58</v>
      </c>
      <c r="B60" s="18"/>
      <c r="C60" s="19"/>
      <c r="D60" s="19"/>
      <c r="E60" s="19"/>
      <c r="F60" s="19"/>
      <c r="G60" s="19"/>
      <c r="H60" s="69" t="str">
        <f>IF(C60="XXL (&gt;160h)",168,IF(C60="XL (&gt;40h)",48,IF(C60="L (20-40h)",30,IF(C60="M (10-20h)",15,IF(C60="S (&lt;10h)",5,"")))))</f>
        <v/>
      </c>
      <c r="I60" s="18"/>
      <c r="J60" s="67" t="str">
        <f>IF($E60="Q12027",COUNTIF($E$3:$E60,"Q12027"),"")</f>
        <v/>
      </c>
      <c r="K60" s="67" t="str">
        <f>IF($E60="Q22027",COUNTIF($E$3:$E60,"Q22027"),"")</f>
        <v/>
      </c>
      <c r="L60" s="67" t="str">
        <f>IF($E60="Q32027",COUNTIF($E$3:$E60,"Q32027"),"")</f>
        <v/>
      </c>
      <c r="M60" s="67" t="str">
        <f>IF($E60="Q42027",COUNTIF($E$3:$E60,"Q42027"),"")</f>
        <v/>
      </c>
      <c r="N60" s="67" t="str">
        <f>IF($E60="Backlog",COUNTIF($E$3:$E60,"Backlog"),"")</f>
        <v/>
      </c>
    </row>
    <row r="61" spans="1:14" ht="19.5" customHeight="1">
      <c r="A61" s="65">
        <v>59</v>
      </c>
      <c r="B61" s="16"/>
      <c r="C61" s="17"/>
      <c r="D61" s="17"/>
      <c r="E61" s="17"/>
      <c r="F61" s="17"/>
      <c r="G61" s="17"/>
      <c r="H61" s="66" t="str">
        <f>IF(C61="XXL (&gt;160h)",168,IF(C61="XL (&gt;40h)",48,IF(C61="L (20-40h)",30,IF(C61="M (10-20h)",15,IF(C61="S (&lt;10h)",5,"")))))</f>
        <v/>
      </c>
      <c r="I61" s="16"/>
      <c r="J61" s="67" t="str">
        <f>IF($E61="Q12027",COUNTIF($E$3:$E61,"Q12027"),"")</f>
        <v/>
      </c>
      <c r="K61" s="67" t="str">
        <f>IF($E61="Q22027",COUNTIF($E$3:$E61,"Q22027"),"")</f>
        <v/>
      </c>
      <c r="L61" s="67" t="str">
        <f>IF($E61="Q32027",COUNTIF($E$3:$E61,"Q32027"),"")</f>
        <v/>
      </c>
      <c r="M61" s="67" t="str">
        <f>IF($E61="Q42027",COUNTIF($E$3:$E61,"Q42027"),"")</f>
        <v/>
      </c>
      <c r="N61" s="67" t="str">
        <f>IF($E61="Backlog",COUNTIF($E$3:$E61,"Backlog"),"")</f>
        <v/>
      </c>
    </row>
    <row r="62" spans="1:14" ht="19.5" customHeight="1">
      <c r="A62" s="68">
        <v>60</v>
      </c>
      <c r="B62" s="18"/>
      <c r="C62" s="19"/>
      <c r="D62" s="19"/>
      <c r="E62" s="19"/>
      <c r="F62" s="19"/>
      <c r="G62" s="19"/>
      <c r="H62" s="69" t="str">
        <f>IF(C62="XXL (&gt;160h)",168,IF(C62="XL (&gt;40h)",48,IF(C62="L (20-40h)",30,IF(C62="M (10-20h)",15,IF(C62="S (&lt;10h)",5,"")))))</f>
        <v/>
      </c>
      <c r="I62" s="18"/>
      <c r="J62" s="67" t="str">
        <f>IF($E62="Q12027",COUNTIF($E$3:$E62,"Q12027"),"")</f>
        <v/>
      </c>
      <c r="K62" s="67" t="str">
        <f>IF($E62="Q22027",COUNTIF($E$3:$E62,"Q22027"),"")</f>
        <v/>
      </c>
      <c r="L62" s="67" t="str">
        <f>IF($E62="Q32027",COUNTIF($E$3:$E62,"Q32027"),"")</f>
        <v/>
      </c>
      <c r="M62" s="67" t="str">
        <f>IF($E62="Q42027",COUNTIF($E$3:$E62,"Q42027"),"")</f>
        <v/>
      </c>
      <c r="N62" s="67" t="str">
        <f>IF($E62="Backlog",COUNTIF($E$3:$E62,"Backlog"),"")</f>
        <v/>
      </c>
    </row>
    <row r="63" spans="1:14" ht="19.5" customHeight="1">
      <c r="A63" s="65">
        <v>61</v>
      </c>
      <c r="B63" s="16"/>
      <c r="C63" s="17"/>
      <c r="D63" s="17"/>
      <c r="E63" s="17"/>
      <c r="F63" s="17"/>
      <c r="G63" s="17"/>
      <c r="H63" s="66" t="str">
        <f>IF(C63="XXL (&gt;160h)",168,IF(C63="XL (&gt;40h)",48,IF(C63="L (20-40h)",30,IF(C63="M (10-20h)",15,IF(C63="S (&lt;10h)",5,"")))))</f>
        <v/>
      </c>
      <c r="I63" s="16"/>
      <c r="J63" s="67" t="str">
        <f>IF($E63="Q12027",COUNTIF($E$3:$E63,"Q12027"),"")</f>
        <v/>
      </c>
      <c r="K63" s="67" t="str">
        <f>IF($E63="Q22027",COUNTIF($E$3:$E63,"Q22027"),"")</f>
        <v/>
      </c>
      <c r="L63" s="67" t="str">
        <f>IF($E63="Q32027",COUNTIF($E$3:$E63,"Q32027"),"")</f>
        <v/>
      </c>
      <c r="M63" s="67" t="str">
        <f>IF($E63="Q42027",COUNTIF($E$3:$E63,"Q42027"),"")</f>
        <v/>
      </c>
      <c r="N63" s="67" t="str">
        <f>IF($E63="Backlog",COUNTIF($E$3:$E63,"Backlog"),"")</f>
        <v/>
      </c>
    </row>
    <row r="64" spans="1:14" ht="19.5" customHeight="1">
      <c r="A64" s="68">
        <v>62</v>
      </c>
      <c r="B64" s="18"/>
      <c r="C64" s="19"/>
      <c r="D64" s="19"/>
      <c r="E64" s="19"/>
      <c r="F64" s="19"/>
      <c r="G64" s="19"/>
      <c r="H64" s="69" t="str">
        <f>IF(C64="XXL (&gt;160h)",168,IF(C64="XL (&gt;40h)",48,IF(C64="L (20-40h)",30,IF(C64="M (10-20h)",15,IF(C64="S (&lt;10h)",5,"")))))</f>
        <v/>
      </c>
      <c r="I64" s="18"/>
      <c r="J64" s="67" t="str">
        <f>IF($E64="Q12027",COUNTIF($E$3:$E64,"Q12027"),"")</f>
        <v/>
      </c>
      <c r="K64" s="67" t="str">
        <f>IF($E64="Q22027",COUNTIF($E$3:$E64,"Q22027"),"")</f>
        <v/>
      </c>
      <c r="L64" s="67" t="str">
        <f>IF($E64="Q32027",COUNTIF($E$3:$E64,"Q32027"),"")</f>
        <v/>
      </c>
      <c r="M64" s="67" t="str">
        <f>IF($E64="Q42027",COUNTIF($E$3:$E64,"Q42027"),"")</f>
        <v/>
      </c>
      <c r="N64" s="67" t="str">
        <f>IF($E64="Backlog",COUNTIF($E$3:$E64,"Backlog"),"")</f>
        <v/>
      </c>
    </row>
    <row r="65" spans="1:14" ht="19.5" customHeight="1">
      <c r="A65" s="65">
        <v>63</v>
      </c>
      <c r="B65" s="16"/>
      <c r="C65" s="17"/>
      <c r="D65" s="17"/>
      <c r="E65" s="17"/>
      <c r="F65" s="17"/>
      <c r="G65" s="17"/>
      <c r="H65" s="66" t="str">
        <f>IF(C65="XXL (&gt;160h)",168,IF(C65="XL (&gt;40h)",48,IF(C65="L (20-40h)",30,IF(C65="M (10-20h)",15,IF(C65="S (&lt;10h)",5,"")))))</f>
        <v/>
      </c>
      <c r="I65" s="16"/>
      <c r="J65" s="67" t="str">
        <f>IF($E65="Q12027",COUNTIF($E$3:$E65,"Q12027"),"")</f>
        <v/>
      </c>
      <c r="K65" s="67" t="str">
        <f>IF($E65="Q22027",COUNTIF($E$3:$E65,"Q22027"),"")</f>
        <v/>
      </c>
      <c r="L65" s="67" t="str">
        <f>IF($E65="Q32027",COUNTIF($E$3:$E65,"Q32027"),"")</f>
        <v/>
      </c>
      <c r="M65" s="67" t="str">
        <f>IF($E65="Q42027",COUNTIF($E$3:$E65,"Q42027"),"")</f>
        <v/>
      </c>
      <c r="N65" s="67" t="str">
        <f>IF($E65="Backlog",COUNTIF($E$3:$E65,"Backlog"),"")</f>
        <v/>
      </c>
    </row>
    <row r="66" spans="1:14" ht="19.5" customHeight="1">
      <c r="A66" s="68">
        <v>64</v>
      </c>
      <c r="B66" s="18"/>
      <c r="C66" s="19"/>
      <c r="D66" s="19"/>
      <c r="E66" s="19"/>
      <c r="F66" s="19"/>
      <c r="G66" s="19"/>
      <c r="H66" s="69" t="str">
        <f>IF(C66="XXL (&gt;160h)",168,IF(C66="XL (&gt;40h)",48,IF(C66="L (20-40h)",30,IF(C66="M (10-20h)",15,IF(C66="S (&lt;10h)",5,"")))))</f>
        <v/>
      </c>
      <c r="I66" s="18"/>
      <c r="J66" s="67" t="str">
        <f>IF($E66="Q12027",COUNTIF($E$3:$E66,"Q12027"),"")</f>
        <v/>
      </c>
      <c r="K66" s="67" t="str">
        <f>IF($E66="Q22027",COUNTIF($E$3:$E66,"Q22027"),"")</f>
        <v/>
      </c>
      <c r="L66" s="67" t="str">
        <f>IF($E66="Q32027",COUNTIF($E$3:$E66,"Q32027"),"")</f>
        <v/>
      </c>
      <c r="M66" s="67" t="str">
        <f>IF($E66="Q42027",COUNTIF($E$3:$E66,"Q42027"),"")</f>
        <v/>
      </c>
      <c r="N66" s="67" t="str">
        <f>IF($E66="Backlog",COUNTIF($E$3:$E66,"Backlog"),"")</f>
        <v/>
      </c>
    </row>
    <row r="67" spans="1:14" ht="19.5" customHeight="1">
      <c r="A67" s="65">
        <v>65</v>
      </c>
      <c r="B67" s="16"/>
      <c r="C67" s="17"/>
      <c r="D67" s="17"/>
      <c r="E67" s="17"/>
      <c r="F67" s="17"/>
      <c r="G67" s="17"/>
      <c r="H67" s="66" t="str">
        <f>IF(C67="XXL (&gt;160h)",168,IF(C67="XL (&gt;40h)",48,IF(C67="L (20-40h)",30,IF(C67="M (10-20h)",15,IF(C67="S (&lt;10h)",5,"")))))</f>
        <v/>
      </c>
      <c r="I67" s="16"/>
      <c r="J67" s="67" t="str">
        <f>IF($E67="Q12027",COUNTIF($E$3:$E67,"Q12027"),"")</f>
        <v/>
      </c>
      <c r="K67" s="67" t="str">
        <f>IF($E67="Q22027",COUNTIF($E$3:$E67,"Q22027"),"")</f>
        <v/>
      </c>
      <c r="L67" s="67" t="str">
        <f>IF($E67="Q32027",COUNTIF($E$3:$E67,"Q32027"),"")</f>
        <v/>
      </c>
      <c r="M67" s="67" t="str">
        <f>IF($E67="Q42027",COUNTIF($E$3:$E67,"Q42027"),"")</f>
        <v/>
      </c>
      <c r="N67" s="67" t="str">
        <f>IF($E67="Backlog",COUNTIF($E$3:$E67,"Backlog"),"")</f>
        <v/>
      </c>
    </row>
    <row r="68" spans="1:14" ht="19.5" customHeight="1">
      <c r="A68" s="68">
        <v>66</v>
      </c>
      <c r="B68" s="18"/>
      <c r="C68" s="19"/>
      <c r="D68" s="19"/>
      <c r="E68" s="19"/>
      <c r="F68" s="19"/>
      <c r="G68" s="19"/>
      <c r="H68" s="69" t="str">
        <f>IF(C68="XXL (&gt;160h)",168,IF(C68="XL (&gt;40h)",48,IF(C68="L (20-40h)",30,IF(C68="M (10-20h)",15,IF(C68="S (&lt;10h)",5,"")))))</f>
        <v/>
      </c>
      <c r="I68" s="18"/>
      <c r="J68" s="67" t="str">
        <f>IF($E68="Q12027",COUNTIF($E$3:$E68,"Q12027"),"")</f>
        <v/>
      </c>
      <c r="K68" s="67" t="str">
        <f>IF($E68="Q22027",COUNTIF($E$3:$E68,"Q22027"),"")</f>
        <v/>
      </c>
      <c r="L68" s="67" t="str">
        <f>IF($E68="Q32027",COUNTIF($E$3:$E68,"Q32027"),"")</f>
        <v/>
      </c>
      <c r="M68" s="67" t="str">
        <f>IF($E68="Q42027",COUNTIF($E$3:$E68,"Q42027"),"")</f>
        <v/>
      </c>
      <c r="N68" s="67" t="str">
        <f>IF($E68="Backlog",COUNTIF($E$3:$E68,"Backlog"),"")</f>
        <v/>
      </c>
    </row>
    <row r="69" spans="1:14" ht="19.5" customHeight="1">
      <c r="A69" s="65">
        <v>67</v>
      </c>
      <c r="B69" s="16"/>
      <c r="C69" s="17"/>
      <c r="D69" s="17"/>
      <c r="E69" s="17"/>
      <c r="F69" s="17"/>
      <c r="G69" s="17"/>
      <c r="H69" s="66" t="str">
        <f>IF(C69="XXL (&gt;160h)",168,IF(C69="XL (&gt;40h)",48,IF(C69="L (20-40h)",30,IF(C69="M (10-20h)",15,IF(C69="S (&lt;10h)",5,"")))))</f>
        <v/>
      </c>
      <c r="I69" s="16"/>
      <c r="J69" s="67" t="str">
        <f>IF($E69="Q12027",COUNTIF($E$3:$E69,"Q12027"),"")</f>
        <v/>
      </c>
      <c r="K69" s="67" t="str">
        <f>IF($E69="Q22027",COUNTIF($E$3:$E69,"Q22027"),"")</f>
        <v/>
      </c>
      <c r="L69" s="67" t="str">
        <f>IF($E69="Q32027",COUNTIF($E$3:$E69,"Q32027"),"")</f>
        <v/>
      </c>
      <c r="M69" s="67" t="str">
        <f>IF($E69="Q42027",COUNTIF($E$3:$E69,"Q42027"),"")</f>
        <v/>
      </c>
      <c r="N69" s="67" t="str">
        <f>IF($E69="Backlog",COUNTIF($E$3:$E69,"Backlog"),"")</f>
        <v/>
      </c>
    </row>
    <row r="70" spans="1:14" ht="19.5" customHeight="1">
      <c r="A70" s="68">
        <v>68</v>
      </c>
      <c r="B70" s="18"/>
      <c r="C70" s="19"/>
      <c r="D70" s="19"/>
      <c r="E70" s="19"/>
      <c r="F70" s="19"/>
      <c r="G70" s="19"/>
      <c r="H70" s="69" t="str">
        <f>IF(C70="XXL (&gt;160h)",168,IF(C70="XL (&gt;40h)",48,IF(C70="L (20-40h)",30,IF(C70="M (10-20h)",15,IF(C70="S (&lt;10h)",5,"")))))</f>
        <v/>
      </c>
      <c r="I70" s="18"/>
      <c r="J70" s="67" t="str">
        <f>IF($E70="Q12027",COUNTIF($E$3:$E70,"Q12027"),"")</f>
        <v/>
      </c>
      <c r="K70" s="67" t="str">
        <f>IF($E70="Q22027",COUNTIF($E$3:$E70,"Q22027"),"")</f>
        <v/>
      </c>
      <c r="L70" s="67" t="str">
        <f>IF($E70="Q32027",COUNTIF($E$3:$E70,"Q32027"),"")</f>
        <v/>
      </c>
      <c r="M70" s="67" t="str">
        <f>IF($E70="Q42027",COUNTIF($E$3:$E70,"Q42027"),"")</f>
        <v/>
      </c>
      <c r="N70" s="67" t="str">
        <f>IF($E70="Backlog",COUNTIF($E$3:$E70,"Backlog"),"")</f>
        <v/>
      </c>
    </row>
    <row r="71" spans="1:14" ht="19.5" customHeight="1">
      <c r="A71" s="65">
        <v>69</v>
      </c>
      <c r="B71" s="16"/>
      <c r="C71" s="17"/>
      <c r="D71" s="17"/>
      <c r="E71" s="17"/>
      <c r="F71" s="17"/>
      <c r="G71" s="17"/>
      <c r="H71" s="66" t="str">
        <f>IF(C71="XXL (&gt;160h)",168,IF(C71="XL (&gt;40h)",48,IF(C71="L (20-40h)",30,IF(C71="M (10-20h)",15,IF(C71="S (&lt;10h)",5,"")))))</f>
        <v/>
      </c>
      <c r="I71" s="16"/>
      <c r="J71" s="67" t="str">
        <f>IF($E71="Q12027",COUNTIF($E$3:$E71,"Q12027"),"")</f>
        <v/>
      </c>
      <c r="K71" s="67" t="str">
        <f>IF($E71="Q22027",COUNTIF($E$3:$E71,"Q22027"),"")</f>
        <v/>
      </c>
      <c r="L71" s="67" t="str">
        <f>IF($E71="Q32027",COUNTIF($E$3:$E71,"Q32027"),"")</f>
        <v/>
      </c>
      <c r="M71" s="67" t="str">
        <f>IF($E71="Q42027",COUNTIF($E$3:$E71,"Q42027"),"")</f>
        <v/>
      </c>
      <c r="N71" s="67" t="str">
        <f>IF($E71="Backlog",COUNTIF($E$3:$E71,"Backlog"),"")</f>
        <v/>
      </c>
    </row>
    <row r="72" spans="1:14" ht="19.5" customHeight="1">
      <c r="A72" s="68">
        <v>70</v>
      </c>
      <c r="B72" s="18"/>
      <c r="C72" s="19"/>
      <c r="D72" s="19"/>
      <c r="E72" s="19"/>
      <c r="F72" s="19"/>
      <c r="G72" s="19"/>
      <c r="H72" s="69" t="str">
        <f>IF(C72="XXL (&gt;160h)",168,IF(C72="XL (&gt;40h)",48,IF(C72="L (20-40h)",30,IF(C72="M (10-20h)",15,IF(C72="S (&lt;10h)",5,"")))))</f>
        <v/>
      </c>
      <c r="I72" s="18"/>
      <c r="J72" s="67" t="str">
        <f>IF($E72="Q12027",COUNTIF($E$3:$E72,"Q12027"),"")</f>
        <v/>
      </c>
      <c r="K72" s="67" t="str">
        <f>IF($E72="Q22027",COUNTIF($E$3:$E72,"Q22027"),"")</f>
        <v/>
      </c>
      <c r="L72" s="67" t="str">
        <f>IF($E72="Q32027",COUNTIF($E$3:$E72,"Q32027"),"")</f>
        <v/>
      </c>
      <c r="M72" s="67" t="str">
        <f>IF($E72="Q42027",COUNTIF($E$3:$E72,"Q42027"),"")</f>
        <v/>
      </c>
      <c r="N72" s="67" t="str">
        <f>IF($E72="Backlog",COUNTIF($E$3:$E72,"Backlog"),"")</f>
        <v/>
      </c>
    </row>
    <row r="73" spans="1:14" ht="19.5" customHeight="1">
      <c r="A73" s="65">
        <v>71</v>
      </c>
      <c r="B73" s="16"/>
      <c r="C73" s="17"/>
      <c r="D73" s="17"/>
      <c r="E73" s="17"/>
      <c r="F73" s="17"/>
      <c r="G73" s="17"/>
      <c r="H73" s="66" t="str">
        <f>IF(C73="XXL (&gt;160h)",168,IF(C73="XL (&gt;40h)",48,IF(C73="L (20-40h)",30,IF(C73="M (10-20h)",15,IF(C73="S (&lt;10h)",5,"")))))</f>
        <v/>
      </c>
      <c r="I73" s="16"/>
      <c r="J73" s="67" t="str">
        <f>IF($E73="Q12027",COUNTIF($E$3:$E73,"Q12027"),"")</f>
        <v/>
      </c>
      <c r="K73" s="67" t="str">
        <f>IF($E73="Q22027",COUNTIF($E$3:$E73,"Q22027"),"")</f>
        <v/>
      </c>
      <c r="L73" s="67" t="str">
        <f>IF($E73="Q32027",COUNTIF($E$3:$E73,"Q32027"),"")</f>
        <v/>
      </c>
      <c r="M73" s="67" t="str">
        <f>IF($E73="Q42027",COUNTIF($E$3:$E73,"Q42027"),"")</f>
        <v/>
      </c>
      <c r="N73" s="67" t="str">
        <f>IF($E73="Backlog",COUNTIF($E$3:$E73,"Backlog"),"")</f>
        <v/>
      </c>
    </row>
    <row r="74" spans="1:14" ht="19.5" customHeight="1">
      <c r="A74" s="68">
        <v>72</v>
      </c>
      <c r="B74" s="18"/>
      <c r="C74" s="19"/>
      <c r="D74" s="19"/>
      <c r="E74" s="19"/>
      <c r="F74" s="19"/>
      <c r="G74" s="19"/>
      <c r="H74" s="69" t="str">
        <f>IF(C74="XXL (&gt;160h)",168,IF(C74="XL (&gt;40h)",48,IF(C74="L (20-40h)",30,IF(C74="M (10-20h)",15,IF(C74="S (&lt;10h)",5,"")))))</f>
        <v/>
      </c>
      <c r="I74" s="18"/>
      <c r="J74" s="67" t="str">
        <f>IF($E74="Q12027",COUNTIF($E$3:$E74,"Q12027"),"")</f>
        <v/>
      </c>
      <c r="K74" s="67" t="str">
        <f>IF($E74="Q22027",COUNTIF($E$3:$E74,"Q22027"),"")</f>
        <v/>
      </c>
      <c r="L74" s="67" t="str">
        <f>IF($E74="Q32027",COUNTIF($E$3:$E74,"Q32027"),"")</f>
        <v/>
      </c>
      <c r="M74" s="67" t="str">
        <f>IF($E74="Q42027",COUNTIF($E$3:$E74,"Q42027"),"")</f>
        <v/>
      </c>
      <c r="N74" s="67" t="str">
        <f>IF($E74="Backlog",COUNTIF($E$3:$E74,"Backlog"),"")</f>
        <v/>
      </c>
    </row>
    <row r="75" spans="1:14" ht="19.5" customHeight="1">
      <c r="A75" s="65">
        <v>73</v>
      </c>
      <c r="B75" s="16"/>
      <c r="C75" s="17"/>
      <c r="D75" s="17"/>
      <c r="E75" s="17"/>
      <c r="F75" s="17"/>
      <c r="G75" s="17"/>
      <c r="H75" s="66" t="str">
        <f>IF(C75="XXL (&gt;160h)",168,IF(C75="XL (&gt;40h)",48,IF(C75="L (20-40h)",30,IF(C75="M (10-20h)",15,IF(C75="S (&lt;10h)",5,"")))))</f>
        <v/>
      </c>
      <c r="I75" s="16"/>
      <c r="J75" s="67" t="str">
        <f>IF($E75="Q12027",COUNTIF($E$3:$E75,"Q12027"),"")</f>
        <v/>
      </c>
      <c r="K75" s="67" t="str">
        <f>IF($E75="Q22027",COUNTIF($E$3:$E75,"Q22027"),"")</f>
        <v/>
      </c>
      <c r="L75" s="67" t="str">
        <f>IF($E75="Q32027",COUNTIF($E$3:$E75,"Q32027"),"")</f>
        <v/>
      </c>
      <c r="M75" s="67" t="str">
        <f>IF($E75="Q42027",COUNTIF($E$3:$E75,"Q42027"),"")</f>
        <v/>
      </c>
      <c r="N75" s="67" t="str">
        <f>IF($E75="Backlog",COUNTIF($E$3:$E75,"Backlog"),"")</f>
        <v/>
      </c>
    </row>
    <row r="76" spans="1:14" ht="19.5" customHeight="1">
      <c r="A76" s="68">
        <v>74</v>
      </c>
      <c r="B76" s="18"/>
      <c r="C76" s="19"/>
      <c r="D76" s="19"/>
      <c r="E76" s="19"/>
      <c r="F76" s="19"/>
      <c r="G76" s="19"/>
      <c r="H76" s="69" t="str">
        <f>IF(C76="XXL (&gt;160h)",168,IF(C76="XL (&gt;40h)",48,IF(C76="L (20-40h)",30,IF(C76="M (10-20h)",15,IF(C76="S (&lt;10h)",5,"")))))</f>
        <v/>
      </c>
      <c r="I76" s="18"/>
      <c r="J76" s="67" t="str">
        <f>IF($E76="Q12027",COUNTIF($E$3:$E76,"Q12027"),"")</f>
        <v/>
      </c>
      <c r="K76" s="67" t="str">
        <f>IF($E76="Q22027",COUNTIF($E$3:$E76,"Q22027"),"")</f>
        <v/>
      </c>
      <c r="L76" s="67" t="str">
        <f>IF($E76="Q32027",COUNTIF($E$3:$E76,"Q32027"),"")</f>
        <v/>
      </c>
      <c r="M76" s="67" t="str">
        <f>IF($E76="Q42027",COUNTIF($E$3:$E76,"Q42027"),"")</f>
        <v/>
      </c>
      <c r="N76" s="67" t="str">
        <f>IF($E76="Backlog",COUNTIF($E$3:$E76,"Backlog"),"")</f>
        <v/>
      </c>
    </row>
    <row r="77" spans="1:14" ht="19.5" customHeight="1">
      <c r="A77" s="65">
        <v>75</v>
      </c>
      <c r="B77" s="16"/>
      <c r="C77" s="17"/>
      <c r="D77" s="17"/>
      <c r="E77" s="17"/>
      <c r="F77" s="17"/>
      <c r="G77" s="17"/>
      <c r="H77" s="66" t="str">
        <f>IF(C77="XXL (&gt;160h)",168,IF(C77="XL (&gt;40h)",48,IF(C77="L (20-40h)",30,IF(C77="M (10-20h)",15,IF(C77="S (&lt;10h)",5,"")))))</f>
        <v/>
      </c>
      <c r="I77" s="16"/>
      <c r="J77" s="67" t="str">
        <f>IF($E77="Q12027",COUNTIF($E$3:$E77,"Q12027"),"")</f>
        <v/>
      </c>
      <c r="K77" s="67" t="str">
        <f>IF($E77="Q22027",COUNTIF($E$3:$E77,"Q22027"),"")</f>
        <v/>
      </c>
      <c r="L77" s="67" t="str">
        <f>IF($E77="Q32027",COUNTIF($E$3:$E77,"Q32027"),"")</f>
        <v/>
      </c>
      <c r="M77" s="67" t="str">
        <f>IF($E77="Q42027",COUNTIF($E$3:$E77,"Q42027"),"")</f>
        <v/>
      </c>
      <c r="N77" s="67" t="str">
        <f>IF($E77="Backlog",COUNTIF($E$3:$E77,"Backlog"),"")</f>
        <v/>
      </c>
    </row>
    <row r="78" spans="1:14" ht="19.5" customHeight="1">
      <c r="A78" s="68">
        <v>76</v>
      </c>
      <c r="B78" s="18"/>
      <c r="C78" s="19"/>
      <c r="D78" s="19"/>
      <c r="E78" s="19"/>
      <c r="F78" s="19"/>
      <c r="G78" s="19"/>
      <c r="H78" s="69" t="str">
        <f>IF(C78="XXL (&gt;160h)",168,IF(C78="XL (&gt;40h)",48,IF(C78="L (20-40h)",30,IF(C78="M (10-20h)",15,IF(C78="S (&lt;10h)",5,"")))))</f>
        <v/>
      </c>
      <c r="I78" s="18"/>
      <c r="J78" s="67" t="str">
        <f>IF($E78="Q12027",COUNTIF($E$3:$E78,"Q12027"),"")</f>
        <v/>
      </c>
      <c r="K78" s="67" t="str">
        <f>IF($E78="Q22027",COUNTIF($E$3:$E78,"Q22027"),"")</f>
        <v/>
      </c>
      <c r="L78" s="67" t="str">
        <f>IF($E78="Q32027",COUNTIF($E$3:$E78,"Q32027"),"")</f>
        <v/>
      </c>
      <c r="M78" s="67" t="str">
        <f>IF($E78="Q42027",COUNTIF($E$3:$E78,"Q42027"),"")</f>
        <v/>
      </c>
      <c r="N78" s="67" t="str">
        <f>IF($E78="Backlog",COUNTIF($E$3:$E78,"Backlog"),"")</f>
        <v/>
      </c>
    </row>
    <row r="79" spans="1:14" ht="19.5" customHeight="1">
      <c r="A79" s="65">
        <v>77</v>
      </c>
      <c r="B79" s="16"/>
      <c r="C79" s="17"/>
      <c r="D79" s="17"/>
      <c r="E79" s="17"/>
      <c r="F79" s="17"/>
      <c r="G79" s="17"/>
      <c r="H79" s="66" t="str">
        <f>IF(C79="XXL (&gt;160h)",168,IF(C79="XL (&gt;40h)",48,IF(C79="L (20-40h)",30,IF(C79="M (10-20h)",15,IF(C79="S (&lt;10h)",5,"")))))</f>
        <v/>
      </c>
      <c r="I79" s="16"/>
      <c r="J79" s="67" t="str">
        <f>IF($E79="Q12027",COUNTIF($E$3:$E79,"Q12027"),"")</f>
        <v/>
      </c>
      <c r="K79" s="67" t="str">
        <f>IF($E79="Q22027",COUNTIF($E$3:$E79,"Q22027"),"")</f>
        <v/>
      </c>
      <c r="L79" s="67" t="str">
        <f>IF($E79="Q32027",COUNTIF($E$3:$E79,"Q32027"),"")</f>
        <v/>
      </c>
      <c r="M79" s="67" t="str">
        <f>IF($E79="Q42027",COUNTIF($E$3:$E79,"Q42027"),"")</f>
        <v/>
      </c>
      <c r="N79" s="67" t="str">
        <f>IF($E79="Backlog",COUNTIF($E$3:$E79,"Backlog"),"")</f>
        <v/>
      </c>
    </row>
    <row r="80" spans="1:14" ht="19.5" customHeight="1">
      <c r="A80" s="68">
        <v>78</v>
      </c>
      <c r="B80" s="18"/>
      <c r="C80" s="19"/>
      <c r="D80" s="19"/>
      <c r="E80" s="19"/>
      <c r="F80" s="19"/>
      <c r="G80" s="19"/>
      <c r="H80" s="69" t="str">
        <f>IF(C80="XXL (&gt;160h)",168,IF(C80="XL (&gt;40h)",48,IF(C80="L (20-40h)",30,IF(C80="M (10-20h)",15,IF(C80="S (&lt;10h)",5,"")))))</f>
        <v/>
      </c>
      <c r="I80" s="18"/>
      <c r="J80" s="67" t="str">
        <f>IF($E80="Q12027",COUNTIF($E$3:$E80,"Q12027"),"")</f>
        <v/>
      </c>
      <c r="K80" s="67" t="str">
        <f>IF($E80="Q22027",COUNTIF($E$3:$E80,"Q22027"),"")</f>
        <v/>
      </c>
      <c r="L80" s="67" t="str">
        <f>IF($E80="Q32027",COUNTIF($E$3:$E80,"Q32027"),"")</f>
        <v/>
      </c>
      <c r="M80" s="67" t="str">
        <f>IF($E80="Q42027",COUNTIF($E$3:$E80,"Q42027"),"")</f>
        <v/>
      </c>
      <c r="N80" s="67" t="str">
        <f>IF($E80="Backlog",COUNTIF($E$3:$E80,"Backlog"),"")</f>
        <v/>
      </c>
    </row>
    <row r="81" spans="1:14" ht="19.5" customHeight="1">
      <c r="A81" s="65">
        <v>79</v>
      </c>
      <c r="B81" s="16"/>
      <c r="C81" s="17"/>
      <c r="D81" s="17"/>
      <c r="E81" s="17"/>
      <c r="F81" s="17"/>
      <c r="G81" s="17"/>
      <c r="H81" s="66" t="str">
        <f>IF(C81="XXL (&gt;160h)",168,IF(C81="XL (&gt;40h)",48,IF(C81="L (20-40h)",30,IF(C81="M (10-20h)",15,IF(C81="S (&lt;10h)",5,"")))))</f>
        <v/>
      </c>
      <c r="I81" s="16"/>
      <c r="J81" s="67" t="str">
        <f>IF($E81="Q12027",COUNTIF($E$3:$E81,"Q12027"),"")</f>
        <v/>
      </c>
      <c r="K81" s="67" t="str">
        <f>IF($E81="Q22027",COUNTIF($E$3:$E81,"Q22027"),"")</f>
        <v/>
      </c>
      <c r="L81" s="67" t="str">
        <f>IF($E81="Q32027",COUNTIF($E$3:$E81,"Q32027"),"")</f>
        <v/>
      </c>
      <c r="M81" s="67" t="str">
        <f>IF($E81="Q42027",COUNTIF($E$3:$E81,"Q42027"),"")</f>
        <v/>
      </c>
      <c r="N81" s="67" t="str">
        <f>IF($E81="Backlog",COUNTIF($E$3:$E81,"Backlog"),"")</f>
        <v/>
      </c>
    </row>
    <row r="82" spans="1:14" ht="19.5" customHeight="1">
      <c r="A82" s="68">
        <v>80</v>
      </c>
      <c r="B82" s="18"/>
      <c r="C82" s="19"/>
      <c r="D82" s="19"/>
      <c r="E82" s="19"/>
      <c r="F82" s="19"/>
      <c r="G82" s="19"/>
      <c r="H82" s="69" t="str">
        <f>IF(C82="XXL (&gt;160h)",168,IF(C82="XL (&gt;40h)",48,IF(C82="L (20-40h)",30,IF(C82="M (10-20h)",15,IF(C82="S (&lt;10h)",5,"")))))</f>
        <v/>
      </c>
      <c r="I82" s="18"/>
      <c r="J82" s="67" t="str">
        <f>IF($E82="Q12027",COUNTIF($E$3:$E82,"Q12027"),"")</f>
        <v/>
      </c>
      <c r="K82" s="67" t="str">
        <f>IF($E82="Q22027",COUNTIF($E$3:$E82,"Q22027"),"")</f>
        <v/>
      </c>
      <c r="L82" s="67" t="str">
        <f>IF($E82="Q32027",COUNTIF($E$3:$E82,"Q32027"),"")</f>
        <v/>
      </c>
      <c r="M82" s="67" t="str">
        <f>IF($E82="Q42027",COUNTIF($E$3:$E82,"Q42027"),"")</f>
        <v/>
      </c>
      <c r="N82" s="67" t="str">
        <f>IF($E82="Backlog",COUNTIF($E$3:$E82,"Backlog"),"")</f>
        <v/>
      </c>
    </row>
    <row r="83" spans="1:14" ht="21.75" customHeight="1">
      <c r="A83" s="113" t="s">
        <v>56</v>
      </c>
      <c r="B83" s="113"/>
      <c r="C83" s="113"/>
      <c r="D83" s="113"/>
      <c r="E83" s="113"/>
      <c r="F83" s="113"/>
      <c r="G83" s="113"/>
      <c r="H83" s="20">
        <f>SUM(H3:H82)</f>
        <v>0</v>
      </c>
      <c r="I83" s="70"/>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61" priority="2" operator="equal">
      <formula>"Strengthen"</formula>
    </cfRule>
    <cfRule type="cellIs" dxfId="60" priority="3" operator="equal">
      <formula>"Innovation"</formula>
    </cfRule>
    <cfRule type="cellIs" dxfId="59" priority="4" operator="equal">
      <formula>"Repair"</formula>
    </cfRule>
  </conditionalFormatting>
  <dataValidations count="5">
    <dataValidation type="list" allowBlank="1" sqref="D3:D82" xr:uid="{00000000-0002-0000-0E00-000000000000}">
      <formula1>"Strengthen,Innovation,Repair"</formula1>
      <formula2>0</formula2>
    </dataValidation>
    <dataValidation type="list" allowBlank="1" sqref="C3:C82" xr:uid="{00000000-0002-0000-0E00-000001000000}">
      <formula1>"XXL (&gt;160h),XL (&gt;40h),L (20-40h),M (10-20h),S (&lt;10h)"</formula1>
      <formula2>0</formula2>
    </dataValidation>
    <dataValidation type="list" allowBlank="1" sqref="E3:E82" xr:uid="{00000000-0002-0000-0E00-000002000000}">
      <formula1>"Q12027,Q22027,Q32027,Q42027,Backlog"</formula1>
      <formula2>0</formula2>
    </dataValidation>
    <dataValidation type="list" allowBlank="1" sqref="F3:F82" xr:uid="{00000000-0002-0000-0E00-000003000000}">
      <formula1>"Must,Should,Could,Won't"</formula1>
      <formula2>0</formula2>
    </dataValidation>
    <dataValidation type="list" allowBlank="1" sqref="G3:G82" xr:uid="{00000000-0002-0000-0E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sheetPr>
  <dimension ref="B1:P101"/>
  <sheetViews>
    <sheetView showGridLines="0" zoomScaleNormal="100" workbookViewId="0">
      <pane xSplit="1" ySplit="17" topLeftCell="B18" activePane="bottomRight" state="frozen"/>
      <selection pane="bottomRight" activeCell="C26" sqref="C26"/>
      <selection pane="bottomLeft" activeCell="A18" sqref="A18"/>
      <selection pane="topRight" activeCell="B1" sqref="B1"/>
    </sheetView>
  </sheetViews>
  <sheetFormatPr defaultColWidth="8.7109375" defaultRowHeight="15"/>
  <cols>
    <col min="1" max="1" width="3" customWidth="1"/>
    <col min="2" max="2" width="57.140625" customWidth="1"/>
    <col min="3" max="3" width="14" customWidth="1"/>
    <col min="4" max="4" width="13" customWidth="1"/>
    <col min="5" max="5" width="2" customWidth="1"/>
    <col min="6" max="6" width="57.140625" customWidth="1"/>
    <col min="7" max="7" width="14" customWidth="1"/>
    <col min="8" max="8" width="13" customWidth="1"/>
    <col min="9" max="9" width="2" customWidth="1"/>
    <col min="10" max="10" width="57.140625" customWidth="1"/>
    <col min="11" max="11" width="14" customWidth="1"/>
    <col min="12" max="12" width="13" customWidth="1"/>
    <col min="13" max="13" width="2" customWidth="1"/>
    <col min="14" max="14" width="57.140625" customWidth="1"/>
    <col min="15" max="15" width="14" customWidth="1"/>
    <col min="16" max="16" width="13" customWidth="1"/>
  </cols>
  <sheetData>
    <row r="1" spans="2:16" ht="51.75" customHeight="1">
      <c r="B1" s="131" t="s">
        <v>227</v>
      </c>
      <c r="C1" s="131"/>
      <c r="D1" s="131"/>
      <c r="E1" s="131"/>
      <c r="F1" s="131"/>
      <c r="G1" s="131"/>
      <c r="H1" s="131"/>
      <c r="I1" s="131"/>
      <c r="J1" s="131"/>
      <c r="K1" s="131"/>
      <c r="L1" s="131"/>
      <c r="M1" s="131"/>
      <c r="N1" s="131"/>
      <c r="O1" s="131"/>
      <c r="P1" s="131"/>
    </row>
    <row r="2" spans="2:16" ht="21.75" customHeight="1">
      <c r="B2" s="132" t="s">
        <v>228</v>
      </c>
      <c r="C2" s="132"/>
      <c r="D2" s="132"/>
      <c r="F2" s="133" t="s">
        <v>229</v>
      </c>
      <c r="G2" s="133"/>
      <c r="H2" s="133"/>
      <c r="J2" s="134" t="s">
        <v>230</v>
      </c>
      <c r="K2" s="134"/>
      <c r="L2" s="134"/>
      <c r="N2" s="135" t="s">
        <v>231</v>
      </c>
      <c r="O2" s="135"/>
      <c r="P2" s="135"/>
    </row>
    <row r="3" spans="2:16" ht="18" customHeight="1">
      <c r="B3" s="1" t="s">
        <v>63</v>
      </c>
      <c r="C3" s="1" t="s">
        <v>64</v>
      </c>
      <c r="D3" s="1" t="s">
        <v>65</v>
      </c>
      <c r="F3" s="1" t="s">
        <v>63</v>
      </c>
      <c r="G3" s="1" t="s">
        <v>64</v>
      </c>
      <c r="H3" s="1" t="s">
        <v>65</v>
      </c>
      <c r="J3" s="1" t="s">
        <v>63</v>
      </c>
      <c r="K3" s="1" t="s">
        <v>64</v>
      </c>
      <c r="L3" s="1" t="s">
        <v>65</v>
      </c>
      <c r="N3" s="1" t="s">
        <v>63</v>
      </c>
      <c r="O3" s="1" t="s">
        <v>64</v>
      </c>
      <c r="P3" s="1" t="s">
        <v>65</v>
      </c>
    </row>
    <row r="4" spans="2:16" ht="19.5" customHeight="1">
      <c r="B4" s="2" t="s">
        <v>66</v>
      </c>
      <c r="C4" s="3">
        <f>D4*8</f>
        <v>0</v>
      </c>
      <c r="D4" s="4"/>
      <c r="F4" s="2" t="s">
        <v>66</v>
      </c>
      <c r="G4" s="3">
        <f>H4*8</f>
        <v>0</v>
      </c>
      <c r="H4" s="4"/>
      <c r="J4" s="2" t="s">
        <v>66</v>
      </c>
      <c r="K4" s="3">
        <f>L4*8</f>
        <v>0</v>
      </c>
      <c r="L4" s="4"/>
      <c r="N4" s="2" t="s">
        <v>66</v>
      </c>
      <c r="O4" s="3">
        <f>P4*8</f>
        <v>0</v>
      </c>
      <c r="P4" s="4"/>
    </row>
    <row r="5" spans="2:16" ht="19.5" customHeight="1">
      <c r="B5" s="5" t="s">
        <v>67</v>
      </c>
      <c r="C5" s="6">
        <f>D5*8</f>
        <v>0</v>
      </c>
      <c r="D5" s="7"/>
      <c r="F5" s="5" t="s">
        <v>67</v>
      </c>
      <c r="G5" s="6">
        <f>H5*8</f>
        <v>0</v>
      </c>
      <c r="H5" s="7"/>
      <c r="J5" s="5" t="s">
        <v>67</v>
      </c>
      <c r="K5" s="6">
        <f>L5*8</f>
        <v>0</v>
      </c>
      <c r="L5" s="7"/>
      <c r="N5" s="5" t="s">
        <v>67</v>
      </c>
      <c r="O5" s="6">
        <f>P5*8</f>
        <v>0</v>
      </c>
      <c r="P5" s="7"/>
    </row>
    <row r="6" spans="2:16" ht="19.5" customHeight="1">
      <c r="B6" s="2" t="s">
        <v>68</v>
      </c>
      <c r="C6" s="3">
        <f>D6*8</f>
        <v>0</v>
      </c>
      <c r="D6" s="4"/>
      <c r="F6" s="2" t="s">
        <v>68</v>
      </c>
      <c r="G6" s="3">
        <f>H6*8</f>
        <v>0</v>
      </c>
      <c r="H6" s="4"/>
      <c r="J6" s="2" t="s">
        <v>68</v>
      </c>
      <c r="K6" s="3">
        <f>L6*8</f>
        <v>0</v>
      </c>
      <c r="L6" s="4"/>
      <c r="N6" s="2" t="s">
        <v>68</v>
      </c>
      <c r="O6" s="3">
        <f>P6*8</f>
        <v>0</v>
      </c>
      <c r="P6" s="4"/>
    </row>
    <row r="7" spans="2:16" ht="18" customHeight="1">
      <c r="B7" s="136" t="s">
        <v>69</v>
      </c>
      <c r="C7" s="136"/>
      <c r="D7" s="136"/>
      <c r="F7" s="136" t="s">
        <v>69</v>
      </c>
      <c r="G7" s="136"/>
      <c r="H7" s="136"/>
      <c r="J7" s="136" t="s">
        <v>69</v>
      </c>
      <c r="K7" s="136"/>
      <c r="L7" s="136"/>
      <c r="N7" s="136" t="s">
        <v>69</v>
      </c>
      <c r="O7" s="136"/>
      <c r="P7" s="136"/>
    </row>
    <row r="8" spans="2:16" ht="18.75" customHeight="1">
      <c r="B8" s="2" t="s">
        <v>70</v>
      </c>
      <c r="C8" s="8"/>
      <c r="D8" s="9" t="str">
        <f>IFERROR(C8/C4,"")</f>
        <v/>
      </c>
      <c r="F8" s="2" t="s">
        <v>70</v>
      </c>
      <c r="G8" s="8"/>
      <c r="H8" s="9" t="str">
        <f>IFERROR(G8/G4,"")</f>
        <v/>
      </c>
      <c r="J8" s="2" t="s">
        <v>70</v>
      </c>
      <c r="K8" s="8"/>
      <c r="L8" s="9" t="str">
        <f>IFERROR(K8/K4,"")</f>
        <v/>
      </c>
      <c r="N8" s="2" t="s">
        <v>70</v>
      </c>
      <c r="O8" s="8"/>
      <c r="P8" s="9" t="str">
        <f>IFERROR(O8/O4,"")</f>
        <v/>
      </c>
    </row>
    <row r="9" spans="2:16" ht="18.75" customHeight="1">
      <c r="B9" s="5" t="s">
        <v>71</v>
      </c>
      <c r="C9" s="10"/>
      <c r="D9" s="11" t="str">
        <f>IFERROR(C9/C4,"")</f>
        <v/>
      </c>
      <c r="F9" s="5" t="s">
        <v>71</v>
      </c>
      <c r="G9" s="10"/>
      <c r="H9" s="11" t="str">
        <f>IFERROR(G9/G4,"")</f>
        <v/>
      </c>
      <c r="J9" s="5" t="s">
        <v>71</v>
      </c>
      <c r="K9" s="10"/>
      <c r="L9" s="11" t="str">
        <f>IFERROR(K9/K4,"")</f>
        <v/>
      </c>
      <c r="N9" s="5" t="s">
        <v>71</v>
      </c>
      <c r="O9" s="10"/>
      <c r="P9" s="11" t="str">
        <f>IFERROR(O9/O4,"")</f>
        <v/>
      </c>
    </row>
    <row r="10" spans="2:16" ht="18.75" customHeight="1">
      <c r="B10" s="2" t="s">
        <v>72</v>
      </c>
      <c r="C10" s="8"/>
      <c r="D10" s="9" t="str">
        <f>IFERROR(C10/C4,"")</f>
        <v/>
      </c>
      <c r="F10" s="2" t="s">
        <v>72</v>
      </c>
      <c r="G10" s="8"/>
      <c r="H10" s="9" t="str">
        <f>IFERROR(G10/G4,"")</f>
        <v/>
      </c>
      <c r="J10" s="2" t="s">
        <v>72</v>
      </c>
      <c r="K10" s="8"/>
      <c r="L10" s="9" t="str">
        <f>IFERROR(K10/K4,"")</f>
        <v/>
      </c>
      <c r="N10" s="2" t="s">
        <v>72</v>
      </c>
      <c r="O10" s="8"/>
      <c r="P10" s="9" t="str">
        <f>IFERROR(O10/O4,"")</f>
        <v/>
      </c>
    </row>
    <row r="11" spans="2:16" ht="18.75" customHeight="1">
      <c r="B11" s="5" t="s">
        <v>73</v>
      </c>
      <c r="C11" s="10"/>
      <c r="D11" s="11" t="str">
        <f>IFERROR(C11/C4,"")</f>
        <v/>
      </c>
      <c r="F11" s="5" t="s">
        <v>73</v>
      </c>
      <c r="G11" s="10"/>
      <c r="H11" s="11" t="str">
        <f>IFERROR(G11/G4,"")</f>
        <v/>
      </c>
      <c r="J11" s="5" t="s">
        <v>73</v>
      </c>
      <c r="K11" s="10"/>
      <c r="L11" s="11" t="str">
        <f>IFERROR(K11/K4,"")</f>
        <v/>
      </c>
      <c r="N11" s="5" t="s">
        <v>73</v>
      </c>
      <c r="O11" s="10"/>
      <c r="P11" s="11" t="str">
        <f>IFERROR(O11/O4,"")</f>
        <v/>
      </c>
    </row>
    <row r="12" spans="2:16" ht="18.75" customHeight="1">
      <c r="B12" s="2" t="s">
        <v>74</v>
      </c>
      <c r="C12" s="8"/>
      <c r="D12" s="9" t="str">
        <f>IFERROR(C12/C4,"")</f>
        <v/>
      </c>
      <c r="F12" s="2" t="s">
        <v>74</v>
      </c>
      <c r="G12" s="8"/>
      <c r="H12" s="9" t="str">
        <f>IFERROR(G12/G4,"")</f>
        <v/>
      </c>
      <c r="J12" s="2" t="s">
        <v>74</v>
      </c>
      <c r="K12" s="8"/>
      <c r="L12" s="9" t="str">
        <f>IFERROR(K12/K4,"")</f>
        <v/>
      </c>
      <c r="N12" s="2" t="s">
        <v>74</v>
      </c>
      <c r="O12" s="8"/>
      <c r="P12" s="9" t="str">
        <f>IFERROR(O12/O4,"")</f>
        <v/>
      </c>
    </row>
    <row r="13" spans="2:16" ht="18.75" customHeight="1">
      <c r="B13" s="5" t="s">
        <v>75</v>
      </c>
      <c r="C13" s="10"/>
      <c r="D13" s="11" t="str">
        <f>IFERROR(C13/C4,"")</f>
        <v/>
      </c>
      <c r="F13" s="5" t="s">
        <v>75</v>
      </c>
      <c r="G13" s="10"/>
      <c r="H13" s="11" t="str">
        <f>IFERROR(G13/G4,"")</f>
        <v/>
      </c>
      <c r="J13" s="5" t="s">
        <v>75</v>
      </c>
      <c r="K13" s="10"/>
      <c r="L13" s="11" t="str">
        <f>IFERROR(K13/K4,"")</f>
        <v/>
      </c>
      <c r="N13" s="5" t="s">
        <v>75</v>
      </c>
      <c r="O13" s="10"/>
      <c r="P13" s="11" t="str">
        <f>IFERROR(O13/O4,"")</f>
        <v/>
      </c>
    </row>
    <row r="14" spans="2:16" ht="18.75" customHeight="1">
      <c r="B14" s="2" t="s">
        <v>76</v>
      </c>
      <c r="C14" s="8"/>
      <c r="D14" s="9" t="str">
        <f>IFERROR(C14/C4,"")</f>
        <v/>
      </c>
      <c r="F14" s="2" t="s">
        <v>76</v>
      </c>
      <c r="G14" s="8"/>
      <c r="H14" s="9" t="str">
        <f>IFERROR(G14/G4,"")</f>
        <v/>
      </c>
      <c r="J14" s="2" t="s">
        <v>76</v>
      </c>
      <c r="K14" s="8"/>
      <c r="L14" s="9" t="str">
        <f>IFERROR(K14/K4,"")</f>
        <v/>
      </c>
      <c r="N14" s="2" t="s">
        <v>76</v>
      </c>
      <c r="O14" s="8"/>
      <c r="P14" s="9" t="str">
        <f>IFERROR(O14/O4,"")</f>
        <v/>
      </c>
    </row>
    <row r="15" spans="2:16" ht="18.75" customHeight="1">
      <c r="B15" s="5" t="s">
        <v>77</v>
      </c>
      <c r="C15" s="10"/>
      <c r="D15" s="11" t="str">
        <f>IFERROR(C15/C4,"")</f>
        <v/>
      </c>
      <c r="F15" s="5" t="s">
        <v>77</v>
      </c>
      <c r="G15" s="10"/>
      <c r="H15" s="11" t="str">
        <f>IFERROR(G15/G4,"")</f>
        <v/>
      </c>
      <c r="J15" s="5" t="s">
        <v>77</v>
      </c>
      <c r="K15" s="10"/>
      <c r="L15" s="11" t="str">
        <f>IFERROR(K15/K4,"")</f>
        <v/>
      </c>
      <c r="N15" s="5" t="s">
        <v>77</v>
      </c>
      <c r="O15" s="10"/>
      <c r="P15" s="11" t="str">
        <f>IFERROR(O15/O4,"")</f>
        <v/>
      </c>
    </row>
    <row r="16" spans="2:16" ht="6" customHeight="1">
      <c r="B16" s="158"/>
      <c r="C16" s="158"/>
      <c r="D16" s="158"/>
      <c r="F16" s="159"/>
      <c r="G16" s="159"/>
      <c r="H16" s="159"/>
      <c r="J16" s="160"/>
      <c r="K16" s="160"/>
      <c r="L16" s="160"/>
      <c r="N16" s="161"/>
      <c r="O16" s="161"/>
      <c r="P16" s="161"/>
    </row>
    <row r="17" spans="2:16" ht="21.75" customHeight="1">
      <c r="B17" s="12" t="s">
        <v>2</v>
      </c>
      <c r="C17" s="12" t="s">
        <v>3</v>
      </c>
      <c r="D17" s="12" t="s">
        <v>78</v>
      </c>
      <c r="F17" s="13" t="s">
        <v>2</v>
      </c>
      <c r="G17" s="13" t="s">
        <v>3</v>
      </c>
      <c r="H17" s="13" t="s">
        <v>78</v>
      </c>
      <c r="J17" s="14" t="s">
        <v>2</v>
      </c>
      <c r="K17" s="14" t="s">
        <v>3</v>
      </c>
      <c r="L17" s="14" t="s">
        <v>78</v>
      </c>
      <c r="N17" s="15" t="s">
        <v>2</v>
      </c>
      <c r="O17" s="15" t="s">
        <v>3</v>
      </c>
      <c r="P17" s="15" t="s">
        <v>78</v>
      </c>
    </row>
    <row r="18" spans="2:16" ht="24.75" customHeight="1">
      <c r="B18" s="16" t="str">
        <f>IFERROR(INDEX(DATA2027!B$2:B$401,MATCH(1,DATA2027!I$2:I$401,0)),"")</f>
        <v>Artikelbestandteile im eCom abwählen</v>
      </c>
      <c r="C18" s="17">
        <f>IFERROR(INDEX(DATA2027!C$2:C$401,MATCH(1,DATA2027!I$2:I$401,0)),"")</f>
        <v>0</v>
      </c>
      <c r="D18" s="17" t="str">
        <f>IFERROR(INDEX(DATA2027!D$2:D$401,MATCH(1,DATA2027!I$2:I$401,0)),"")</f>
        <v>Innovation</v>
      </c>
      <c r="F18" s="16" t="str">
        <f>IFERROR(INDEX(DATA2027!B$2:B$401,MATCH(1,DATA2027!J$2:J$401,0)),"")</f>
        <v/>
      </c>
      <c r="G18" s="17" t="str">
        <f>IFERROR(INDEX(DATA2027!C$2:C$401,MATCH(1,DATA2027!J$2:J$401,0)),"")</f>
        <v/>
      </c>
      <c r="H18" s="17" t="str">
        <f>IFERROR(INDEX(DATA2027!D$2:D$401,MATCH(1,DATA2027!J$2:J$401,0)),"")</f>
        <v/>
      </c>
      <c r="J18" s="16" t="str">
        <f>IFERROR(INDEX(DATA2027!B$2:B$401,MATCH(1,DATA2027!K$2:K$401,0)),"")</f>
        <v/>
      </c>
      <c r="K18" s="17" t="str">
        <f>IFERROR(INDEX(DATA2027!C$2:C$401,MATCH(1,DATA2027!K$2:K$401,0)),"")</f>
        <v/>
      </c>
      <c r="L18" s="17" t="str">
        <f>IFERROR(INDEX(DATA2027!D$2:D$401,MATCH(1,DATA2027!K$2:K$401,0)),"")</f>
        <v/>
      </c>
      <c r="N18" s="16" t="str">
        <f>IFERROR(INDEX(DATA2027!B$2:B$401,MATCH(1,DATA2027!L$2:L$401,0)),"")</f>
        <v/>
      </c>
      <c r="O18" s="17" t="str">
        <f>IFERROR(INDEX(DATA2027!C$2:C$401,MATCH(1,DATA2027!L$2:L$401,0)),"")</f>
        <v/>
      </c>
      <c r="P18" s="17" t="str">
        <f>IFERROR(INDEX(DATA2027!D$2:D$401,MATCH(1,DATA2027!L$2:L$401,0)),"")</f>
        <v/>
      </c>
    </row>
    <row r="19" spans="2:16" ht="24.75" customHeight="1">
      <c r="B19" s="18" t="str">
        <f>IFERROR(INDEX(DATA2027!B$2:B$401,MATCH(2,DATA2027!I$2:I$401,0)),"")</f>
        <v>Neue Oracle Cloud- Schnittstelle auf Artikelebene</v>
      </c>
      <c r="C19" s="19">
        <f>IFERROR(INDEX(DATA2027!C$2:C$401,MATCH(2,DATA2027!I$2:I$401,0)),"")</f>
        <v>0</v>
      </c>
      <c r="D19" s="19" t="str">
        <f>IFERROR(INDEX(DATA2027!D$2:D$401,MATCH(2,DATA2027!I$2:I$401,0)),"")</f>
        <v>Strengthen</v>
      </c>
      <c r="F19" s="18" t="str">
        <f>IFERROR(INDEX(DATA2027!B$2:B$401,MATCH(2,DATA2027!J$2:J$401,0)),"")</f>
        <v/>
      </c>
      <c r="G19" s="19" t="str">
        <f>IFERROR(INDEX(DATA2027!C$2:C$401,MATCH(2,DATA2027!J$2:J$401,0)),"")</f>
        <v/>
      </c>
      <c r="H19" s="19" t="str">
        <f>IFERROR(INDEX(DATA2027!D$2:D$401,MATCH(2,DATA2027!J$2:J$401,0)),"")</f>
        <v/>
      </c>
      <c r="J19" s="18" t="str">
        <f>IFERROR(INDEX(DATA2027!B$2:B$401,MATCH(2,DATA2027!K$2:K$401,0)),"")</f>
        <v/>
      </c>
      <c r="K19" s="19" t="str">
        <f>IFERROR(INDEX(DATA2027!C$2:C$401,MATCH(2,DATA2027!K$2:K$401,0)),"")</f>
        <v/>
      </c>
      <c r="L19" s="19" t="str">
        <f>IFERROR(INDEX(DATA2027!D$2:D$401,MATCH(2,DATA2027!K$2:K$401,0)),"")</f>
        <v/>
      </c>
      <c r="N19" s="18" t="str">
        <f>IFERROR(INDEX(DATA2027!B$2:B$401,MATCH(2,DATA2027!L$2:L$401,0)),"")</f>
        <v/>
      </c>
      <c r="O19" s="19" t="str">
        <f>IFERROR(INDEX(DATA2027!C$2:C$401,MATCH(2,DATA2027!L$2:L$401,0)),"")</f>
        <v/>
      </c>
      <c r="P19" s="19" t="str">
        <f>IFERROR(INDEX(DATA2027!D$2:D$401,MATCH(2,DATA2027!L$2:L$401,0)),"")</f>
        <v/>
      </c>
    </row>
    <row r="20" spans="2:16" ht="24.75" customHeight="1">
      <c r="B20" s="16" t="str">
        <f>IFERROR(INDEX(DATA2027!B$2:B$401,MATCH(3,DATA2027!I$2:I$401,0)),"")</f>
        <v>Adyen Finance Plattform (AFP)</v>
      </c>
      <c r="C20" s="17">
        <f>IFERROR(INDEX(DATA2027!C$2:C$401,MATCH(3,DATA2027!I$2:I$401,0)),"")</f>
        <v>0</v>
      </c>
      <c r="D20" s="17" t="str">
        <f>IFERROR(INDEX(DATA2027!D$2:D$401,MATCH(3,DATA2027!I$2:I$401,0)),"")</f>
        <v>Innovation</v>
      </c>
      <c r="F20" s="16" t="str">
        <f>IFERROR(INDEX(DATA2027!B$2:B$401,MATCH(3,DATA2027!J$2:J$401,0)),"")</f>
        <v/>
      </c>
      <c r="G20" s="17" t="str">
        <f>IFERROR(INDEX(DATA2027!C$2:C$401,MATCH(3,DATA2027!J$2:J$401,0)),"")</f>
        <v/>
      </c>
      <c r="H20" s="17" t="str">
        <f>IFERROR(INDEX(DATA2027!D$2:D$401,MATCH(3,DATA2027!J$2:J$401,0)),"")</f>
        <v/>
      </c>
      <c r="J20" s="16" t="str">
        <f>IFERROR(INDEX(DATA2027!B$2:B$401,MATCH(3,DATA2027!K$2:K$401,0)),"")</f>
        <v/>
      </c>
      <c r="K20" s="17" t="str">
        <f>IFERROR(INDEX(DATA2027!C$2:C$401,MATCH(3,DATA2027!K$2:K$401,0)),"")</f>
        <v/>
      </c>
      <c r="L20" s="17" t="str">
        <f>IFERROR(INDEX(DATA2027!D$2:D$401,MATCH(3,DATA2027!K$2:K$401,0)),"")</f>
        <v/>
      </c>
      <c r="N20" s="16" t="str">
        <f>IFERROR(INDEX(DATA2027!B$2:B$401,MATCH(3,DATA2027!L$2:L$401,0)),"")</f>
        <v/>
      </c>
      <c r="O20" s="17" t="str">
        <f>IFERROR(INDEX(DATA2027!C$2:C$401,MATCH(3,DATA2027!L$2:L$401,0)),"")</f>
        <v/>
      </c>
      <c r="P20" s="17" t="str">
        <f>IFERROR(INDEX(DATA2027!D$2:D$401,MATCH(3,DATA2027!L$2:L$401,0)),"")</f>
        <v/>
      </c>
    </row>
    <row r="21" spans="2:16" ht="24.75" customHeight="1">
      <c r="B21" s="18" t="str">
        <f>IFERROR(INDEX(DATA2027!B$2:B$401,MATCH(4,DATA2027!I$2:I$401,0)),"")</f>
        <v>Apaleo PMS</v>
      </c>
      <c r="C21" s="19">
        <f>IFERROR(INDEX(DATA2027!C$2:C$401,MATCH(4,DATA2027!I$2:I$401,0)),"")</f>
        <v>0</v>
      </c>
      <c r="D21" s="19" t="str">
        <f>IFERROR(INDEX(DATA2027!D$2:D$401,MATCH(4,DATA2027!I$2:I$401,0)),"")</f>
        <v>Strengthen</v>
      </c>
      <c r="F21" s="18" t="str">
        <f>IFERROR(INDEX(DATA2027!B$2:B$401,MATCH(4,DATA2027!J$2:J$401,0)),"")</f>
        <v/>
      </c>
      <c r="G21" s="19" t="str">
        <f>IFERROR(INDEX(DATA2027!C$2:C$401,MATCH(4,DATA2027!J$2:J$401,0)),"")</f>
        <v/>
      </c>
      <c r="H21" s="19" t="str">
        <f>IFERROR(INDEX(DATA2027!D$2:D$401,MATCH(4,DATA2027!J$2:J$401,0)),"")</f>
        <v/>
      </c>
      <c r="J21" s="18" t="str">
        <f>IFERROR(INDEX(DATA2027!B$2:B$401,MATCH(4,DATA2027!K$2:K$401,0)),"")</f>
        <v/>
      </c>
      <c r="K21" s="19" t="str">
        <f>IFERROR(INDEX(DATA2027!C$2:C$401,MATCH(4,DATA2027!K$2:K$401,0)),"")</f>
        <v/>
      </c>
      <c r="L21" s="19" t="str">
        <f>IFERROR(INDEX(DATA2027!D$2:D$401,MATCH(4,DATA2027!K$2:K$401,0)),"")</f>
        <v/>
      </c>
      <c r="N21" s="18" t="str">
        <f>IFERROR(INDEX(DATA2027!B$2:B$401,MATCH(4,DATA2027!L$2:L$401,0)),"")</f>
        <v/>
      </c>
      <c r="O21" s="19" t="str">
        <f>IFERROR(INDEX(DATA2027!C$2:C$401,MATCH(4,DATA2027!L$2:L$401,0)),"")</f>
        <v/>
      </c>
      <c r="P21" s="19" t="str">
        <f>IFERROR(INDEX(DATA2027!D$2:D$401,MATCH(4,DATA2027!L$2:L$401,0)),"")</f>
        <v/>
      </c>
    </row>
    <row r="22" spans="2:16" ht="24.75" customHeight="1">
      <c r="B22" s="16" t="str">
        <f>IFERROR(INDEX(DATA2027!B$2:B$401,MATCH(5,DATA2027!I$2:I$401,0)),"")</f>
        <v>ASA PMS | Artikelgenau XML-Schnittstelle / Protel?</v>
      </c>
      <c r="C22" s="17">
        <f>IFERROR(INDEX(DATA2027!C$2:C$401,MATCH(5,DATA2027!I$2:I$401,0)),"")</f>
        <v>0</v>
      </c>
      <c r="D22" s="17" t="str">
        <f>IFERROR(INDEX(DATA2027!D$2:D$401,MATCH(5,DATA2027!I$2:I$401,0)),"")</f>
        <v>Strengthen</v>
      </c>
      <c r="F22" s="16" t="str">
        <f>IFERROR(INDEX(DATA2027!B$2:B$401,MATCH(5,DATA2027!J$2:J$401,0)),"")</f>
        <v/>
      </c>
      <c r="G22" s="17" t="str">
        <f>IFERROR(INDEX(DATA2027!C$2:C$401,MATCH(5,DATA2027!J$2:J$401,0)),"")</f>
        <v/>
      </c>
      <c r="H22" s="17" t="str">
        <f>IFERROR(INDEX(DATA2027!D$2:D$401,MATCH(5,DATA2027!J$2:J$401,0)),"")</f>
        <v/>
      </c>
      <c r="J22" s="16" t="str">
        <f>IFERROR(INDEX(DATA2027!B$2:B$401,MATCH(5,DATA2027!K$2:K$401,0)),"")</f>
        <v/>
      </c>
      <c r="K22" s="17" t="str">
        <f>IFERROR(INDEX(DATA2027!C$2:C$401,MATCH(5,DATA2027!K$2:K$401,0)),"")</f>
        <v/>
      </c>
      <c r="L22" s="17" t="str">
        <f>IFERROR(INDEX(DATA2027!D$2:D$401,MATCH(5,DATA2027!K$2:K$401,0)),"")</f>
        <v/>
      </c>
      <c r="N22" s="16" t="str">
        <f>IFERROR(INDEX(DATA2027!B$2:B$401,MATCH(5,DATA2027!L$2:L$401,0)),"")</f>
        <v/>
      </c>
      <c r="O22" s="17" t="str">
        <f>IFERROR(INDEX(DATA2027!C$2:C$401,MATCH(5,DATA2027!L$2:L$401,0)),"")</f>
        <v/>
      </c>
      <c r="P22" s="17" t="str">
        <f>IFERROR(INDEX(DATA2027!D$2:D$401,MATCH(5,DATA2027!L$2:L$401,0)),"")</f>
        <v/>
      </c>
    </row>
    <row r="23" spans="2:16" ht="24.75" customHeight="1">
      <c r="B23" s="18" t="str">
        <f>IFERROR(INDEX(DATA2027!B$2:B$401,MATCH(6,DATA2027!I$2:I$401,0)),"")</f>
        <v>SOT Nach Verkaustelle (Statt HypCusNr) Optional</v>
      </c>
      <c r="C23" s="19" t="str">
        <f>IFERROR(INDEX(DATA2027!C$2:C$401,MATCH(6,DATA2027!I$2:I$401,0)),"")</f>
        <v>XXL (&gt;160h)</v>
      </c>
      <c r="D23" s="19" t="str">
        <f>IFERROR(INDEX(DATA2027!D$2:D$401,MATCH(6,DATA2027!I$2:I$401,0)),"")</f>
        <v>Repair</v>
      </c>
      <c r="F23" s="18" t="str">
        <f>IFERROR(INDEX(DATA2027!B$2:B$401,MATCH(6,DATA2027!J$2:J$401,0)),"")</f>
        <v/>
      </c>
      <c r="G23" s="19" t="str">
        <f>IFERROR(INDEX(DATA2027!C$2:C$401,MATCH(6,DATA2027!J$2:J$401,0)),"")</f>
        <v/>
      </c>
      <c r="H23" s="19" t="str">
        <f>IFERROR(INDEX(DATA2027!D$2:D$401,MATCH(6,DATA2027!J$2:J$401,0)),"")</f>
        <v/>
      </c>
      <c r="J23" s="18" t="str">
        <f>IFERROR(INDEX(DATA2027!B$2:B$401,MATCH(6,DATA2027!K$2:K$401,0)),"")</f>
        <v/>
      </c>
      <c r="K23" s="19" t="str">
        <f>IFERROR(INDEX(DATA2027!C$2:C$401,MATCH(6,DATA2027!K$2:K$401,0)),"")</f>
        <v/>
      </c>
      <c r="L23" s="19" t="str">
        <f>IFERROR(INDEX(DATA2027!D$2:D$401,MATCH(6,DATA2027!K$2:K$401,0)),"")</f>
        <v/>
      </c>
      <c r="N23" s="18" t="str">
        <f>IFERROR(INDEX(DATA2027!B$2:B$401,MATCH(6,DATA2027!L$2:L$401,0)),"")</f>
        <v/>
      </c>
      <c r="O23" s="19" t="str">
        <f>IFERROR(INDEX(DATA2027!C$2:C$401,MATCH(6,DATA2027!L$2:L$401,0)),"")</f>
        <v/>
      </c>
      <c r="P23" s="19" t="str">
        <f>IFERROR(INDEX(DATA2027!D$2:D$401,MATCH(6,DATA2027!L$2:L$401,0)),"")</f>
        <v/>
      </c>
    </row>
    <row r="24" spans="2:16" ht="24.75" customHeight="1">
      <c r="B24" s="16" t="str">
        <f>IFERROR(INDEX(DATA2027!B$2:B$401,MATCH(7,DATA2027!I$2:I$401,0)),"")</f>
        <v/>
      </c>
      <c r="C24" s="17" t="str">
        <f>IFERROR(INDEX(DATA2027!C$2:C$401,MATCH(7,DATA2027!I$2:I$401,0)),"")</f>
        <v/>
      </c>
      <c r="D24" s="17" t="str">
        <f>IFERROR(INDEX(DATA2027!D$2:D$401,MATCH(7,DATA2027!I$2:I$401,0)),"")</f>
        <v/>
      </c>
      <c r="F24" s="16" t="str">
        <f>IFERROR(INDEX(DATA2027!B$2:B$401,MATCH(7,DATA2027!J$2:J$401,0)),"")</f>
        <v/>
      </c>
      <c r="G24" s="17" t="str">
        <f>IFERROR(INDEX(DATA2027!C$2:C$401,MATCH(7,DATA2027!J$2:J$401,0)),"")</f>
        <v/>
      </c>
      <c r="H24" s="17" t="str">
        <f>IFERROR(INDEX(DATA2027!D$2:D$401,MATCH(7,DATA2027!J$2:J$401,0)),"")</f>
        <v/>
      </c>
      <c r="J24" s="16" t="str">
        <f>IFERROR(INDEX(DATA2027!B$2:B$401,MATCH(7,DATA2027!K$2:K$401,0)),"")</f>
        <v/>
      </c>
      <c r="K24" s="17" t="str">
        <f>IFERROR(INDEX(DATA2027!C$2:C$401,MATCH(7,DATA2027!K$2:K$401,0)),"")</f>
        <v/>
      </c>
      <c r="L24" s="17" t="str">
        <f>IFERROR(INDEX(DATA2027!D$2:D$401,MATCH(7,DATA2027!K$2:K$401,0)),"")</f>
        <v/>
      </c>
      <c r="N24" s="16" t="str">
        <f>IFERROR(INDEX(DATA2027!B$2:B$401,MATCH(7,DATA2027!L$2:L$401,0)),"")</f>
        <v/>
      </c>
      <c r="O24" s="17" t="str">
        <f>IFERROR(INDEX(DATA2027!C$2:C$401,MATCH(7,DATA2027!L$2:L$401,0)),"")</f>
        <v/>
      </c>
      <c r="P24" s="17" t="str">
        <f>IFERROR(INDEX(DATA2027!D$2:D$401,MATCH(7,DATA2027!L$2:L$401,0)),"")</f>
        <v/>
      </c>
    </row>
    <row r="25" spans="2:16" ht="24.75" customHeight="1">
      <c r="B25" s="18" t="str">
        <f>IFERROR(INDEX(DATA2027!B$2:B$401,MATCH(8,DATA2027!I$2:I$401,0)),"")</f>
        <v/>
      </c>
      <c r="C25" s="19" t="str">
        <f>IFERROR(INDEX(DATA2027!C$2:C$401,MATCH(8,DATA2027!I$2:I$401,0)),"")</f>
        <v/>
      </c>
      <c r="D25" s="19" t="str">
        <f>IFERROR(INDEX(DATA2027!D$2:D$401,MATCH(8,DATA2027!I$2:I$401,0)),"")</f>
        <v/>
      </c>
      <c r="F25" s="18" t="str">
        <f>IFERROR(INDEX(DATA2027!B$2:B$401,MATCH(8,DATA2027!J$2:J$401,0)),"")</f>
        <v/>
      </c>
      <c r="G25" s="19" t="str">
        <f>IFERROR(INDEX(DATA2027!C$2:C$401,MATCH(8,DATA2027!J$2:J$401,0)),"")</f>
        <v/>
      </c>
      <c r="H25" s="19" t="str">
        <f>IFERROR(INDEX(DATA2027!D$2:D$401,MATCH(8,DATA2027!J$2:J$401,0)),"")</f>
        <v/>
      </c>
      <c r="J25" s="18" t="str">
        <f>IFERROR(INDEX(DATA2027!B$2:B$401,MATCH(8,DATA2027!K$2:K$401,0)),"")</f>
        <v/>
      </c>
      <c r="K25" s="19" t="str">
        <f>IFERROR(INDEX(DATA2027!C$2:C$401,MATCH(8,DATA2027!K$2:K$401,0)),"")</f>
        <v/>
      </c>
      <c r="L25" s="19" t="str">
        <f>IFERROR(INDEX(DATA2027!D$2:D$401,MATCH(8,DATA2027!K$2:K$401,0)),"")</f>
        <v/>
      </c>
      <c r="N25" s="18" t="str">
        <f>IFERROR(INDEX(DATA2027!B$2:B$401,MATCH(8,DATA2027!L$2:L$401,0)),"")</f>
        <v/>
      </c>
      <c r="O25" s="19" t="str">
        <f>IFERROR(INDEX(DATA2027!C$2:C$401,MATCH(8,DATA2027!L$2:L$401,0)),"")</f>
        <v/>
      </c>
      <c r="P25" s="19" t="str">
        <f>IFERROR(INDEX(DATA2027!D$2:D$401,MATCH(8,DATA2027!L$2:L$401,0)),"")</f>
        <v/>
      </c>
    </row>
    <row r="26" spans="2:16" ht="24.75" customHeight="1">
      <c r="B26" s="16" t="str">
        <f>IFERROR(INDEX(DATA2027!B$2:B$401,MATCH(9,DATA2027!I$2:I$401,0)),"")</f>
        <v/>
      </c>
      <c r="C26" s="17" t="str">
        <f>IFERROR(INDEX(DATA2027!C$2:C$401,MATCH(9,DATA2027!I$2:I$401,0)),"")</f>
        <v/>
      </c>
      <c r="D26" s="17" t="str">
        <f>IFERROR(INDEX(DATA2027!D$2:D$401,MATCH(9,DATA2027!I$2:I$401,0)),"")</f>
        <v/>
      </c>
      <c r="F26" s="16" t="str">
        <f>IFERROR(INDEX(DATA2027!B$2:B$401,MATCH(9,DATA2027!J$2:J$401,0)),"")</f>
        <v/>
      </c>
      <c r="G26" s="17" t="str">
        <f>IFERROR(INDEX(DATA2027!C$2:C$401,MATCH(9,DATA2027!J$2:J$401,0)),"")</f>
        <v/>
      </c>
      <c r="H26" s="17" t="str">
        <f>IFERROR(INDEX(DATA2027!D$2:D$401,MATCH(9,DATA2027!J$2:J$401,0)),"")</f>
        <v/>
      </c>
      <c r="J26" s="16" t="str">
        <f>IFERROR(INDEX(DATA2027!B$2:B$401,MATCH(9,DATA2027!K$2:K$401,0)),"")</f>
        <v/>
      </c>
      <c r="K26" s="17" t="str">
        <f>IFERROR(INDEX(DATA2027!C$2:C$401,MATCH(9,DATA2027!K$2:K$401,0)),"")</f>
        <v/>
      </c>
      <c r="L26" s="17" t="str">
        <f>IFERROR(INDEX(DATA2027!D$2:D$401,MATCH(9,DATA2027!K$2:K$401,0)),"")</f>
        <v/>
      </c>
      <c r="N26" s="16" t="str">
        <f>IFERROR(INDEX(DATA2027!B$2:B$401,MATCH(9,DATA2027!L$2:L$401,0)),"")</f>
        <v/>
      </c>
      <c r="O26" s="17" t="str">
        <f>IFERROR(INDEX(DATA2027!C$2:C$401,MATCH(9,DATA2027!L$2:L$401,0)),"")</f>
        <v/>
      </c>
      <c r="P26" s="17" t="str">
        <f>IFERROR(INDEX(DATA2027!D$2:D$401,MATCH(9,DATA2027!L$2:L$401,0)),"")</f>
        <v/>
      </c>
    </row>
    <row r="27" spans="2:16" ht="24.75" customHeight="1">
      <c r="B27" s="18" t="str">
        <f>IFERROR(INDEX(DATA2027!B$2:B$401,MATCH(10,DATA2027!I$2:I$401,0)),"")</f>
        <v/>
      </c>
      <c r="C27" s="19" t="str">
        <f>IFERROR(INDEX(DATA2027!C$2:C$401,MATCH(10,DATA2027!I$2:I$401,0)),"")</f>
        <v/>
      </c>
      <c r="D27" s="19" t="str">
        <f>IFERROR(INDEX(DATA2027!D$2:D$401,MATCH(10,DATA2027!I$2:I$401,0)),"")</f>
        <v/>
      </c>
      <c r="F27" s="18" t="str">
        <f>IFERROR(INDEX(DATA2027!B$2:B$401,MATCH(10,DATA2027!J$2:J$401,0)),"")</f>
        <v/>
      </c>
      <c r="G27" s="19" t="str">
        <f>IFERROR(INDEX(DATA2027!C$2:C$401,MATCH(10,DATA2027!J$2:J$401,0)),"")</f>
        <v/>
      </c>
      <c r="H27" s="19" t="str">
        <f>IFERROR(INDEX(DATA2027!D$2:D$401,MATCH(10,DATA2027!J$2:J$401,0)),"")</f>
        <v/>
      </c>
      <c r="J27" s="18" t="str">
        <f>IFERROR(INDEX(DATA2027!B$2:B$401,MATCH(10,DATA2027!K$2:K$401,0)),"")</f>
        <v/>
      </c>
      <c r="K27" s="19" t="str">
        <f>IFERROR(INDEX(DATA2027!C$2:C$401,MATCH(10,DATA2027!K$2:K$401,0)),"")</f>
        <v/>
      </c>
      <c r="L27" s="19" t="str">
        <f>IFERROR(INDEX(DATA2027!D$2:D$401,MATCH(10,DATA2027!K$2:K$401,0)),"")</f>
        <v/>
      </c>
      <c r="N27" s="18" t="str">
        <f>IFERROR(INDEX(DATA2027!B$2:B$401,MATCH(10,DATA2027!L$2:L$401,0)),"")</f>
        <v/>
      </c>
      <c r="O27" s="19" t="str">
        <f>IFERROR(INDEX(DATA2027!C$2:C$401,MATCH(10,DATA2027!L$2:L$401,0)),"")</f>
        <v/>
      </c>
      <c r="P27" s="19" t="str">
        <f>IFERROR(INDEX(DATA2027!D$2:D$401,MATCH(10,DATA2027!L$2:L$401,0)),"")</f>
        <v/>
      </c>
    </row>
    <row r="28" spans="2:16" ht="24.75" customHeight="1">
      <c r="B28" s="16" t="str">
        <f>IFERROR(INDEX(DATA2027!B$2:B$401,MATCH(11,DATA2027!I$2:I$401,0)),"")</f>
        <v/>
      </c>
      <c r="C28" s="17" t="str">
        <f>IFERROR(INDEX(DATA2027!C$2:C$401,MATCH(11,DATA2027!I$2:I$401,0)),"")</f>
        <v/>
      </c>
      <c r="D28" s="17" t="str">
        <f>IFERROR(INDEX(DATA2027!D$2:D$401,MATCH(11,DATA2027!I$2:I$401,0)),"")</f>
        <v/>
      </c>
      <c r="F28" s="16" t="str">
        <f>IFERROR(INDEX(DATA2027!B$2:B$401,MATCH(11,DATA2027!J$2:J$401,0)),"")</f>
        <v/>
      </c>
      <c r="G28" s="17" t="str">
        <f>IFERROR(INDEX(DATA2027!C$2:C$401,MATCH(11,DATA2027!J$2:J$401,0)),"")</f>
        <v/>
      </c>
      <c r="H28" s="17" t="str">
        <f>IFERROR(INDEX(DATA2027!D$2:D$401,MATCH(11,DATA2027!J$2:J$401,0)),"")</f>
        <v/>
      </c>
      <c r="J28" s="16" t="str">
        <f>IFERROR(INDEX(DATA2027!B$2:B$401,MATCH(11,DATA2027!K$2:K$401,0)),"")</f>
        <v/>
      </c>
      <c r="K28" s="17" t="str">
        <f>IFERROR(INDEX(DATA2027!C$2:C$401,MATCH(11,DATA2027!K$2:K$401,0)),"")</f>
        <v/>
      </c>
      <c r="L28" s="17" t="str">
        <f>IFERROR(INDEX(DATA2027!D$2:D$401,MATCH(11,DATA2027!K$2:K$401,0)),"")</f>
        <v/>
      </c>
      <c r="N28" s="16" t="str">
        <f>IFERROR(INDEX(DATA2027!B$2:B$401,MATCH(11,DATA2027!L$2:L$401,0)),"")</f>
        <v/>
      </c>
      <c r="O28" s="17" t="str">
        <f>IFERROR(INDEX(DATA2027!C$2:C$401,MATCH(11,DATA2027!L$2:L$401,0)),"")</f>
        <v/>
      </c>
      <c r="P28" s="17" t="str">
        <f>IFERROR(INDEX(DATA2027!D$2:D$401,MATCH(11,DATA2027!L$2:L$401,0)),"")</f>
        <v/>
      </c>
    </row>
    <row r="29" spans="2:16" ht="24.75" customHeight="1">
      <c r="B29" s="18" t="str">
        <f>IFERROR(INDEX(DATA2027!B$2:B$401,MATCH(12,DATA2027!I$2:I$401,0)),"")</f>
        <v/>
      </c>
      <c r="C29" s="19" t="str">
        <f>IFERROR(INDEX(DATA2027!C$2:C$401,MATCH(12,DATA2027!I$2:I$401,0)),"")</f>
        <v/>
      </c>
      <c r="D29" s="19" t="str">
        <f>IFERROR(INDEX(DATA2027!D$2:D$401,MATCH(12,DATA2027!I$2:I$401,0)),"")</f>
        <v/>
      </c>
      <c r="F29" s="18" t="str">
        <f>IFERROR(INDEX(DATA2027!B$2:B$401,MATCH(12,DATA2027!J$2:J$401,0)),"")</f>
        <v/>
      </c>
      <c r="G29" s="19" t="str">
        <f>IFERROR(INDEX(DATA2027!C$2:C$401,MATCH(12,DATA2027!J$2:J$401,0)),"")</f>
        <v/>
      </c>
      <c r="H29" s="19" t="str">
        <f>IFERROR(INDEX(DATA2027!D$2:D$401,MATCH(12,DATA2027!J$2:J$401,0)),"")</f>
        <v/>
      </c>
      <c r="J29" s="18" t="str">
        <f>IFERROR(INDEX(DATA2027!B$2:B$401,MATCH(12,DATA2027!K$2:K$401,0)),"")</f>
        <v/>
      </c>
      <c r="K29" s="19" t="str">
        <f>IFERROR(INDEX(DATA2027!C$2:C$401,MATCH(12,DATA2027!K$2:K$401,0)),"")</f>
        <v/>
      </c>
      <c r="L29" s="19" t="str">
        <f>IFERROR(INDEX(DATA2027!D$2:D$401,MATCH(12,DATA2027!K$2:K$401,0)),"")</f>
        <v/>
      </c>
      <c r="N29" s="18" t="str">
        <f>IFERROR(INDEX(DATA2027!B$2:B$401,MATCH(12,DATA2027!L$2:L$401,0)),"")</f>
        <v/>
      </c>
      <c r="O29" s="19" t="str">
        <f>IFERROR(INDEX(DATA2027!C$2:C$401,MATCH(12,DATA2027!L$2:L$401,0)),"")</f>
        <v/>
      </c>
      <c r="P29" s="19" t="str">
        <f>IFERROR(INDEX(DATA2027!D$2:D$401,MATCH(12,DATA2027!L$2:L$401,0)),"")</f>
        <v/>
      </c>
    </row>
    <row r="30" spans="2:16" ht="24.75" customHeight="1">
      <c r="B30" s="16" t="str">
        <f>IFERROR(INDEX(DATA2027!B$2:B$401,MATCH(13,DATA2027!I$2:I$401,0)),"")</f>
        <v/>
      </c>
      <c r="C30" s="17" t="str">
        <f>IFERROR(INDEX(DATA2027!C$2:C$401,MATCH(13,DATA2027!I$2:I$401,0)),"")</f>
        <v/>
      </c>
      <c r="D30" s="17" t="str">
        <f>IFERROR(INDEX(DATA2027!D$2:D$401,MATCH(13,DATA2027!I$2:I$401,0)),"")</f>
        <v/>
      </c>
      <c r="F30" s="16" t="str">
        <f>IFERROR(INDEX(DATA2027!B$2:B$401,MATCH(13,DATA2027!J$2:J$401,0)),"")</f>
        <v/>
      </c>
      <c r="G30" s="17" t="str">
        <f>IFERROR(INDEX(DATA2027!C$2:C$401,MATCH(13,DATA2027!J$2:J$401,0)),"")</f>
        <v/>
      </c>
      <c r="H30" s="17" t="str">
        <f>IFERROR(INDEX(DATA2027!D$2:D$401,MATCH(13,DATA2027!J$2:J$401,0)),"")</f>
        <v/>
      </c>
      <c r="J30" s="16" t="str">
        <f>IFERROR(INDEX(DATA2027!B$2:B$401,MATCH(13,DATA2027!K$2:K$401,0)),"")</f>
        <v/>
      </c>
      <c r="K30" s="17" t="str">
        <f>IFERROR(INDEX(DATA2027!C$2:C$401,MATCH(13,DATA2027!K$2:K$401,0)),"")</f>
        <v/>
      </c>
      <c r="L30" s="17" t="str">
        <f>IFERROR(INDEX(DATA2027!D$2:D$401,MATCH(13,DATA2027!K$2:K$401,0)),"")</f>
        <v/>
      </c>
      <c r="N30" s="16" t="str">
        <f>IFERROR(INDEX(DATA2027!B$2:B$401,MATCH(13,DATA2027!L$2:L$401,0)),"")</f>
        <v/>
      </c>
      <c r="O30" s="17" t="str">
        <f>IFERROR(INDEX(DATA2027!C$2:C$401,MATCH(13,DATA2027!L$2:L$401,0)),"")</f>
        <v/>
      </c>
      <c r="P30" s="17" t="str">
        <f>IFERROR(INDEX(DATA2027!D$2:D$401,MATCH(13,DATA2027!L$2:L$401,0)),"")</f>
        <v/>
      </c>
    </row>
    <row r="31" spans="2:16" ht="24.75" customHeight="1">
      <c r="B31" s="18" t="str">
        <f>IFERROR(INDEX(DATA2027!B$2:B$401,MATCH(14,DATA2027!I$2:I$401,0)),"")</f>
        <v/>
      </c>
      <c r="C31" s="19" t="str">
        <f>IFERROR(INDEX(DATA2027!C$2:C$401,MATCH(14,DATA2027!I$2:I$401,0)),"")</f>
        <v/>
      </c>
      <c r="D31" s="19" t="str">
        <f>IFERROR(INDEX(DATA2027!D$2:D$401,MATCH(14,DATA2027!I$2:I$401,0)),"")</f>
        <v/>
      </c>
      <c r="F31" s="18" t="str">
        <f>IFERROR(INDEX(DATA2027!B$2:B$401,MATCH(14,DATA2027!J$2:J$401,0)),"")</f>
        <v/>
      </c>
      <c r="G31" s="19" t="str">
        <f>IFERROR(INDEX(DATA2027!C$2:C$401,MATCH(14,DATA2027!J$2:J$401,0)),"")</f>
        <v/>
      </c>
      <c r="H31" s="19" t="str">
        <f>IFERROR(INDEX(DATA2027!D$2:D$401,MATCH(14,DATA2027!J$2:J$401,0)),"")</f>
        <v/>
      </c>
      <c r="J31" s="18" t="str">
        <f>IFERROR(INDEX(DATA2027!B$2:B$401,MATCH(14,DATA2027!K$2:K$401,0)),"")</f>
        <v/>
      </c>
      <c r="K31" s="19" t="str">
        <f>IFERROR(INDEX(DATA2027!C$2:C$401,MATCH(14,DATA2027!K$2:K$401,0)),"")</f>
        <v/>
      </c>
      <c r="L31" s="19" t="str">
        <f>IFERROR(INDEX(DATA2027!D$2:D$401,MATCH(14,DATA2027!K$2:K$401,0)),"")</f>
        <v/>
      </c>
      <c r="N31" s="18" t="str">
        <f>IFERROR(INDEX(DATA2027!B$2:B$401,MATCH(14,DATA2027!L$2:L$401,0)),"")</f>
        <v/>
      </c>
      <c r="O31" s="19" t="str">
        <f>IFERROR(INDEX(DATA2027!C$2:C$401,MATCH(14,DATA2027!L$2:L$401,0)),"")</f>
        <v/>
      </c>
      <c r="P31" s="19" t="str">
        <f>IFERROR(INDEX(DATA2027!D$2:D$401,MATCH(14,DATA2027!L$2:L$401,0)),"")</f>
        <v/>
      </c>
    </row>
    <row r="32" spans="2:16" ht="24.75" customHeight="1">
      <c r="B32" s="16" t="str">
        <f>IFERROR(INDEX(DATA2027!B$2:B$401,MATCH(15,DATA2027!I$2:I$401,0)),"")</f>
        <v/>
      </c>
      <c r="C32" s="17" t="str">
        <f>IFERROR(INDEX(DATA2027!C$2:C$401,MATCH(15,DATA2027!I$2:I$401,0)),"")</f>
        <v/>
      </c>
      <c r="D32" s="17" t="str">
        <f>IFERROR(INDEX(DATA2027!D$2:D$401,MATCH(15,DATA2027!I$2:I$401,0)),"")</f>
        <v/>
      </c>
      <c r="F32" s="16" t="str">
        <f>IFERROR(INDEX(DATA2027!B$2:B$401,MATCH(15,DATA2027!J$2:J$401,0)),"")</f>
        <v/>
      </c>
      <c r="G32" s="17" t="str">
        <f>IFERROR(INDEX(DATA2027!C$2:C$401,MATCH(15,DATA2027!J$2:J$401,0)),"")</f>
        <v/>
      </c>
      <c r="H32" s="17" t="str">
        <f>IFERROR(INDEX(DATA2027!D$2:D$401,MATCH(15,DATA2027!J$2:J$401,0)),"")</f>
        <v/>
      </c>
      <c r="J32" s="16" t="str">
        <f>IFERROR(INDEX(DATA2027!B$2:B$401,MATCH(15,DATA2027!K$2:K$401,0)),"")</f>
        <v/>
      </c>
      <c r="K32" s="17" t="str">
        <f>IFERROR(INDEX(DATA2027!C$2:C$401,MATCH(15,DATA2027!K$2:K$401,0)),"")</f>
        <v/>
      </c>
      <c r="L32" s="17" t="str">
        <f>IFERROR(INDEX(DATA2027!D$2:D$401,MATCH(15,DATA2027!K$2:K$401,0)),"")</f>
        <v/>
      </c>
      <c r="N32" s="16" t="str">
        <f>IFERROR(INDEX(DATA2027!B$2:B$401,MATCH(15,DATA2027!L$2:L$401,0)),"")</f>
        <v/>
      </c>
      <c r="O32" s="17" t="str">
        <f>IFERROR(INDEX(DATA2027!C$2:C$401,MATCH(15,DATA2027!L$2:L$401,0)),"")</f>
        <v/>
      </c>
      <c r="P32" s="17" t="str">
        <f>IFERROR(INDEX(DATA2027!D$2:D$401,MATCH(15,DATA2027!L$2:L$401,0)),"")</f>
        <v/>
      </c>
    </row>
    <row r="33" spans="2:16" ht="24.75" customHeight="1">
      <c r="B33" s="18" t="str">
        <f>IFERROR(INDEX(DATA2027!B$2:B$401,MATCH(16,DATA2027!I$2:I$401,0)),"")</f>
        <v/>
      </c>
      <c r="C33" s="19" t="str">
        <f>IFERROR(INDEX(DATA2027!C$2:C$401,MATCH(16,DATA2027!I$2:I$401,0)),"")</f>
        <v/>
      </c>
      <c r="D33" s="19" t="str">
        <f>IFERROR(INDEX(DATA2027!D$2:D$401,MATCH(16,DATA2027!I$2:I$401,0)),"")</f>
        <v/>
      </c>
      <c r="F33" s="18" t="str">
        <f>IFERROR(INDEX(DATA2027!B$2:B$401,MATCH(16,DATA2027!J$2:J$401,0)),"")</f>
        <v/>
      </c>
      <c r="G33" s="19" t="str">
        <f>IFERROR(INDEX(DATA2027!C$2:C$401,MATCH(16,DATA2027!J$2:J$401,0)),"")</f>
        <v/>
      </c>
      <c r="H33" s="19" t="str">
        <f>IFERROR(INDEX(DATA2027!D$2:D$401,MATCH(16,DATA2027!J$2:J$401,0)),"")</f>
        <v/>
      </c>
      <c r="J33" s="18" t="str">
        <f>IFERROR(INDEX(DATA2027!B$2:B$401,MATCH(16,DATA2027!K$2:K$401,0)),"")</f>
        <v/>
      </c>
      <c r="K33" s="19" t="str">
        <f>IFERROR(INDEX(DATA2027!C$2:C$401,MATCH(16,DATA2027!K$2:K$401,0)),"")</f>
        <v/>
      </c>
      <c r="L33" s="19" t="str">
        <f>IFERROR(INDEX(DATA2027!D$2:D$401,MATCH(16,DATA2027!K$2:K$401,0)),"")</f>
        <v/>
      </c>
      <c r="N33" s="18" t="str">
        <f>IFERROR(INDEX(DATA2027!B$2:B$401,MATCH(16,DATA2027!L$2:L$401,0)),"")</f>
        <v/>
      </c>
      <c r="O33" s="19" t="str">
        <f>IFERROR(INDEX(DATA2027!C$2:C$401,MATCH(16,DATA2027!L$2:L$401,0)),"")</f>
        <v/>
      </c>
      <c r="P33" s="19" t="str">
        <f>IFERROR(INDEX(DATA2027!D$2:D$401,MATCH(16,DATA2027!L$2:L$401,0)),"")</f>
        <v/>
      </c>
    </row>
    <row r="34" spans="2:16" ht="24.75" customHeight="1">
      <c r="B34" s="16" t="str">
        <f>IFERROR(INDEX(DATA2027!B$2:B$401,MATCH(17,DATA2027!I$2:I$401,0)),"")</f>
        <v/>
      </c>
      <c r="C34" s="17" t="str">
        <f>IFERROR(INDEX(DATA2027!C$2:C$401,MATCH(17,DATA2027!I$2:I$401,0)),"")</f>
        <v/>
      </c>
      <c r="D34" s="17" t="str">
        <f>IFERROR(INDEX(DATA2027!D$2:D$401,MATCH(17,DATA2027!I$2:I$401,0)),"")</f>
        <v/>
      </c>
      <c r="F34" s="16" t="str">
        <f>IFERROR(INDEX(DATA2027!B$2:B$401,MATCH(17,DATA2027!J$2:J$401,0)),"")</f>
        <v/>
      </c>
      <c r="G34" s="17" t="str">
        <f>IFERROR(INDEX(DATA2027!C$2:C$401,MATCH(17,DATA2027!J$2:J$401,0)),"")</f>
        <v/>
      </c>
      <c r="H34" s="17" t="str">
        <f>IFERROR(INDEX(DATA2027!D$2:D$401,MATCH(17,DATA2027!J$2:J$401,0)),"")</f>
        <v/>
      </c>
      <c r="J34" s="16" t="str">
        <f>IFERROR(INDEX(DATA2027!B$2:B$401,MATCH(17,DATA2027!K$2:K$401,0)),"")</f>
        <v/>
      </c>
      <c r="K34" s="17" t="str">
        <f>IFERROR(INDEX(DATA2027!C$2:C$401,MATCH(17,DATA2027!K$2:K$401,0)),"")</f>
        <v/>
      </c>
      <c r="L34" s="17" t="str">
        <f>IFERROR(INDEX(DATA2027!D$2:D$401,MATCH(17,DATA2027!K$2:K$401,0)),"")</f>
        <v/>
      </c>
      <c r="N34" s="16" t="str">
        <f>IFERROR(INDEX(DATA2027!B$2:B$401,MATCH(17,DATA2027!L$2:L$401,0)),"")</f>
        <v/>
      </c>
      <c r="O34" s="17" t="str">
        <f>IFERROR(INDEX(DATA2027!C$2:C$401,MATCH(17,DATA2027!L$2:L$401,0)),"")</f>
        <v/>
      </c>
      <c r="P34" s="17" t="str">
        <f>IFERROR(INDEX(DATA2027!D$2:D$401,MATCH(17,DATA2027!L$2:L$401,0)),"")</f>
        <v/>
      </c>
    </row>
    <row r="35" spans="2:16" ht="24.75" customHeight="1">
      <c r="B35" s="18" t="str">
        <f>IFERROR(INDEX(DATA2027!B$2:B$401,MATCH(18,DATA2027!I$2:I$401,0)),"")</f>
        <v/>
      </c>
      <c r="C35" s="19" t="str">
        <f>IFERROR(INDEX(DATA2027!C$2:C$401,MATCH(18,DATA2027!I$2:I$401,0)),"")</f>
        <v/>
      </c>
      <c r="D35" s="19" t="str">
        <f>IFERROR(INDEX(DATA2027!D$2:D$401,MATCH(18,DATA2027!I$2:I$401,0)),"")</f>
        <v/>
      </c>
      <c r="F35" s="18" t="str">
        <f>IFERROR(INDEX(DATA2027!B$2:B$401,MATCH(18,DATA2027!J$2:J$401,0)),"")</f>
        <v/>
      </c>
      <c r="G35" s="19" t="str">
        <f>IFERROR(INDEX(DATA2027!C$2:C$401,MATCH(18,DATA2027!J$2:J$401,0)),"")</f>
        <v/>
      </c>
      <c r="H35" s="19" t="str">
        <f>IFERROR(INDEX(DATA2027!D$2:D$401,MATCH(18,DATA2027!J$2:J$401,0)),"")</f>
        <v/>
      </c>
      <c r="J35" s="18" t="str">
        <f>IFERROR(INDEX(DATA2027!B$2:B$401,MATCH(18,DATA2027!K$2:K$401,0)),"")</f>
        <v/>
      </c>
      <c r="K35" s="19" t="str">
        <f>IFERROR(INDEX(DATA2027!C$2:C$401,MATCH(18,DATA2027!K$2:K$401,0)),"")</f>
        <v/>
      </c>
      <c r="L35" s="19" t="str">
        <f>IFERROR(INDEX(DATA2027!D$2:D$401,MATCH(18,DATA2027!K$2:K$401,0)),"")</f>
        <v/>
      </c>
      <c r="N35" s="18" t="str">
        <f>IFERROR(INDEX(DATA2027!B$2:B$401,MATCH(18,DATA2027!L$2:L$401,0)),"")</f>
        <v/>
      </c>
      <c r="O35" s="19" t="str">
        <f>IFERROR(INDEX(DATA2027!C$2:C$401,MATCH(18,DATA2027!L$2:L$401,0)),"")</f>
        <v/>
      </c>
      <c r="P35" s="19" t="str">
        <f>IFERROR(INDEX(DATA2027!D$2:D$401,MATCH(18,DATA2027!L$2:L$401,0)),"")</f>
        <v/>
      </c>
    </row>
    <row r="36" spans="2:16" ht="24.75" customHeight="1">
      <c r="B36" s="16" t="str">
        <f>IFERROR(INDEX(DATA2027!B$2:B$401,MATCH(19,DATA2027!I$2:I$401,0)),"")</f>
        <v/>
      </c>
      <c r="C36" s="17" t="str">
        <f>IFERROR(INDEX(DATA2027!C$2:C$401,MATCH(19,DATA2027!I$2:I$401,0)),"")</f>
        <v/>
      </c>
      <c r="D36" s="17" t="str">
        <f>IFERROR(INDEX(DATA2027!D$2:D$401,MATCH(19,DATA2027!I$2:I$401,0)),"")</f>
        <v/>
      </c>
      <c r="F36" s="16" t="str">
        <f>IFERROR(INDEX(DATA2027!B$2:B$401,MATCH(19,DATA2027!J$2:J$401,0)),"")</f>
        <v/>
      </c>
      <c r="G36" s="17" t="str">
        <f>IFERROR(INDEX(DATA2027!C$2:C$401,MATCH(19,DATA2027!J$2:J$401,0)),"")</f>
        <v/>
      </c>
      <c r="H36" s="17" t="str">
        <f>IFERROR(INDEX(DATA2027!D$2:D$401,MATCH(19,DATA2027!J$2:J$401,0)),"")</f>
        <v/>
      </c>
      <c r="J36" s="16" t="str">
        <f>IFERROR(INDEX(DATA2027!B$2:B$401,MATCH(19,DATA2027!K$2:K$401,0)),"")</f>
        <v/>
      </c>
      <c r="K36" s="17" t="str">
        <f>IFERROR(INDEX(DATA2027!C$2:C$401,MATCH(19,DATA2027!K$2:K$401,0)),"")</f>
        <v/>
      </c>
      <c r="L36" s="17" t="str">
        <f>IFERROR(INDEX(DATA2027!D$2:D$401,MATCH(19,DATA2027!K$2:K$401,0)),"")</f>
        <v/>
      </c>
      <c r="N36" s="16" t="str">
        <f>IFERROR(INDEX(DATA2027!B$2:B$401,MATCH(19,DATA2027!L$2:L$401,0)),"")</f>
        <v/>
      </c>
      <c r="O36" s="17" t="str">
        <f>IFERROR(INDEX(DATA2027!C$2:C$401,MATCH(19,DATA2027!L$2:L$401,0)),"")</f>
        <v/>
      </c>
      <c r="P36" s="17" t="str">
        <f>IFERROR(INDEX(DATA2027!D$2:D$401,MATCH(19,DATA2027!L$2:L$401,0)),"")</f>
        <v/>
      </c>
    </row>
    <row r="37" spans="2:16" ht="24.75" customHeight="1">
      <c r="B37" s="18" t="str">
        <f>IFERROR(INDEX(DATA2027!B$2:B$401,MATCH(20,DATA2027!I$2:I$401,0)),"")</f>
        <v/>
      </c>
      <c r="C37" s="19" t="str">
        <f>IFERROR(INDEX(DATA2027!C$2:C$401,MATCH(20,DATA2027!I$2:I$401,0)),"")</f>
        <v/>
      </c>
      <c r="D37" s="19" t="str">
        <f>IFERROR(INDEX(DATA2027!D$2:D$401,MATCH(20,DATA2027!I$2:I$401,0)),"")</f>
        <v/>
      </c>
      <c r="F37" s="18" t="str">
        <f>IFERROR(INDEX(DATA2027!B$2:B$401,MATCH(20,DATA2027!J$2:J$401,0)),"")</f>
        <v/>
      </c>
      <c r="G37" s="19" t="str">
        <f>IFERROR(INDEX(DATA2027!C$2:C$401,MATCH(20,DATA2027!J$2:J$401,0)),"")</f>
        <v/>
      </c>
      <c r="H37" s="19" t="str">
        <f>IFERROR(INDEX(DATA2027!D$2:D$401,MATCH(20,DATA2027!J$2:J$401,0)),"")</f>
        <v/>
      </c>
      <c r="J37" s="18" t="str">
        <f>IFERROR(INDEX(DATA2027!B$2:B$401,MATCH(20,DATA2027!K$2:K$401,0)),"")</f>
        <v/>
      </c>
      <c r="K37" s="19" t="str">
        <f>IFERROR(INDEX(DATA2027!C$2:C$401,MATCH(20,DATA2027!K$2:K$401,0)),"")</f>
        <v/>
      </c>
      <c r="L37" s="19" t="str">
        <f>IFERROR(INDEX(DATA2027!D$2:D$401,MATCH(20,DATA2027!K$2:K$401,0)),"")</f>
        <v/>
      </c>
      <c r="N37" s="18" t="str">
        <f>IFERROR(INDEX(DATA2027!B$2:B$401,MATCH(20,DATA2027!L$2:L$401,0)),"")</f>
        <v/>
      </c>
      <c r="O37" s="19" t="str">
        <f>IFERROR(INDEX(DATA2027!C$2:C$401,MATCH(20,DATA2027!L$2:L$401,0)),"")</f>
        <v/>
      </c>
      <c r="P37" s="19" t="str">
        <f>IFERROR(INDEX(DATA2027!D$2:D$401,MATCH(20,DATA2027!L$2:L$401,0)),"")</f>
        <v/>
      </c>
    </row>
    <row r="38" spans="2:16" ht="24.75" customHeight="1">
      <c r="B38" s="16" t="str">
        <f>IFERROR(INDEX(DATA2027!B$2:B$401,MATCH(21,DATA2027!I$2:I$401,0)),"")</f>
        <v/>
      </c>
      <c r="C38" s="17" t="str">
        <f>IFERROR(INDEX(DATA2027!C$2:C$401,MATCH(21,DATA2027!I$2:I$401,0)),"")</f>
        <v/>
      </c>
      <c r="D38" s="17" t="str">
        <f>IFERROR(INDEX(DATA2027!D$2:D$401,MATCH(21,DATA2027!I$2:I$401,0)),"")</f>
        <v/>
      </c>
      <c r="F38" s="16" t="str">
        <f>IFERROR(INDEX(DATA2027!B$2:B$401,MATCH(21,DATA2027!J$2:J$401,0)),"")</f>
        <v/>
      </c>
      <c r="G38" s="17" t="str">
        <f>IFERROR(INDEX(DATA2027!C$2:C$401,MATCH(21,DATA2027!J$2:J$401,0)),"")</f>
        <v/>
      </c>
      <c r="H38" s="17" t="str">
        <f>IFERROR(INDEX(DATA2027!D$2:D$401,MATCH(21,DATA2027!J$2:J$401,0)),"")</f>
        <v/>
      </c>
      <c r="J38" s="16" t="str">
        <f>IFERROR(INDEX(DATA2027!B$2:B$401,MATCH(21,DATA2027!K$2:K$401,0)),"")</f>
        <v/>
      </c>
      <c r="K38" s="17" t="str">
        <f>IFERROR(INDEX(DATA2027!C$2:C$401,MATCH(21,DATA2027!K$2:K$401,0)),"")</f>
        <v/>
      </c>
      <c r="L38" s="17" t="str">
        <f>IFERROR(INDEX(DATA2027!D$2:D$401,MATCH(21,DATA2027!K$2:K$401,0)),"")</f>
        <v/>
      </c>
      <c r="N38" s="16" t="str">
        <f>IFERROR(INDEX(DATA2027!B$2:B$401,MATCH(21,DATA2027!L$2:L$401,0)),"")</f>
        <v/>
      </c>
      <c r="O38" s="17" t="str">
        <f>IFERROR(INDEX(DATA2027!C$2:C$401,MATCH(21,DATA2027!L$2:L$401,0)),"")</f>
        <v/>
      </c>
      <c r="P38" s="17" t="str">
        <f>IFERROR(INDEX(DATA2027!D$2:D$401,MATCH(21,DATA2027!L$2:L$401,0)),"")</f>
        <v/>
      </c>
    </row>
    <row r="39" spans="2:16" ht="24.75" customHeight="1">
      <c r="B39" s="18" t="str">
        <f>IFERROR(INDEX(DATA2027!B$2:B$401,MATCH(22,DATA2027!I$2:I$401,0)),"")</f>
        <v/>
      </c>
      <c r="C39" s="19" t="str">
        <f>IFERROR(INDEX(DATA2027!C$2:C$401,MATCH(22,DATA2027!I$2:I$401,0)),"")</f>
        <v/>
      </c>
      <c r="D39" s="19" t="str">
        <f>IFERROR(INDEX(DATA2027!D$2:D$401,MATCH(22,DATA2027!I$2:I$401,0)),"")</f>
        <v/>
      </c>
      <c r="F39" s="18" t="str">
        <f>IFERROR(INDEX(DATA2027!B$2:B$401,MATCH(22,DATA2027!J$2:J$401,0)),"")</f>
        <v/>
      </c>
      <c r="G39" s="19" t="str">
        <f>IFERROR(INDEX(DATA2027!C$2:C$401,MATCH(22,DATA2027!J$2:J$401,0)),"")</f>
        <v/>
      </c>
      <c r="H39" s="19" t="str">
        <f>IFERROR(INDEX(DATA2027!D$2:D$401,MATCH(22,DATA2027!J$2:J$401,0)),"")</f>
        <v/>
      </c>
      <c r="J39" s="18" t="str">
        <f>IFERROR(INDEX(DATA2027!B$2:B$401,MATCH(22,DATA2027!K$2:K$401,0)),"")</f>
        <v/>
      </c>
      <c r="K39" s="19" t="str">
        <f>IFERROR(INDEX(DATA2027!C$2:C$401,MATCH(22,DATA2027!K$2:K$401,0)),"")</f>
        <v/>
      </c>
      <c r="L39" s="19" t="str">
        <f>IFERROR(INDEX(DATA2027!D$2:D$401,MATCH(22,DATA2027!K$2:K$401,0)),"")</f>
        <v/>
      </c>
      <c r="N39" s="18" t="str">
        <f>IFERROR(INDEX(DATA2027!B$2:B$401,MATCH(22,DATA2027!L$2:L$401,0)),"")</f>
        <v/>
      </c>
      <c r="O39" s="19" t="str">
        <f>IFERROR(INDEX(DATA2027!C$2:C$401,MATCH(22,DATA2027!L$2:L$401,0)),"")</f>
        <v/>
      </c>
      <c r="P39" s="19" t="str">
        <f>IFERROR(INDEX(DATA2027!D$2:D$401,MATCH(22,DATA2027!L$2:L$401,0)),"")</f>
        <v/>
      </c>
    </row>
    <row r="40" spans="2:16" ht="24.75" customHeight="1">
      <c r="B40" s="16" t="str">
        <f>IFERROR(INDEX(DATA2027!B$2:B$401,MATCH(23,DATA2027!I$2:I$401,0)),"")</f>
        <v/>
      </c>
      <c r="C40" s="17" t="str">
        <f>IFERROR(INDEX(DATA2027!C$2:C$401,MATCH(23,DATA2027!I$2:I$401,0)),"")</f>
        <v/>
      </c>
      <c r="D40" s="17" t="str">
        <f>IFERROR(INDEX(DATA2027!D$2:D$401,MATCH(23,DATA2027!I$2:I$401,0)),"")</f>
        <v/>
      </c>
      <c r="F40" s="16" t="str">
        <f>IFERROR(INDEX(DATA2027!B$2:B$401,MATCH(23,DATA2027!J$2:J$401,0)),"")</f>
        <v/>
      </c>
      <c r="G40" s="17" t="str">
        <f>IFERROR(INDEX(DATA2027!C$2:C$401,MATCH(23,DATA2027!J$2:J$401,0)),"")</f>
        <v/>
      </c>
      <c r="H40" s="17" t="str">
        <f>IFERROR(INDEX(DATA2027!D$2:D$401,MATCH(23,DATA2027!J$2:J$401,0)),"")</f>
        <v/>
      </c>
      <c r="J40" s="16" t="str">
        <f>IFERROR(INDEX(DATA2027!B$2:B$401,MATCH(23,DATA2027!K$2:K$401,0)),"")</f>
        <v/>
      </c>
      <c r="K40" s="17" t="str">
        <f>IFERROR(INDEX(DATA2027!C$2:C$401,MATCH(23,DATA2027!K$2:K$401,0)),"")</f>
        <v/>
      </c>
      <c r="L40" s="17" t="str">
        <f>IFERROR(INDEX(DATA2027!D$2:D$401,MATCH(23,DATA2027!K$2:K$401,0)),"")</f>
        <v/>
      </c>
      <c r="N40" s="16" t="str">
        <f>IFERROR(INDEX(DATA2027!B$2:B$401,MATCH(23,DATA2027!L$2:L$401,0)),"")</f>
        <v/>
      </c>
      <c r="O40" s="17" t="str">
        <f>IFERROR(INDEX(DATA2027!C$2:C$401,MATCH(23,DATA2027!L$2:L$401,0)),"")</f>
        <v/>
      </c>
      <c r="P40" s="17" t="str">
        <f>IFERROR(INDEX(DATA2027!D$2:D$401,MATCH(23,DATA2027!L$2:L$401,0)),"")</f>
        <v/>
      </c>
    </row>
    <row r="41" spans="2:16" ht="24.75" customHeight="1">
      <c r="B41" s="18" t="str">
        <f>IFERROR(INDEX(DATA2027!B$2:B$401,MATCH(24,DATA2027!I$2:I$401,0)),"")</f>
        <v/>
      </c>
      <c r="C41" s="19" t="str">
        <f>IFERROR(INDEX(DATA2027!C$2:C$401,MATCH(24,DATA2027!I$2:I$401,0)),"")</f>
        <v/>
      </c>
      <c r="D41" s="19" t="str">
        <f>IFERROR(INDEX(DATA2027!D$2:D$401,MATCH(24,DATA2027!I$2:I$401,0)),"")</f>
        <v/>
      </c>
      <c r="F41" s="18" t="str">
        <f>IFERROR(INDEX(DATA2027!B$2:B$401,MATCH(24,DATA2027!J$2:J$401,0)),"")</f>
        <v/>
      </c>
      <c r="G41" s="19" t="str">
        <f>IFERROR(INDEX(DATA2027!C$2:C$401,MATCH(24,DATA2027!J$2:J$401,0)),"")</f>
        <v/>
      </c>
      <c r="H41" s="19" t="str">
        <f>IFERROR(INDEX(DATA2027!D$2:D$401,MATCH(24,DATA2027!J$2:J$401,0)),"")</f>
        <v/>
      </c>
      <c r="J41" s="18" t="str">
        <f>IFERROR(INDEX(DATA2027!B$2:B$401,MATCH(24,DATA2027!K$2:K$401,0)),"")</f>
        <v/>
      </c>
      <c r="K41" s="19" t="str">
        <f>IFERROR(INDEX(DATA2027!C$2:C$401,MATCH(24,DATA2027!K$2:K$401,0)),"")</f>
        <v/>
      </c>
      <c r="L41" s="19" t="str">
        <f>IFERROR(INDEX(DATA2027!D$2:D$401,MATCH(24,DATA2027!K$2:K$401,0)),"")</f>
        <v/>
      </c>
      <c r="N41" s="18" t="str">
        <f>IFERROR(INDEX(DATA2027!B$2:B$401,MATCH(24,DATA2027!L$2:L$401,0)),"")</f>
        <v/>
      </c>
      <c r="O41" s="19" t="str">
        <f>IFERROR(INDEX(DATA2027!C$2:C$401,MATCH(24,DATA2027!L$2:L$401,0)),"")</f>
        <v/>
      </c>
      <c r="P41" s="19" t="str">
        <f>IFERROR(INDEX(DATA2027!D$2:D$401,MATCH(24,DATA2027!L$2:L$401,0)),"")</f>
        <v/>
      </c>
    </row>
    <row r="42" spans="2:16" ht="24.75" customHeight="1">
      <c r="B42" s="16" t="str">
        <f>IFERROR(INDEX(DATA2027!B$2:B$401,MATCH(25,DATA2027!I$2:I$401,0)),"")</f>
        <v/>
      </c>
      <c r="C42" s="17" t="str">
        <f>IFERROR(INDEX(DATA2027!C$2:C$401,MATCH(25,DATA2027!I$2:I$401,0)),"")</f>
        <v/>
      </c>
      <c r="D42" s="17" t="str">
        <f>IFERROR(INDEX(DATA2027!D$2:D$401,MATCH(25,DATA2027!I$2:I$401,0)),"")</f>
        <v/>
      </c>
      <c r="F42" s="16" t="str">
        <f>IFERROR(INDEX(DATA2027!B$2:B$401,MATCH(25,DATA2027!J$2:J$401,0)),"")</f>
        <v/>
      </c>
      <c r="G42" s="17" t="str">
        <f>IFERROR(INDEX(DATA2027!C$2:C$401,MATCH(25,DATA2027!J$2:J$401,0)),"")</f>
        <v/>
      </c>
      <c r="H42" s="17" t="str">
        <f>IFERROR(INDEX(DATA2027!D$2:D$401,MATCH(25,DATA2027!J$2:J$401,0)),"")</f>
        <v/>
      </c>
      <c r="J42" s="16" t="str">
        <f>IFERROR(INDEX(DATA2027!B$2:B$401,MATCH(25,DATA2027!K$2:K$401,0)),"")</f>
        <v/>
      </c>
      <c r="K42" s="17" t="str">
        <f>IFERROR(INDEX(DATA2027!C$2:C$401,MATCH(25,DATA2027!K$2:K$401,0)),"")</f>
        <v/>
      </c>
      <c r="L42" s="17" t="str">
        <f>IFERROR(INDEX(DATA2027!D$2:D$401,MATCH(25,DATA2027!K$2:K$401,0)),"")</f>
        <v/>
      </c>
      <c r="N42" s="16" t="str">
        <f>IFERROR(INDEX(DATA2027!B$2:B$401,MATCH(25,DATA2027!L$2:L$401,0)),"")</f>
        <v/>
      </c>
      <c r="O42" s="17" t="str">
        <f>IFERROR(INDEX(DATA2027!C$2:C$401,MATCH(25,DATA2027!L$2:L$401,0)),"")</f>
        <v/>
      </c>
      <c r="P42" s="17" t="str">
        <f>IFERROR(INDEX(DATA2027!D$2:D$401,MATCH(25,DATA2027!L$2:L$401,0)),"")</f>
        <v/>
      </c>
    </row>
    <row r="43" spans="2:16" ht="24.75" customHeight="1">
      <c r="B43" s="18" t="str">
        <f>IFERROR(INDEX(DATA2027!B$2:B$401,MATCH(26,DATA2027!I$2:I$401,0)),"")</f>
        <v/>
      </c>
      <c r="C43" s="19" t="str">
        <f>IFERROR(INDEX(DATA2027!C$2:C$401,MATCH(26,DATA2027!I$2:I$401,0)),"")</f>
        <v/>
      </c>
      <c r="D43" s="19" t="str">
        <f>IFERROR(INDEX(DATA2027!D$2:D$401,MATCH(26,DATA2027!I$2:I$401,0)),"")</f>
        <v/>
      </c>
      <c r="F43" s="18" t="str">
        <f>IFERROR(INDEX(DATA2027!B$2:B$401,MATCH(26,DATA2027!J$2:J$401,0)),"")</f>
        <v/>
      </c>
      <c r="G43" s="19" t="str">
        <f>IFERROR(INDEX(DATA2027!C$2:C$401,MATCH(26,DATA2027!J$2:J$401,0)),"")</f>
        <v/>
      </c>
      <c r="H43" s="19" t="str">
        <f>IFERROR(INDEX(DATA2027!D$2:D$401,MATCH(26,DATA2027!J$2:J$401,0)),"")</f>
        <v/>
      </c>
      <c r="J43" s="18" t="str">
        <f>IFERROR(INDEX(DATA2027!B$2:B$401,MATCH(26,DATA2027!K$2:K$401,0)),"")</f>
        <v/>
      </c>
      <c r="K43" s="19" t="str">
        <f>IFERROR(INDEX(DATA2027!C$2:C$401,MATCH(26,DATA2027!K$2:K$401,0)),"")</f>
        <v/>
      </c>
      <c r="L43" s="19" t="str">
        <f>IFERROR(INDEX(DATA2027!D$2:D$401,MATCH(26,DATA2027!K$2:K$401,0)),"")</f>
        <v/>
      </c>
      <c r="N43" s="18" t="str">
        <f>IFERROR(INDEX(DATA2027!B$2:B$401,MATCH(26,DATA2027!L$2:L$401,0)),"")</f>
        <v/>
      </c>
      <c r="O43" s="19" t="str">
        <f>IFERROR(INDEX(DATA2027!C$2:C$401,MATCH(26,DATA2027!L$2:L$401,0)),"")</f>
        <v/>
      </c>
      <c r="P43" s="19" t="str">
        <f>IFERROR(INDEX(DATA2027!D$2:D$401,MATCH(26,DATA2027!L$2:L$401,0)),"")</f>
        <v/>
      </c>
    </row>
    <row r="44" spans="2:16" ht="24.75" customHeight="1">
      <c r="B44" s="16" t="str">
        <f>IFERROR(INDEX(DATA2027!B$2:B$401,MATCH(27,DATA2027!I$2:I$401,0)),"")</f>
        <v/>
      </c>
      <c r="C44" s="17" t="str">
        <f>IFERROR(INDEX(DATA2027!C$2:C$401,MATCH(27,DATA2027!I$2:I$401,0)),"")</f>
        <v/>
      </c>
      <c r="D44" s="17" t="str">
        <f>IFERROR(INDEX(DATA2027!D$2:D$401,MATCH(27,DATA2027!I$2:I$401,0)),"")</f>
        <v/>
      </c>
      <c r="F44" s="16" t="str">
        <f>IFERROR(INDEX(DATA2027!B$2:B$401,MATCH(27,DATA2027!J$2:J$401,0)),"")</f>
        <v/>
      </c>
      <c r="G44" s="17" t="str">
        <f>IFERROR(INDEX(DATA2027!C$2:C$401,MATCH(27,DATA2027!J$2:J$401,0)),"")</f>
        <v/>
      </c>
      <c r="H44" s="17" t="str">
        <f>IFERROR(INDEX(DATA2027!D$2:D$401,MATCH(27,DATA2027!J$2:J$401,0)),"")</f>
        <v/>
      </c>
      <c r="J44" s="16" t="str">
        <f>IFERROR(INDEX(DATA2027!B$2:B$401,MATCH(27,DATA2027!K$2:K$401,0)),"")</f>
        <v/>
      </c>
      <c r="K44" s="17" t="str">
        <f>IFERROR(INDEX(DATA2027!C$2:C$401,MATCH(27,DATA2027!K$2:K$401,0)),"")</f>
        <v/>
      </c>
      <c r="L44" s="17" t="str">
        <f>IFERROR(INDEX(DATA2027!D$2:D$401,MATCH(27,DATA2027!K$2:K$401,0)),"")</f>
        <v/>
      </c>
      <c r="N44" s="16" t="str">
        <f>IFERROR(INDEX(DATA2027!B$2:B$401,MATCH(27,DATA2027!L$2:L$401,0)),"")</f>
        <v/>
      </c>
      <c r="O44" s="17" t="str">
        <f>IFERROR(INDEX(DATA2027!C$2:C$401,MATCH(27,DATA2027!L$2:L$401,0)),"")</f>
        <v/>
      </c>
      <c r="P44" s="17" t="str">
        <f>IFERROR(INDEX(DATA2027!D$2:D$401,MATCH(27,DATA2027!L$2:L$401,0)),"")</f>
        <v/>
      </c>
    </row>
    <row r="45" spans="2:16" ht="24.75" customHeight="1">
      <c r="B45" s="18" t="str">
        <f>IFERROR(INDEX(DATA2027!B$2:B$401,MATCH(28,DATA2027!I$2:I$401,0)),"")</f>
        <v/>
      </c>
      <c r="C45" s="19" t="str">
        <f>IFERROR(INDEX(DATA2027!C$2:C$401,MATCH(28,DATA2027!I$2:I$401,0)),"")</f>
        <v/>
      </c>
      <c r="D45" s="19" t="str">
        <f>IFERROR(INDEX(DATA2027!D$2:D$401,MATCH(28,DATA2027!I$2:I$401,0)),"")</f>
        <v/>
      </c>
      <c r="F45" s="18" t="str">
        <f>IFERROR(INDEX(DATA2027!B$2:B$401,MATCH(28,DATA2027!J$2:J$401,0)),"")</f>
        <v/>
      </c>
      <c r="G45" s="19" t="str">
        <f>IFERROR(INDEX(DATA2027!C$2:C$401,MATCH(28,DATA2027!J$2:J$401,0)),"")</f>
        <v/>
      </c>
      <c r="H45" s="19" t="str">
        <f>IFERROR(INDEX(DATA2027!D$2:D$401,MATCH(28,DATA2027!J$2:J$401,0)),"")</f>
        <v/>
      </c>
      <c r="J45" s="18" t="str">
        <f>IFERROR(INDEX(DATA2027!B$2:B$401,MATCH(28,DATA2027!K$2:K$401,0)),"")</f>
        <v/>
      </c>
      <c r="K45" s="19" t="str">
        <f>IFERROR(INDEX(DATA2027!C$2:C$401,MATCH(28,DATA2027!K$2:K$401,0)),"")</f>
        <v/>
      </c>
      <c r="L45" s="19" t="str">
        <f>IFERROR(INDEX(DATA2027!D$2:D$401,MATCH(28,DATA2027!K$2:K$401,0)),"")</f>
        <v/>
      </c>
      <c r="N45" s="18" t="str">
        <f>IFERROR(INDEX(DATA2027!B$2:B$401,MATCH(28,DATA2027!L$2:L$401,0)),"")</f>
        <v/>
      </c>
      <c r="O45" s="19" t="str">
        <f>IFERROR(INDEX(DATA2027!C$2:C$401,MATCH(28,DATA2027!L$2:L$401,0)),"")</f>
        <v/>
      </c>
      <c r="P45" s="19" t="str">
        <f>IFERROR(INDEX(DATA2027!D$2:D$401,MATCH(28,DATA2027!L$2:L$401,0)),"")</f>
        <v/>
      </c>
    </row>
    <row r="46" spans="2:16" ht="24.75" customHeight="1">
      <c r="B46" s="16" t="str">
        <f>IFERROR(INDEX(DATA2027!B$2:B$401,MATCH(29,DATA2027!I$2:I$401,0)),"")</f>
        <v/>
      </c>
      <c r="C46" s="17" t="str">
        <f>IFERROR(INDEX(DATA2027!C$2:C$401,MATCH(29,DATA2027!I$2:I$401,0)),"")</f>
        <v/>
      </c>
      <c r="D46" s="17" t="str">
        <f>IFERROR(INDEX(DATA2027!D$2:D$401,MATCH(29,DATA2027!I$2:I$401,0)),"")</f>
        <v/>
      </c>
      <c r="F46" s="16" t="str">
        <f>IFERROR(INDEX(DATA2027!B$2:B$401,MATCH(29,DATA2027!J$2:J$401,0)),"")</f>
        <v/>
      </c>
      <c r="G46" s="17" t="str">
        <f>IFERROR(INDEX(DATA2027!C$2:C$401,MATCH(29,DATA2027!J$2:J$401,0)),"")</f>
        <v/>
      </c>
      <c r="H46" s="17" t="str">
        <f>IFERROR(INDEX(DATA2027!D$2:D$401,MATCH(29,DATA2027!J$2:J$401,0)),"")</f>
        <v/>
      </c>
      <c r="J46" s="16" t="str">
        <f>IFERROR(INDEX(DATA2027!B$2:B$401,MATCH(29,DATA2027!K$2:K$401,0)),"")</f>
        <v/>
      </c>
      <c r="K46" s="17" t="str">
        <f>IFERROR(INDEX(DATA2027!C$2:C$401,MATCH(29,DATA2027!K$2:K$401,0)),"")</f>
        <v/>
      </c>
      <c r="L46" s="17" t="str">
        <f>IFERROR(INDEX(DATA2027!D$2:D$401,MATCH(29,DATA2027!K$2:K$401,0)),"")</f>
        <v/>
      </c>
      <c r="N46" s="16" t="str">
        <f>IFERROR(INDEX(DATA2027!B$2:B$401,MATCH(29,DATA2027!L$2:L$401,0)),"")</f>
        <v/>
      </c>
      <c r="O46" s="17" t="str">
        <f>IFERROR(INDEX(DATA2027!C$2:C$401,MATCH(29,DATA2027!L$2:L$401,0)),"")</f>
        <v/>
      </c>
      <c r="P46" s="17" t="str">
        <f>IFERROR(INDEX(DATA2027!D$2:D$401,MATCH(29,DATA2027!L$2:L$401,0)),"")</f>
        <v/>
      </c>
    </row>
    <row r="47" spans="2:16" ht="24.75" customHeight="1">
      <c r="B47" s="18" t="str">
        <f>IFERROR(INDEX(DATA2027!B$2:B$401,MATCH(30,DATA2027!I$2:I$401,0)),"")</f>
        <v/>
      </c>
      <c r="C47" s="19" t="str">
        <f>IFERROR(INDEX(DATA2027!C$2:C$401,MATCH(30,DATA2027!I$2:I$401,0)),"")</f>
        <v/>
      </c>
      <c r="D47" s="19" t="str">
        <f>IFERROR(INDEX(DATA2027!D$2:D$401,MATCH(30,DATA2027!I$2:I$401,0)),"")</f>
        <v/>
      </c>
      <c r="F47" s="18" t="str">
        <f>IFERROR(INDEX(DATA2027!B$2:B$401,MATCH(30,DATA2027!J$2:J$401,0)),"")</f>
        <v/>
      </c>
      <c r="G47" s="19" t="str">
        <f>IFERROR(INDEX(DATA2027!C$2:C$401,MATCH(30,DATA2027!J$2:J$401,0)),"")</f>
        <v/>
      </c>
      <c r="H47" s="19" t="str">
        <f>IFERROR(INDEX(DATA2027!D$2:D$401,MATCH(30,DATA2027!J$2:J$401,0)),"")</f>
        <v/>
      </c>
      <c r="J47" s="18" t="str">
        <f>IFERROR(INDEX(DATA2027!B$2:B$401,MATCH(30,DATA2027!K$2:K$401,0)),"")</f>
        <v/>
      </c>
      <c r="K47" s="19" t="str">
        <f>IFERROR(INDEX(DATA2027!C$2:C$401,MATCH(30,DATA2027!K$2:K$401,0)),"")</f>
        <v/>
      </c>
      <c r="L47" s="19" t="str">
        <f>IFERROR(INDEX(DATA2027!D$2:D$401,MATCH(30,DATA2027!K$2:K$401,0)),"")</f>
        <v/>
      </c>
      <c r="N47" s="18" t="str">
        <f>IFERROR(INDEX(DATA2027!B$2:B$401,MATCH(30,DATA2027!L$2:L$401,0)),"")</f>
        <v/>
      </c>
      <c r="O47" s="19" t="str">
        <f>IFERROR(INDEX(DATA2027!C$2:C$401,MATCH(30,DATA2027!L$2:L$401,0)),"")</f>
        <v/>
      </c>
      <c r="P47" s="19" t="str">
        <f>IFERROR(INDEX(DATA2027!D$2:D$401,MATCH(30,DATA2027!L$2:L$401,0)),"")</f>
        <v/>
      </c>
    </row>
    <row r="48" spans="2:16" ht="24.75" customHeight="1">
      <c r="B48" s="16" t="str">
        <f>IFERROR(INDEX(DATA2027!B$2:B$401,MATCH(31,DATA2027!I$2:I$401,0)),"")</f>
        <v/>
      </c>
      <c r="C48" s="17" t="str">
        <f>IFERROR(INDEX(DATA2027!C$2:C$401,MATCH(31,DATA2027!I$2:I$401,0)),"")</f>
        <v/>
      </c>
      <c r="D48" s="17" t="str">
        <f>IFERROR(INDEX(DATA2027!D$2:D$401,MATCH(31,DATA2027!I$2:I$401,0)),"")</f>
        <v/>
      </c>
      <c r="F48" s="16" t="str">
        <f>IFERROR(INDEX(DATA2027!B$2:B$401,MATCH(31,DATA2027!J$2:J$401,0)),"")</f>
        <v/>
      </c>
      <c r="G48" s="17" t="str">
        <f>IFERROR(INDEX(DATA2027!C$2:C$401,MATCH(31,DATA2027!J$2:J$401,0)),"")</f>
        <v/>
      </c>
      <c r="H48" s="17" t="str">
        <f>IFERROR(INDEX(DATA2027!D$2:D$401,MATCH(31,DATA2027!J$2:J$401,0)),"")</f>
        <v/>
      </c>
      <c r="J48" s="16" t="str">
        <f>IFERROR(INDEX(DATA2027!B$2:B$401,MATCH(31,DATA2027!K$2:K$401,0)),"")</f>
        <v/>
      </c>
      <c r="K48" s="17" t="str">
        <f>IFERROR(INDEX(DATA2027!C$2:C$401,MATCH(31,DATA2027!K$2:K$401,0)),"")</f>
        <v/>
      </c>
      <c r="L48" s="17" t="str">
        <f>IFERROR(INDEX(DATA2027!D$2:D$401,MATCH(31,DATA2027!K$2:K$401,0)),"")</f>
        <v/>
      </c>
      <c r="N48" s="16" t="str">
        <f>IFERROR(INDEX(DATA2027!B$2:B$401,MATCH(31,DATA2027!L$2:L$401,0)),"")</f>
        <v/>
      </c>
      <c r="O48" s="17" t="str">
        <f>IFERROR(INDEX(DATA2027!C$2:C$401,MATCH(31,DATA2027!L$2:L$401,0)),"")</f>
        <v/>
      </c>
      <c r="P48" s="17" t="str">
        <f>IFERROR(INDEX(DATA2027!D$2:D$401,MATCH(31,DATA2027!L$2:L$401,0)),"")</f>
        <v/>
      </c>
    </row>
    <row r="49" spans="2:16" ht="24.75" customHeight="1">
      <c r="B49" s="18" t="str">
        <f>IFERROR(INDEX(DATA2027!B$2:B$401,MATCH(32,DATA2027!I$2:I$401,0)),"")</f>
        <v/>
      </c>
      <c r="C49" s="19" t="str">
        <f>IFERROR(INDEX(DATA2027!C$2:C$401,MATCH(32,DATA2027!I$2:I$401,0)),"")</f>
        <v/>
      </c>
      <c r="D49" s="19" t="str">
        <f>IFERROR(INDEX(DATA2027!D$2:D$401,MATCH(32,DATA2027!I$2:I$401,0)),"")</f>
        <v/>
      </c>
      <c r="F49" s="18" t="str">
        <f>IFERROR(INDEX(DATA2027!B$2:B$401,MATCH(32,DATA2027!J$2:J$401,0)),"")</f>
        <v/>
      </c>
      <c r="G49" s="19" t="str">
        <f>IFERROR(INDEX(DATA2027!C$2:C$401,MATCH(32,DATA2027!J$2:J$401,0)),"")</f>
        <v/>
      </c>
      <c r="H49" s="19" t="str">
        <f>IFERROR(INDEX(DATA2027!D$2:D$401,MATCH(32,DATA2027!J$2:J$401,0)),"")</f>
        <v/>
      </c>
      <c r="J49" s="18" t="str">
        <f>IFERROR(INDEX(DATA2027!B$2:B$401,MATCH(32,DATA2027!K$2:K$401,0)),"")</f>
        <v/>
      </c>
      <c r="K49" s="19" t="str">
        <f>IFERROR(INDEX(DATA2027!C$2:C$401,MATCH(32,DATA2027!K$2:K$401,0)),"")</f>
        <v/>
      </c>
      <c r="L49" s="19" t="str">
        <f>IFERROR(INDEX(DATA2027!D$2:D$401,MATCH(32,DATA2027!K$2:K$401,0)),"")</f>
        <v/>
      </c>
      <c r="N49" s="18" t="str">
        <f>IFERROR(INDEX(DATA2027!B$2:B$401,MATCH(32,DATA2027!L$2:L$401,0)),"")</f>
        <v/>
      </c>
      <c r="O49" s="19" t="str">
        <f>IFERROR(INDEX(DATA2027!C$2:C$401,MATCH(32,DATA2027!L$2:L$401,0)),"")</f>
        <v/>
      </c>
      <c r="P49" s="19" t="str">
        <f>IFERROR(INDEX(DATA2027!D$2:D$401,MATCH(32,DATA2027!L$2:L$401,0)),"")</f>
        <v/>
      </c>
    </row>
    <row r="50" spans="2:16" ht="24.75" customHeight="1">
      <c r="B50" s="16" t="str">
        <f>IFERROR(INDEX(DATA2027!B$2:B$401,MATCH(33,DATA2027!I$2:I$401,0)),"")</f>
        <v/>
      </c>
      <c r="C50" s="17" t="str">
        <f>IFERROR(INDEX(DATA2027!C$2:C$401,MATCH(33,DATA2027!I$2:I$401,0)),"")</f>
        <v/>
      </c>
      <c r="D50" s="17" t="str">
        <f>IFERROR(INDEX(DATA2027!D$2:D$401,MATCH(33,DATA2027!I$2:I$401,0)),"")</f>
        <v/>
      </c>
      <c r="F50" s="16" t="str">
        <f>IFERROR(INDEX(DATA2027!B$2:B$401,MATCH(33,DATA2027!J$2:J$401,0)),"")</f>
        <v/>
      </c>
      <c r="G50" s="17" t="str">
        <f>IFERROR(INDEX(DATA2027!C$2:C$401,MATCH(33,DATA2027!J$2:J$401,0)),"")</f>
        <v/>
      </c>
      <c r="H50" s="17" t="str">
        <f>IFERROR(INDEX(DATA2027!D$2:D$401,MATCH(33,DATA2027!J$2:J$401,0)),"")</f>
        <v/>
      </c>
      <c r="J50" s="16" t="str">
        <f>IFERROR(INDEX(DATA2027!B$2:B$401,MATCH(33,DATA2027!K$2:K$401,0)),"")</f>
        <v/>
      </c>
      <c r="K50" s="17" t="str">
        <f>IFERROR(INDEX(DATA2027!C$2:C$401,MATCH(33,DATA2027!K$2:K$401,0)),"")</f>
        <v/>
      </c>
      <c r="L50" s="17" t="str">
        <f>IFERROR(INDEX(DATA2027!D$2:D$401,MATCH(33,DATA2027!K$2:K$401,0)),"")</f>
        <v/>
      </c>
      <c r="N50" s="16" t="str">
        <f>IFERROR(INDEX(DATA2027!B$2:B$401,MATCH(33,DATA2027!L$2:L$401,0)),"")</f>
        <v/>
      </c>
      <c r="O50" s="17" t="str">
        <f>IFERROR(INDEX(DATA2027!C$2:C$401,MATCH(33,DATA2027!L$2:L$401,0)),"")</f>
        <v/>
      </c>
      <c r="P50" s="17" t="str">
        <f>IFERROR(INDEX(DATA2027!D$2:D$401,MATCH(33,DATA2027!L$2:L$401,0)),"")</f>
        <v/>
      </c>
    </row>
    <row r="51" spans="2:16" ht="24.75" customHeight="1">
      <c r="B51" s="18" t="str">
        <f>IFERROR(INDEX(DATA2027!B$2:B$401,MATCH(34,DATA2027!I$2:I$401,0)),"")</f>
        <v/>
      </c>
      <c r="C51" s="19" t="str">
        <f>IFERROR(INDEX(DATA2027!C$2:C$401,MATCH(34,DATA2027!I$2:I$401,0)),"")</f>
        <v/>
      </c>
      <c r="D51" s="19" t="str">
        <f>IFERROR(INDEX(DATA2027!D$2:D$401,MATCH(34,DATA2027!I$2:I$401,0)),"")</f>
        <v/>
      </c>
      <c r="F51" s="18" t="str">
        <f>IFERROR(INDEX(DATA2027!B$2:B$401,MATCH(34,DATA2027!J$2:J$401,0)),"")</f>
        <v/>
      </c>
      <c r="G51" s="19" t="str">
        <f>IFERROR(INDEX(DATA2027!C$2:C$401,MATCH(34,DATA2027!J$2:J$401,0)),"")</f>
        <v/>
      </c>
      <c r="H51" s="19" t="str">
        <f>IFERROR(INDEX(DATA2027!D$2:D$401,MATCH(34,DATA2027!J$2:J$401,0)),"")</f>
        <v/>
      </c>
      <c r="J51" s="18" t="str">
        <f>IFERROR(INDEX(DATA2027!B$2:B$401,MATCH(34,DATA2027!K$2:K$401,0)),"")</f>
        <v/>
      </c>
      <c r="K51" s="19" t="str">
        <f>IFERROR(INDEX(DATA2027!C$2:C$401,MATCH(34,DATA2027!K$2:K$401,0)),"")</f>
        <v/>
      </c>
      <c r="L51" s="19" t="str">
        <f>IFERROR(INDEX(DATA2027!D$2:D$401,MATCH(34,DATA2027!K$2:K$401,0)),"")</f>
        <v/>
      </c>
      <c r="N51" s="18" t="str">
        <f>IFERROR(INDEX(DATA2027!B$2:B$401,MATCH(34,DATA2027!L$2:L$401,0)),"")</f>
        <v/>
      </c>
      <c r="O51" s="19" t="str">
        <f>IFERROR(INDEX(DATA2027!C$2:C$401,MATCH(34,DATA2027!L$2:L$401,0)),"")</f>
        <v/>
      </c>
      <c r="P51" s="19" t="str">
        <f>IFERROR(INDEX(DATA2027!D$2:D$401,MATCH(34,DATA2027!L$2:L$401,0)),"")</f>
        <v/>
      </c>
    </row>
    <row r="52" spans="2:16" ht="24.75" customHeight="1">
      <c r="B52" s="16" t="str">
        <f>IFERROR(INDEX(DATA2027!B$2:B$401,MATCH(35,DATA2027!I$2:I$401,0)),"")</f>
        <v/>
      </c>
      <c r="C52" s="17" t="str">
        <f>IFERROR(INDEX(DATA2027!C$2:C$401,MATCH(35,DATA2027!I$2:I$401,0)),"")</f>
        <v/>
      </c>
      <c r="D52" s="17" t="str">
        <f>IFERROR(INDEX(DATA2027!D$2:D$401,MATCH(35,DATA2027!I$2:I$401,0)),"")</f>
        <v/>
      </c>
      <c r="F52" s="16" t="str">
        <f>IFERROR(INDEX(DATA2027!B$2:B$401,MATCH(35,DATA2027!J$2:J$401,0)),"")</f>
        <v/>
      </c>
      <c r="G52" s="17" t="str">
        <f>IFERROR(INDEX(DATA2027!C$2:C$401,MATCH(35,DATA2027!J$2:J$401,0)),"")</f>
        <v/>
      </c>
      <c r="H52" s="17" t="str">
        <f>IFERROR(INDEX(DATA2027!D$2:D$401,MATCH(35,DATA2027!J$2:J$401,0)),"")</f>
        <v/>
      </c>
      <c r="J52" s="16" t="str">
        <f>IFERROR(INDEX(DATA2027!B$2:B$401,MATCH(35,DATA2027!K$2:K$401,0)),"")</f>
        <v/>
      </c>
      <c r="K52" s="17" t="str">
        <f>IFERROR(INDEX(DATA2027!C$2:C$401,MATCH(35,DATA2027!K$2:K$401,0)),"")</f>
        <v/>
      </c>
      <c r="L52" s="17" t="str">
        <f>IFERROR(INDEX(DATA2027!D$2:D$401,MATCH(35,DATA2027!K$2:K$401,0)),"")</f>
        <v/>
      </c>
      <c r="N52" s="16" t="str">
        <f>IFERROR(INDEX(DATA2027!B$2:B$401,MATCH(35,DATA2027!L$2:L$401,0)),"")</f>
        <v/>
      </c>
      <c r="O52" s="17" t="str">
        <f>IFERROR(INDEX(DATA2027!C$2:C$401,MATCH(35,DATA2027!L$2:L$401,0)),"")</f>
        <v/>
      </c>
      <c r="P52" s="17" t="str">
        <f>IFERROR(INDEX(DATA2027!D$2:D$401,MATCH(35,DATA2027!L$2:L$401,0)),"")</f>
        <v/>
      </c>
    </row>
    <row r="53" spans="2:16" ht="24.75" customHeight="1">
      <c r="B53" s="18" t="str">
        <f>IFERROR(INDEX(DATA2027!B$2:B$401,MATCH(36,DATA2027!I$2:I$401,0)),"")</f>
        <v/>
      </c>
      <c r="C53" s="19" t="str">
        <f>IFERROR(INDEX(DATA2027!C$2:C$401,MATCH(36,DATA2027!I$2:I$401,0)),"")</f>
        <v/>
      </c>
      <c r="D53" s="19" t="str">
        <f>IFERROR(INDEX(DATA2027!D$2:D$401,MATCH(36,DATA2027!I$2:I$401,0)),"")</f>
        <v/>
      </c>
      <c r="F53" s="18" t="str">
        <f>IFERROR(INDEX(DATA2027!B$2:B$401,MATCH(36,DATA2027!J$2:J$401,0)),"")</f>
        <v/>
      </c>
      <c r="G53" s="19" t="str">
        <f>IFERROR(INDEX(DATA2027!C$2:C$401,MATCH(36,DATA2027!J$2:J$401,0)),"")</f>
        <v/>
      </c>
      <c r="H53" s="19" t="str">
        <f>IFERROR(INDEX(DATA2027!D$2:D$401,MATCH(36,DATA2027!J$2:J$401,0)),"")</f>
        <v/>
      </c>
      <c r="J53" s="18" t="str">
        <f>IFERROR(INDEX(DATA2027!B$2:B$401,MATCH(36,DATA2027!K$2:K$401,0)),"")</f>
        <v/>
      </c>
      <c r="K53" s="19" t="str">
        <f>IFERROR(INDEX(DATA2027!C$2:C$401,MATCH(36,DATA2027!K$2:K$401,0)),"")</f>
        <v/>
      </c>
      <c r="L53" s="19" t="str">
        <f>IFERROR(INDEX(DATA2027!D$2:D$401,MATCH(36,DATA2027!K$2:K$401,0)),"")</f>
        <v/>
      </c>
      <c r="N53" s="18" t="str">
        <f>IFERROR(INDEX(DATA2027!B$2:B$401,MATCH(36,DATA2027!L$2:L$401,0)),"")</f>
        <v/>
      </c>
      <c r="O53" s="19" t="str">
        <f>IFERROR(INDEX(DATA2027!C$2:C$401,MATCH(36,DATA2027!L$2:L$401,0)),"")</f>
        <v/>
      </c>
      <c r="P53" s="19" t="str">
        <f>IFERROR(INDEX(DATA2027!D$2:D$401,MATCH(36,DATA2027!L$2:L$401,0)),"")</f>
        <v/>
      </c>
    </row>
    <row r="54" spans="2:16" ht="24.75" customHeight="1">
      <c r="B54" s="16" t="str">
        <f>IFERROR(INDEX(DATA2027!B$2:B$401,MATCH(37,DATA2027!I$2:I$401,0)),"")</f>
        <v/>
      </c>
      <c r="C54" s="17" t="str">
        <f>IFERROR(INDEX(DATA2027!C$2:C$401,MATCH(37,DATA2027!I$2:I$401,0)),"")</f>
        <v/>
      </c>
      <c r="D54" s="17" t="str">
        <f>IFERROR(INDEX(DATA2027!D$2:D$401,MATCH(37,DATA2027!I$2:I$401,0)),"")</f>
        <v/>
      </c>
      <c r="F54" s="16" t="str">
        <f>IFERROR(INDEX(DATA2027!B$2:B$401,MATCH(37,DATA2027!J$2:J$401,0)),"")</f>
        <v/>
      </c>
      <c r="G54" s="17" t="str">
        <f>IFERROR(INDEX(DATA2027!C$2:C$401,MATCH(37,DATA2027!J$2:J$401,0)),"")</f>
        <v/>
      </c>
      <c r="H54" s="17" t="str">
        <f>IFERROR(INDEX(DATA2027!D$2:D$401,MATCH(37,DATA2027!J$2:J$401,0)),"")</f>
        <v/>
      </c>
      <c r="J54" s="16" t="str">
        <f>IFERROR(INDEX(DATA2027!B$2:B$401,MATCH(37,DATA2027!K$2:K$401,0)),"")</f>
        <v/>
      </c>
      <c r="K54" s="17" t="str">
        <f>IFERROR(INDEX(DATA2027!C$2:C$401,MATCH(37,DATA2027!K$2:K$401,0)),"")</f>
        <v/>
      </c>
      <c r="L54" s="17" t="str">
        <f>IFERROR(INDEX(DATA2027!D$2:D$401,MATCH(37,DATA2027!K$2:K$401,0)),"")</f>
        <v/>
      </c>
      <c r="N54" s="16" t="str">
        <f>IFERROR(INDEX(DATA2027!B$2:B$401,MATCH(37,DATA2027!L$2:L$401,0)),"")</f>
        <v/>
      </c>
      <c r="O54" s="17" t="str">
        <f>IFERROR(INDEX(DATA2027!C$2:C$401,MATCH(37,DATA2027!L$2:L$401,0)),"")</f>
        <v/>
      </c>
      <c r="P54" s="17" t="str">
        <f>IFERROR(INDEX(DATA2027!D$2:D$401,MATCH(37,DATA2027!L$2:L$401,0)),"")</f>
        <v/>
      </c>
    </row>
    <row r="55" spans="2:16" ht="24.75" customHeight="1">
      <c r="B55" s="18" t="str">
        <f>IFERROR(INDEX(DATA2027!B$2:B$401,MATCH(38,DATA2027!I$2:I$401,0)),"")</f>
        <v/>
      </c>
      <c r="C55" s="19" t="str">
        <f>IFERROR(INDEX(DATA2027!C$2:C$401,MATCH(38,DATA2027!I$2:I$401,0)),"")</f>
        <v/>
      </c>
      <c r="D55" s="19" t="str">
        <f>IFERROR(INDEX(DATA2027!D$2:D$401,MATCH(38,DATA2027!I$2:I$401,0)),"")</f>
        <v/>
      </c>
      <c r="F55" s="18" t="str">
        <f>IFERROR(INDEX(DATA2027!B$2:B$401,MATCH(38,DATA2027!J$2:J$401,0)),"")</f>
        <v/>
      </c>
      <c r="G55" s="19" t="str">
        <f>IFERROR(INDEX(DATA2027!C$2:C$401,MATCH(38,DATA2027!J$2:J$401,0)),"")</f>
        <v/>
      </c>
      <c r="H55" s="19" t="str">
        <f>IFERROR(INDEX(DATA2027!D$2:D$401,MATCH(38,DATA2027!J$2:J$401,0)),"")</f>
        <v/>
      </c>
      <c r="J55" s="18" t="str">
        <f>IFERROR(INDEX(DATA2027!B$2:B$401,MATCH(38,DATA2027!K$2:K$401,0)),"")</f>
        <v/>
      </c>
      <c r="K55" s="19" t="str">
        <f>IFERROR(INDEX(DATA2027!C$2:C$401,MATCH(38,DATA2027!K$2:K$401,0)),"")</f>
        <v/>
      </c>
      <c r="L55" s="19" t="str">
        <f>IFERROR(INDEX(DATA2027!D$2:D$401,MATCH(38,DATA2027!K$2:K$401,0)),"")</f>
        <v/>
      </c>
      <c r="N55" s="18" t="str">
        <f>IFERROR(INDEX(DATA2027!B$2:B$401,MATCH(38,DATA2027!L$2:L$401,0)),"")</f>
        <v/>
      </c>
      <c r="O55" s="19" t="str">
        <f>IFERROR(INDEX(DATA2027!C$2:C$401,MATCH(38,DATA2027!L$2:L$401,0)),"")</f>
        <v/>
      </c>
      <c r="P55" s="19" t="str">
        <f>IFERROR(INDEX(DATA2027!D$2:D$401,MATCH(38,DATA2027!L$2:L$401,0)),"")</f>
        <v/>
      </c>
    </row>
    <row r="56" spans="2:16" ht="24.75" customHeight="1">
      <c r="B56" s="16" t="str">
        <f>IFERROR(INDEX(DATA2027!B$2:B$401,MATCH(39,DATA2027!I$2:I$401,0)),"")</f>
        <v/>
      </c>
      <c r="C56" s="17" t="str">
        <f>IFERROR(INDEX(DATA2027!C$2:C$401,MATCH(39,DATA2027!I$2:I$401,0)),"")</f>
        <v/>
      </c>
      <c r="D56" s="17" t="str">
        <f>IFERROR(INDEX(DATA2027!D$2:D$401,MATCH(39,DATA2027!I$2:I$401,0)),"")</f>
        <v/>
      </c>
      <c r="F56" s="16" t="str">
        <f>IFERROR(INDEX(DATA2027!B$2:B$401,MATCH(39,DATA2027!J$2:J$401,0)),"")</f>
        <v/>
      </c>
      <c r="G56" s="17" t="str">
        <f>IFERROR(INDEX(DATA2027!C$2:C$401,MATCH(39,DATA2027!J$2:J$401,0)),"")</f>
        <v/>
      </c>
      <c r="H56" s="17" t="str">
        <f>IFERROR(INDEX(DATA2027!D$2:D$401,MATCH(39,DATA2027!J$2:J$401,0)),"")</f>
        <v/>
      </c>
      <c r="J56" s="16" t="str">
        <f>IFERROR(INDEX(DATA2027!B$2:B$401,MATCH(39,DATA2027!K$2:K$401,0)),"")</f>
        <v/>
      </c>
      <c r="K56" s="17" t="str">
        <f>IFERROR(INDEX(DATA2027!C$2:C$401,MATCH(39,DATA2027!K$2:K$401,0)),"")</f>
        <v/>
      </c>
      <c r="L56" s="17" t="str">
        <f>IFERROR(INDEX(DATA2027!D$2:D$401,MATCH(39,DATA2027!K$2:K$401,0)),"")</f>
        <v/>
      </c>
      <c r="N56" s="16" t="str">
        <f>IFERROR(INDEX(DATA2027!B$2:B$401,MATCH(39,DATA2027!L$2:L$401,0)),"")</f>
        <v/>
      </c>
      <c r="O56" s="17" t="str">
        <f>IFERROR(INDEX(DATA2027!C$2:C$401,MATCH(39,DATA2027!L$2:L$401,0)),"")</f>
        <v/>
      </c>
      <c r="P56" s="17" t="str">
        <f>IFERROR(INDEX(DATA2027!D$2:D$401,MATCH(39,DATA2027!L$2:L$401,0)),"")</f>
        <v/>
      </c>
    </row>
    <row r="57" spans="2:16" ht="24.75" customHeight="1">
      <c r="B57" s="18" t="str">
        <f>IFERROR(INDEX(DATA2027!B$2:B$401,MATCH(40,DATA2027!I$2:I$401,0)),"")</f>
        <v/>
      </c>
      <c r="C57" s="19" t="str">
        <f>IFERROR(INDEX(DATA2027!C$2:C$401,MATCH(40,DATA2027!I$2:I$401,0)),"")</f>
        <v/>
      </c>
      <c r="D57" s="19" t="str">
        <f>IFERROR(INDEX(DATA2027!D$2:D$401,MATCH(40,DATA2027!I$2:I$401,0)),"")</f>
        <v/>
      </c>
      <c r="F57" s="18" t="str">
        <f>IFERROR(INDEX(DATA2027!B$2:B$401,MATCH(40,DATA2027!J$2:J$401,0)),"")</f>
        <v/>
      </c>
      <c r="G57" s="19" t="str">
        <f>IFERROR(INDEX(DATA2027!C$2:C$401,MATCH(40,DATA2027!J$2:J$401,0)),"")</f>
        <v/>
      </c>
      <c r="H57" s="19" t="str">
        <f>IFERROR(INDEX(DATA2027!D$2:D$401,MATCH(40,DATA2027!J$2:J$401,0)),"")</f>
        <v/>
      </c>
      <c r="J57" s="18" t="str">
        <f>IFERROR(INDEX(DATA2027!B$2:B$401,MATCH(40,DATA2027!K$2:K$401,0)),"")</f>
        <v/>
      </c>
      <c r="K57" s="19" t="str">
        <f>IFERROR(INDEX(DATA2027!C$2:C$401,MATCH(40,DATA2027!K$2:K$401,0)),"")</f>
        <v/>
      </c>
      <c r="L57" s="19" t="str">
        <f>IFERROR(INDEX(DATA2027!D$2:D$401,MATCH(40,DATA2027!K$2:K$401,0)),"")</f>
        <v/>
      </c>
      <c r="N57" s="18" t="str">
        <f>IFERROR(INDEX(DATA2027!B$2:B$401,MATCH(40,DATA2027!L$2:L$401,0)),"")</f>
        <v/>
      </c>
      <c r="O57" s="19" t="str">
        <f>IFERROR(INDEX(DATA2027!C$2:C$401,MATCH(40,DATA2027!L$2:L$401,0)),"")</f>
        <v/>
      </c>
      <c r="P57" s="19" t="str">
        <f>IFERROR(INDEX(DATA2027!D$2:D$401,MATCH(40,DATA2027!L$2:L$401,0)),"")</f>
        <v/>
      </c>
    </row>
    <row r="58" spans="2:16" ht="24.75" customHeight="1">
      <c r="B58" s="16" t="str">
        <f>IFERROR(INDEX(DATA2027!B$2:B$401,MATCH(41,DATA2027!I$2:I$401,0)),"")</f>
        <v/>
      </c>
      <c r="C58" s="17" t="str">
        <f>IFERROR(INDEX(DATA2027!C$2:C$401,MATCH(41,DATA2027!I$2:I$401,0)),"")</f>
        <v/>
      </c>
      <c r="D58" s="17" t="str">
        <f>IFERROR(INDEX(DATA2027!D$2:D$401,MATCH(41,DATA2027!I$2:I$401,0)),"")</f>
        <v/>
      </c>
      <c r="F58" s="16" t="str">
        <f>IFERROR(INDEX(DATA2027!B$2:B$401,MATCH(41,DATA2027!J$2:J$401,0)),"")</f>
        <v/>
      </c>
      <c r="G58" s="17" t="str">
        <f>IFERROR(INDEX(DATA2027!C$2:C$401,MATCH(41,DATA2027!J$2:J$401,0)),"")</f>
        <v/>
      </c>
      <c r="H58" s="17" t="str">
        <f>IFERROR(INDEX(DATA2027!D$2:D$401,MATCH(41,DATA2027!J$2:J$401,0)),"")</f>
        <v/>
      </c>
      <c r="J58" s="16" t="str">
        <f>IFERROR(INDEX(DATA2027!B$2:B$401,MATCH(41,DATA2027!K$2:K$401,0)),"")</f>
        <v/>
      </c>
      <c r="K58" s="17" t="str">
        <f>IFERROR(INDEX(DATA2027!C$2:C$401,MATCH(41,DATA2027!K$2:K$401,0)),"")</f>
        <v/>
      </c>
      <c r="L58" s="17" t="str">
        <f>IFERROR(INDEX(DATA2027!D$2:D$401,MATCH(41,DATA2027!K$2:K$401,0)),"")</f>
        <v/>
      </c>
      <c r="N58" s="16" t="str">
        <f>IFERROR(INDEX(DATA2027!B$2:B$401,MATCH(41,DATA2027!L$2:L$401,0)),"")</f>
        <v/>
      </c>
      <c r="O58" s="17" t="str">
        <f>IFERROR(INDEX(DATA2027!C$2:C$401,MATCH(41,DATA2027!L$2:L$401,0)),"")</f>
        <v/>
      </c>
      <c r="P58" s="17" t="str">
        <f>IFERROR(INDEX(DATA2027!D$2:D$401,MATCH(41,DATA2027!L$2:L$401,0)),"")</f>
        <v/>
      </c>
    </row>
    <row r="59" spans="2:16" ht="24.75" customHeight="1">
      <c r="B59" s="18" t="str">
        <f>IFERROR(INDEX(DATA2027!B$2:B$401,MATCH(42,DATA2027!I$2:I$401,0)),"")</f>
        <v/>
      </c>
      <c r="C59" s="19" t="str">
        <f>IFERROR(INDEX(DATA2027!C$2:C$401,MATCH(42,DATA2027!I$2:I$401,0)),"")</f>
        <v/>
      </c>
      <c r="D59" s="19" t="str">
        <f>IFERROR(INDEX(DATA2027!D$2:D$401,MATCH(42,DATA2027!I$2:I$401,0)),"")</f>
        <v/>
      </c>
      <c r="F59" s="18" t="str">
        <f>IFERROR(INDEX(DATA2027!B$2:B$401,MATCH(42,DATA2027!J$2:J$401,0)),"")</f>
        <v/>
      </c>
      <c r="G59" s="19" t="str">
        <f>IFERROR(INDEX(DATA2027!C$2:C$401,MATCH(42,DATA2027!J$2:J$401,0)),"")</f>
        <v/>
      </c>
      <c r="H59" s="19" t="str">
        <f>IFERROR(INDEX(DATA2027!D$2:D$401,MATCH(42,DATA2027!J$2:J$401,0)),"")</f>
        <v/>
      </c>
      <c r="J59" s="18" t="str">
        <f>IFERROR(INDEX(DATA2027!B$2:B$401,MATCH(42,DATA2027!K$2:K$401,0)),"")</f>
        <v/>
      </c>
      <c r="K59" s="19" t="str">
        <f>IFERROR(INDEX(DATA2027!C$2:C$401,MATCH(42,DATA2027!K$2:K$401,0)),"")</f>
        <v/>
      </c>
      <c r="L59" s="19" t="str">
        <f>IFERROR(INDEX(DATA2027!D$2:D$401,MATCH(42,DATA2027!K$2:K$401,0)),"")</f>
        <v/>
      </c>
      <c r="N59" s="18" t="str">
        <f>IFERROR(INDEX(DATA2027!B$2:B$401,MATCH(42,DATA2027!L$2:L$401,0)),"")</f>
        <v/>
      </c>
      <c r="O59" s="19" t="str">
        <f>IFERROR(INDEX(DATA2027!C$2:C$401,MATCH(42,DATA2027!L$2:L$401,0)),"")</f>
        <v/>
      </c>
      <c r="P59" s="19" t="str">
        <f>IFERROR(INDEX(DATA2027!D$2:D$401,MATCH(42,DATA2027!L$2:L$401,0)),"")</f>
        <v/>
      </c>
    </row>
    <row r="60" spans="2:16" ht="24.75" customHeight="1">
      <c r="B60" s="16" t="str">
        <f>IFERROR(INDEX(DATA2027!B$2:B$401,MATCH(43,DATA2027!I$2:I$401,0)),"")</f>
        <v/>
      </c>
      <c r="C60" s="17" t="str">
        <f>IFERROR(INDEX(DATA2027!C$2:C$401,MATCH(43,DATA2027!I$2:I$401,0)),"")</f>
        <v/>
      </c>
      <c r="D60" s="17" t="str">
        <f>IFERROR(INDEX(DATA2027!D$2:D$401,MATCH(43,DATA2027!I$2:I$401,0)),"")</f>
        <v/>
      </c>
      <c r="F60" s="16" t="str">
        <f>IFERROR(INDEX(DATA2027!B$2:B$401,MATCH(43,DATA2027!J$2:J$401,0)),"")</f>
        <v/>
      </c>
      <c r="G60" s="17" t="str">
        <f>IFERROR(INDEX(DATA2027!C$2:C$401,MATCH(43,DATA2027!J$2:J$401,0)),"")</f>
        <v/>
      </c>
      <c r="H60" s="17" t="str">
        <f>IFERROR(INDEX(DATA2027!D$2:D$401,MATCH(43,DATA2027!J$2:J$401,0)),"")</f>
        <v/>
      </c>
      <c r="J60" s="16" t="str">
        <f>IFERROR(INDEX(DATA2027!B$2:B$401,MATCH(43,DATA2027!K$2:K$401,0)),"")</f>
        <v/>
      </c>
      <c r="K60" s="17" t="str">
        <f>IFERROR(INDEX(DATA2027!C$2:C$401,MATCH(43,DATA2027!K$2:K$401,0)),"")</f>
        <v/>
      </c>
      <c r="L60" s="17" t="str">
        <f>IFERROR(INDEX(DATA2027!D$2:D$401,MATCH(43,DATA2027!K$2:K$401,0)),"")</f>
        <v/>
      </c>
      <c r="N60" s="16" t="str">
        <f>IFERROR(INDEX(DATA2027!B$2:B$401,MATCH(43,DATA2027!L$2:L$401,0)),"")</f>
        <v/>
      </c>
      <c r="O60" s="17" t="str">
        <f>IFERROR(INDEX(DATA2027!C$2:C$401,MATCH(43,DATA2027!L$2:L$401,0)),"")</f>
        <v/>
      </c>
      <c r="P60" s="17" t="str">
        <f>IFERROR(INDEX(DATA2027!D$2:D$401,MATCH(43,DATA2027!L$2:L$401,0)),"")</f>
        <v/>
      </c>
    </row>
    <row r="61" spans="2:16" ht="24.75" customHeight="1">
      <c r="B61" s="18" t="str">
        <f>IFERROR(INDEX(DATA2027!B$2:B$401,MATCH(44,DATA2027!I$2:I$401,0)),"")</f>
        <v/>
      </c>
      <c r="C61" s="19" t="str">
        <f>IFERROR(INDEX(DATA2027!C$2:C$401,MATCH(44,DATA2027!I$2:I$401,0)),"")</f>
        <v/>
      </c>
      <c r="D61" s="19" t="str">
        <f>IFERROR(INDEX(DATA2027!D$2:D$401,MATCH(44,DATA2027!I$2:I$401,0)),"")</f>
        <v/>
      </c>
      <c r="F61" s="18" t="str">
        <f>IFERROR(INDEX(DATA2027!B$2:B$401,MATCH(44,DATA2027!J$2:J$401,0)),"")</f>
        <v/>
      </c>
      <c r="G61" s="19" t="str">
        <f>IFERROR(INDEX(DATA2027!C$2:C$401,MATCH(44,DATA2027!J$2:J$401,0)),"")</f>
        <v/>
      </c>
      <c r="H61" s="19" t="str">
        <f>IFERROR(INDEX(DATA2027!D$2:D$401,MATCH(44,DATA2027!J$2:J$401,0)),"")</f>
        <v/>
      </c>
      <c r="J61" s="18" t="str">
        <f>IFERROR(INDEX(DATA2027!B$2:B$401,MATCH(44,DATA2027!K$2:K$401,0)),"")</f>
        <v/>
      </c>
      <c r="K61" s="19" t="str">
        <f>IFERROR(INDEX(DATA2027!C$2:C$401,MATCH(44,DATA2027!K$2:K$401,0)),"")</f>
        <v/>
      </c>
      <c r="L61" s="19" t="str">
        <f>IFERROR(INDEX(DATA2027!D$2:D$401,MATCH(44,DATA2027!K$2:K$401,0)),"")</f>
        <v/>
      </c>
      <c r="N61" s="18" t="str">
        <f>IFERROR(INDEX(DATA2027!B$2:B$401,MATCH(44,DATA2027!L$2:L$401,0)),"")</f>
        <v/>
      </c>
      <c r="O61" s="19" t="str">
        <f>IFERROR(INDEX(DATA2027!C$2:C$401,MATCH(44,DATA2027!L$2:L$401,0)),"")</f>
        <v/>
      </c>
      <c r="P61" s="19" t="str">
        <f>IFERROR(INDEX(DATA2027!D$2:D$401,MATCH(44,DATA2027!L$2:L$401,0)),"")</f>
        <v/>
      </c>
    </row>
    <row r="62" spans="2:16" ht="24.75" customHeight="1">
      <c r="B62" s="16" t="str">
        <f>IFERROR(INDEX(DATA2027!B$2:B$401,MATCH(45,DATA2027!I$2:I$401,0)),"")</f>
        <v/>
      </c>
      <c r="C62" s="17" t="str">
        <f>IFERROR(INDEX(DATA2027!C$2:C$401,MATCH(45,DATA2027!I$2:I$401,0)),"")</f>
        <v/>
      </c>
      <c r="D62" s="17" t="str">
        <f>IFERROR(INDEX(DATA2027!D$2:D$401,MATCH(45,DATA2027!I$2:I$401,0)),"")</f>
        <v/>
      </c>
      <c r="F62" s="16" t="str">
        <f>IFERROR(INDEX(DATA2027!B$2:B$401,MATCH(45,DATA2027!J$2:J$401,0)),"")</f>
        <v/>
      </c>
      <c r="G62" s="17" t="str">
        <f>IFERROR(INDEX(DATA2027!C$2:C$401,MATCH(45,DATA2027!J$2:J$401,0)),"")</f>
        <v/>
      </c>
      <c r="H62" s="17" t="str">
        <f>IFERROR(INDEX(DATA2027!D$2:D$401,MATCH(45,DATA2027!J$2:J$401,0)),"")</f>
        <v/>
      </c>
      <c r="J62" s="16" t="str">
        <f>IFERROR(INDEX(DATA2027!B$2:B$401,MATCH(45,DATA2027!K$2:K$401,0)),"")</f>
        <v/>
      </c>
      <c r="K62" s="17" t="str">
        <f>IFERROR(INDEX(DATA2027!C$2:C$401,MATCH(45,DATA2027!K$2:K$401,0)),"")</f>
        <v/>
      </c>
      <c r="L62" s="17" t="str">
        <f>IFERROR(INDEX(DATA2027!D$2:D$401,MATCH(45,DATA2027!K$2:K$401,0)),"")</f>
        <v/>
      </c>
      <c r="N62" s="16" t="str">
        <f>IFERROR(INDEX(DATA2027!B$2:B$401,MATCH(45,DATA2027!L$2:L$401,0)),"")</f>
        <v/>
      </c>
      <c r="O62" s="17" t="str">
        <f>IFERROR(INDEX(DATA2027!C$2:C$401,MATCH(45,DATA2027!L$2:L$401,0)),"")</f>
        <v/>
      </c>
      <c r="P62" s="17" t="str">
        <f>IFERROR(INDEX(DATA2027!D$2:D$401,MATCH(45,DATA2027!L$2:L$401,0)),"")</f>
        <v/>
      </c>
    </row>
    <row r="63" spans="2:16" ht="24.75" customHeight="1">
      <c r="B63" s="18" t="str">
        <f>IFERROR(INDEX(DATA2027!B$2:B$401,MATCH(46,DATA2027!I$2:I$401,0)),"")</f>
        <v/>
      </c>
      <c r="C63" s="19" t="str">
        <f>IFERROR(INDEX(DATA2027!C$2:C$401,MATCH(46,DATA2027!I$2:I$401,0)),"")</f>
        <v/>
      </c>
      <c r="D63" s="19" t="str">
        <f>IFERROR(INDEX(DATA2027!D$2:D$401,MATCH(46,DATA2027!I$2:I$401,0)),"")</f>
        <v/>
      </c>
      <c r="F63" s="18" t="str">
        <f>IFERROR(INDEX(DATA2027!B$2:B$401,MATCH(46,DATA2027!J$2:J$401,0)),"")</f>
        <v/>
      </c>
      <c r="G63" s="19" t="str">
        <f>IFERROR(INDEX(DATA2027!C$2:C$401,MATCH(46,DATA2027!J$2:J$401,0)),"")</f>
        <v/>
      </c>
      <c r="H63" s="19" t="str">
        <f>IFERROR(INDEX(DATA2027!D$2:D$401,MATCH(46,DATA2027!J$2:J$401,0)),"")</f>
        <v/>
      </c>
      <c r="J63" s="18" t="str">
        <f>IFERROR(INDEX(DATA2027!B$2:B$401,MATCH(46,DATA2027!K$2:K$401,0)),"")</f>
        <v/>
      </c>
      <c r="K63" s="19" t="str">
        <f>IFERROR(INDEX(DATA2027!C$2:C$401,MATCH(46,DATA2027!K$2:K$401,0)),"")</f>
        <v/>
      </c>
      <c r="L63" s="19" t="str">
        <f>IFERROR(INDEX(DATA2027!D$2:D$401,MATCH(46,DATA2027!K$2:K$401,0)),"")</f>
        <v/>
      </c>
      <c r="N63" s="18" t="str">
        <f>IFERROR(INDEX(DATA2027!B$2:B$401,MATCH(46,DATA2027!L$2:L$401,0)),"")</f>
        <v/>
      </c>
      <c r="O63" s="19" t="str">
        <f>IFERROR(INDEX(DATA2027!C$2:C$401,MATCH(46,DATA2027!L$2:L$401,0)),"")</f>
        <v/>
      </c>
      <c r="P63" s="19" t="str">
        <f>IFERROR(INDEX(DATA2027!D$2:D$401,MATCH(46,DATA2027!L$2:L$401,0)),"")</f>
        <v/>
      </c>
    </row>
    <row r="64" spans="2:16" ht="24.75" customHeight="1">
      <c r="B64" s="16" t="str">
        <f>IFERROR(INDEX(DATA2027!B$2:B$401,MATCH(47,DATA2027!I$2:I$401,0)),"")</f>
        <v/>
      </c>
      <c r="C64" s="17" t="str">
        <f>IFERROR(INDEX(DATA2027!C$2:C$401,MATCH(47,DATA2027!I$2:I$401,0)),"")</f>
        <v/>
      </c>
      <c r="D64" s="17" t="str">
        <f>IFERROR(INDEX(DATA2027!D$2:D$401,MATCH(47,DATA2027!I$2:I$401,0)),"")</f>
        <v/>
      </c>
      <c r="F64" s="16" t="str">
        <f>IFERROR(INDEX(DATA2027!B$2:B$401,MATCH(47,DATA2027!J$2:J$401,0)),"")</f>
        <v/>
      </c>
      <c r="G64" s="17" t="str">
        <f>IFERROR(INDEX(DATA2027!C$2:C$401,MATCH(47,DATA2027!J$2:J$401,0)),"")</f>
        <v/>
      </c>
      <c r="H64" s="17" t="str">
        <f>IFERROR(INDEX(DATA2027!D$2:D$401,MATCH(47,DATA2027!J$2:J$401,0)),"")</f>
        <v/>
      </c>
      <c r="J64" s="16" t="str">
        <f>IFERROR(INDEX(DATA2027!B$2:B$401,MATCH(47,DATA2027!K$2:K$401,0)),"")</f>
        <v/>
      </c>
      <c r="K64" s="17" t="str">
        <f>IFERROR(INDEX(DATA2027!C$2:C$401,MATCH(47,DATA2027!K$2:K$401,0)),"")</f>
        <v/>
      </c>
      <c r="L64" s="17" t="str">
        <f>IFERROR(INDEX(DATA2027!D$2:D$401,MATCH(47,DATA2027!K$2:K$401,0)),"")</f>
        <v/>
      </c>
      <c r="N64" s="16" t="str">
        <f>IFERROR(INDEX(DATA2027!B$2:B$401,MATCH(47,DATA2027!L$2:L$401,0)),"")</f>
        <v/>
      </c>
      <c r="O64" s="17" t="str">
        <f>IFERROR(INDEX(DATA2027!C$2:C$401,MATCH(47,DATA2027!L$2:L$401,0)),"")</f>
        <v/>
      </c>
      <c r="P64" s="17" t="str">
        <f>IFERROR(INDEX(DATA2027!D$2:D$401,MATCH(47,DATA2027!L$2:L$401,0)),"")</f>
        <v/>
      </c>
    </row>
    <row r="65" spans="2:16" ht="24.75" customHeight="1">
      <c r="B65" s="18" t="str">
        <f>IFERROR(INDEX(DATA2027!B$2:B$401,MATCH(48,DATA2027!I$2:I$401,0)),"")</f>
        <v/>
      </c>
      <c r="C65" s="19" t="str">
        <f>IFERROR(INDEX(DATA2027!C$2:C$401,MATCH(48,DATA2027!I$2:I$401,0)),"")</f>
        <v/>
      </c>
      <c r="D65" s="19" t="str">
        <f>IFERROR(INDEX(DATA2027!D$2:D$401,MATCH(48,DATA2027!I$2:I$401,0)),"")</f>
        <v/>
      </c>
      <c r="F65" s="18" t="str">
        <f>IFERROR(INDEX(DATA2027!B$2:B$401,MATCH(48,DATA2027!J$2:J$401,0)),"")</f>
        <v/>
      </c>
      <c r="G65" s="19" t="str">
        <f>IFERROR(INDEX(DATA2027!C$2:C$401,MATCH(48,DATA2027!J$2:J$401,0)),"")</f>
        <v/>
      </c>
      <c r="H65" s="19" t="str">
        <f>IFERROR(INDEX(DATA2027!D$2:D$401,MATCH(48,DATA2027!J$2:J$401,0)),"")</f>
        <v/>
      </c>
      <c r="J65" s="18" t="str">
        <f>IFERROR(INDEX(DATA2027!B$2:B$401,MATCH(48,DATA2027!K$2:K$401,0)),"")</f>
        <v/>
      </c>
      <c r="K65" s="19" t="str">
        <f>IFERROR(INDEX(DATA2027!C$2:C$401,MATCH(48,DATA2027!K$2:K$401,0)),"")</f>
        <v/>
      </c>
      <c r="L65" s="19" t="str">
        <f>IFERROR(INDEX(DATA2027!D$2:D$401,MATCH(48,DATA2027!K$2:K$401,0)),"")</f>
        <v/>
      </c>
      <c r="N65" s="18" t="str">
        <f>IFERROR(INDEX(DATA2027!B$2:B$401,MATCH(48,DATA2027!L$2:L$401,0)),"")</f>
        <v/>
      </c>
      <c r="O65" s="19" t="str">
        <f>IFERROR(INDEX(DATA2027!C$2:C$401,MATCH(48,DATA2027!L$2:L$401,0)),"")</f>
        <v/>
      </c>
      <c r="P65" s="19" t="str">
        <f>IFERROR(INDEX(DATA2027!D$2:D$401,MATCH(48,DATA2027!L$2:L$401,0)),"")</f>
        <v/>
      </c>
    </row>
    <row r="66" spans="2:16" ht="24.75" customHeight="1">
      <c r="B66" s="16" t="str">
        <f>IFERROR(INDEX(DATA2027!B$2:B$401,MATCH(49,DATA2027!I$2:I$401,0)),"")</f>
        <v/>
      </c>
      <c r="C66" s="17" t="str">
        <f>IFERROR(INDEX(DATA2027!C$2:C$401,MATCH(49,DATA2027!I$2:I$401,0)),"")</f>
        <v/>
      </c>
      <c r="D66" s="17" t="str">
        <f>IFERROR(INDEX(DATA2027!D$2:D$401,MATCH(49,DATA2027!I$2:I$401,0)),"")</f>
        <v/>
      </c>
      <c r="F66" s="16" t="str">
        <f>IFERROR(INDEX(DATA2027!B$2:B$401,MATCH(49,DATA2027!J$2:J$401,0)),"")</f>
        <v/>
      </c>
      <c r="G66" s="17" t="str">
        <f>IFERROR(INDEX(DATA2027!C$2:C$401,MATCH(49,DATA2027!J$2:J$401,0)),"")</f>
        <v/>
      </c>
      <c r="H66" s="17" t="str">
        <f>IFERROR(INDEX(DATA2027!D$2:D$401,MATCH(49,DATA2027!J$2:J$401,0)),"")</f>
        <v/>
      </c>
      <c r="J66" s="16" t="str">
        <f>IFERROR(INDEX(DATA2027!B$2:B$401,MATCH(49,DATA2027!K$2:K$401,0)),"")</f>
        <v/>
      </c>
      <c r="K66" s="17" t="str">
        <f>IFERROR(INDEX(DATA2027!C$2:C$401,MATCH(49,DATA2027!K$2:K$401,0)),"")</f>
        <v/>
      </c>
      <c r="L66" s="17" t="str">
        <f>IFERROR(INDEX(DATA2027!D$2:D$401,MATCH(49,DATA2027!K$2:K$401,0)),"")</f>
        <v/>
      </c>
      <c r="N66" s="16" t="str">
        <f>IFERROR(INDEX(DATA2027!B$2:B$401,MATCH(49,DATA2027!L$2:L$401,0)),"")</f>
        <v/>
      </c>
      <c r="O66" s="17" t="str">
        <f>IFERROR(INDEX(DATA2027!C$2:C$401,MATCH(49,DATA2027!L$2:L$401,0)),"")</f>
        <v/>
      </c>
      <c r="P66" s="17" t="str">
        <f>IFERROR(INDEX(DATA2027!D$2:D$401,MATCH(49,DATA2027!L$2:L$401,0)),"")</f>
        <v/>
      </c>
    </row>
    <row r="67" spans="2:16" ht="24.75" customHeight="1">
      <c r="B67" s="18" t="str">
        <f>IFERROR(INDEX(DATA2027!B$2:B$401,MATCH(50,DATA2027!I$2:I$401,0)),"")</f>
        <v/>
      </c>
      <c r="C67" s="19" t="str">
        <f>IFERROR(INDEX(DATA2027!C$2:C$401,MATCH(50,DATA2027!I$2:I$401,0)),"")</f>
        <v/>
      </c>
      <c r="D67" s="19" t="str">
        <f>IFERROR(INDEX(DATA2027!D$2:D$401,MATCH(50,DATA2027!I$2:I$401,0)),"")</f>
        <v/>
      </c>
      <c r="F67" s="18" t="str">
        <f>IFERROR(INDEX(DATA2027!B$2:B$401,MATCH(50,DATA2027!J$2:J$401,0)),"")</f>
        <v/>
      </c>
      <c r="G67" s="19" t="str">
        <f>IFERROR(INDEX(DATA2027!C$2:C$401,MATCH(50,DATA2027!J$2:J$401,0)),"")</f>
        <v/>
      </c>
      <c r="H67" s="19" t="str">
        <f>IFERROR(INDEX(DATA2027!D$2:D$401,MATCH(50,DATA2027!J$2:J$401,0)),"")</f>
        <v/>
      </c>
      <c r="J67" s="18" t="str">
        <f>IFERROR(INDEX(DATA2027!B$2:B$401,MATCH(50,DATA2027!K$2:K$401,0)),"")</f>
        <v/>
      </c>
      <c r="K67" s="19" t="str">
        <f>IFERROR(INDEX(DATA2027!C$2:C$401,MATCH(50,DATA2027!K$2:K$401,0)),"")</f>
        <v/>
      </c>
      <c r="L67" s="19" t="str">
        <f>IFERROR(INDEX(DATA2027!D$2:D$401,MATCH(50,DATA2027!K$2:K$401,0)),"")</f>
        <v/>
      </c>
      <c r="N67" s="18" t="str">
        <f>IFERROR(INDEX(DATA2027!B$2:B$401,MATCH(50,DATA2027!L$2:L$401,0)),"")</f>
        <v/>
      </c>
      <c r="O67" s="19" t="str">
        <f>IFERROR(INDEX(DATA2027!C$2:C$401,MATCH(50,DATA2027!L$2:L$401,0)),"")</f>
        <v/>
      </c>
      <c r="P67" s="19" t="str">
        <f>IFERROR(INDEX(DATA2027!D$2:D$401,MATCH(50,DATA2027!L$2:L$401,0)),"")</f>
        <v/>
      </c>
    </row>
    <row r="68" spans="2:16" ht="24.75" customHeight="1">
      <c r="B68" s="16" t="str">
        <f>IFERROR(INDEX(DATA2027!B$2:B$401,MATCH(51,DATA2027!I$2:I$401,0)),"")</f>
        <v/>
      </c>
      <c r="C68" s="17" t="str">
        <f>IFERROR(INDEX(DATA2027!C$2:C$401,MATCH(51,DATA2027!I$2:I$401,0)),"")</f>
        <v/>
      </c>
      <c r="D68" s="17" t="str">
        <f>IFERROR(INDEX(DATA2027!D$2:D$401,MATCH(51,DATA2027!I$2:I$401,0)),"")</f>
        <v/>
      </c>
      <c r="F68" s="16" t="str">
        <f>IFERROR(INDEX(DATA2027!B$2:B$401,MATCH(51,DATA2027!J$2:J$401,0)),"")</f>
        <v/>
      </c>
      <c r="G68" s="17" t="str">
        <f>IFERROR(INDEX(DATA2027!C$2:C$401,MATCH(51,DATA2027!J$2:J$401,0)),"")</f>
        <v/>
      </c>
      <c r="H68" s="17" t="str">
        <f>IFERROR(INDEX(DATA2027!D$2:D$401,MATCH(51,DATA2027!J$2:J$401,0)),"")</f>
        <v/>
      </c>
      <c r="J68" s="16" t="str">
        <f>IFERROR(INDEX(DATA2027!B$2:B$401,MATCH(51,DATA2027!K$2:K$401,0)),"")</f>
        <v/>
      </c>
      <c r="K68" s="17" t="str">
        <f>IFERROR(INDEX(DATA2027!C$2:C$401,MATCH(51,DATA2027!K$2:K$401,0)),"")</f>
        <v/>
      </c>
      <c r="L68" s="17" t="str">
        <f>IFERROR(INDEX(DATA2027!D$2:D$401,MATCH(51,DATA2027!K$2:K$401,0)),"")</f>
        <v/>
      </c>
      <c r="N68" s="16" t="str">
        <f>IFERROR(INDEX(DATA2027!B$2:B$401,MATCH(51,DATA2027!L$2:L$401,0)),"")</f>
        <v/>
      </c>
      <c r="O68" s="17" t="str">
        <f>IFERROR(INDEX(DATA2027!C$2:C$401,MATCH(51,DATA2027!L$2:L$401,0)),"")</f>
        <v/>
      </c>
      <c r="P68" s="17" t="str">
        <f>IFERROR(INDEX(DATA2027!D$2:D$401,MATCH(51,DATA2027!L$2:L$401,0)),"")</f>
        <v/>
      </c>
    </row>
    <row r="69" spans="2:16" ht="24.75" customHeight="1">
      <c r="B69" s="18" t="str">
        <f>IFERROR(INDEX(DATA2027!B$2:B$401,MATCH(52,DATA2027!I$2:I$401,0)),"")</f>
        <v/>
      </c>
      <c r="C69" s="19" t="str">
        <f>IFERROR(INDEX(DATA2027!C$2:C$401,MATCH(52,DATA2027!I$2:I$401,0)),"")</f>
        <v/>
      </c>
      <c r="D69" s="19" t="str">
        <f>IFERROR(INDEX(DATA2027!D$2:D$401,MATCH(52,DATA2027!I$2:I$401,0)),"")</f>
        <v/>
      </c>
      <c r="F69" s="18" t="str">
        <f>IFERROR(INDEX(DATA2027!B$2:B$401,MATCH(52,DATA2027!J$2:J$401,0)),"")</f>
        <v/>
      </c>
      <c r="G69" s="19" t="str">
        <f>IFERROR(INDEX(DATA2027!C$2:C$401,MATCH(52,DATA2027!J$2:J$401,0)),"")</f>
        <v/>
      </c>
      <c r="H69" s="19" t="str">
        <f>IFERROR(INDEX(DATA2027!D$2:D$401,MATCH(52,DATA2027!J$2:J$401,0)),"")</f>
        <v/>
      </c>
      <c r="J69" s="18" t="str">
        <f>IFERROR(INDEX(DATA2027!B$2:B$401,MATCH(52,DATA2027!K$2:K$401,0)),"")</f>
        <v/>
      </c>
      <c r="K69" s="19" t="str">
        <f>IFERROR(INDEX(DATA2027!C$2:C$401,MATCH(52,DATA2027!K$2:K$401,0)),"")</f>
        <v/>
      </c>
      <c r="L69" s="19" t="str">
        <f>IFERROR(INDEX(DATA2027!D$2:D$401,MATCH(52,DATA2027!K$2:K$401,0)),"")</f>
        <v/>
      </c>
      <c r="N69" s="18" t="str">
        <f>IFERROR(INDEX(DATA2027!B$2:B$401,MATCH(52,DATA2027!L$2:L$401,0)),"")</f>
        <v/>
      </c>
      <c r="O69" s="19" t="str">
        <f>IFERROR(INDEX(DATA2027!C$2:C$401,MATCH(52,DATA2027!L$2:L$401,0)),"")</f>
        <v/>
      </c>
      <c r="P69" s="19" t="str">
        <f>IFERROR(INDEX(DATA2027!D$2:D$401,MATCH(52,DATA2027!L$2:L$401,0)),"")</f>
        <v/>
      </c>
    </row>
    <row r="70" spans="2:16" ht="24.75" customHeight="1">
      <c r="B70" s="16" t="str">
        <f>IFERROR(INDEX(DATA2027!B$2:B$401,MATCH(53,DATA2027!I$2:I$401,0)),"")</f>
        <v/>
      </c>
      <c r="C70" s="17" t="str">
        <f>IFERROR(INDEX(DATA2027!C$2:C$401,MATCH(53,DATA2027!I$2:I$401,0)),"")</f>
        <v/>
      </c>
      <c r="D70" s="17" t="str">
        <f>IFERROR(INDEX(DATA2027!D$2:D$401,MATCH(53,DATA2027!I$2:I$401,0)),"")</f>
        <v/>
      </c>
      <c r="F70" s="16" t="str">
        <f>IFERROR(INDEX(DATA2027!B$2:B$401,MATCH(53,DATA2027!J$2:J$401,0)),"")</f>
        <v/>
      </c>
      <c r="G70" s="17" t="str">
        <f>IFERROR(INDEX(DATA2027!C$2:C$401,MATCH(53,DATA2027!J$2:J$401,0)),"")</f>
        <v/>
      </c>
      <c r="H70" s="17" t="str">
        <f>IFERROR(INDEX(DATA2027!D$2:D$401,MATCH(53,DATA2027!J$2:J$401,0)),"")</f>
        <v/>
      </c>
      <c r="J70" s="16" t="str">
        <f>IFERROR(INDEX(DATA2027!B$2:B$401,MATCH(53,DATA2027!K$2:K$401,0)),"")</f>
        <v/>
      </c>
      <c r="K70" s="17" t="str">
        <f>IFERROR(INDEX(DATA2027!C$2:C$401,MATCH(53,DATA2027!K$2:K$401,0)),"")</f>
        <v/>
      </c>
      <c r="L70" s="17" t="str">
        <f>IFERROR(INDEX(DATA2027!D$2:D$401,MATCH(53,DATA2027!K$2:K$401,0)),"")</f>
        <v/>
      </c>
      <c r="N70" s="16" t="str">
        <f>IFERROR(INDEX(DATA2027!B$2:B$401,MATCH(53,DATA2027!L$2:L$401,0)),"")</f>
        <v/>
      </c>
      <c r="O70" s="17" t="str">
        <f>IFERROR(INDEX(DATA2027!C$2:C$401,MATCH(53,DATA2027!L$2:L$401,0)),"")</f>
        <v/>
      </c>
      <c r="P70" s="17" t="str">
        <f>IFERROR(INDEX(DATA2027!D$2:D$401,MATCH(53,DATA2027!L$2:L$401,0)),"")</f>
        <v/>
      </c>
    </row>
    <row r="71" spans="2:16" ht="24.75" customHeight="1">
      <c r="B71" s="18" t="str">
        <f>IFERROR(INDEX(DATA2027!B$2:B$401,MATCH(54,DATA2027!I$2:I$401,0)),"")</f>
        <v/>
      </c>
      <c r="C71" s="19" t="str">
        <f>IFERROR(INDEX(DATA2027!C$2:C$401,MATCH(54,DATA2027!I$2:I$401,0)),"")</f>
        <v/>
      </c>
      <c r="D71" s="19" t="str">
        <f>IFERROR(INDEX(DATA2027!D$2:D$401,MATCH(54,DATA2027!I$2:I$401,0)),"")</f>
        <v/>
      </c>
      <c r="F71" s="18" t="str">
        <f>IFERROR(INDEX(DATA2027!B$2:B$401,MATCH(54,DATA2027!J$2:J$401,0)),"")</f>
        <v/>
      </c>
      <c r="G71" s="19" t="str">
        <f>IFERROR(INDEX(DATA2027!C$2:C$401,MATCH(54,DATA2027!J$2:J$401,0)),"")</f>
        <v/>
      </c>
      <c r="H71" s="19" t="str">
        <f>IFERROR(INDEX(DATA2027!D$2:D$401,MATCH(54,DATA2027!J$2:J$401,0)),"")</f>
        <v/>
      </c>
      <c r="J71" s="18" t="str">
        <f>IFERROR(INDEX(DATA2027!B$2:B$401,MATCH(54,DATA2027!K$2:K$401,0)),"")</f>
        <v/>
      </c>
      <c r="K71" s="19" t="str">
        <f>IFERROR(INDEX(DATA2027!C$2:C$401,MATCH(54,DATA2027!K$2:K$401,0)),"")</f>
        <v/>
      </c>
      <c r="L71" s="19" t="str">
        <f>IFERROR(INDEX(DATA2027!D$2:D$401,MATCH(54,DATA2027!K$2:K$401,0)),"")</f>
        <v/>
      </c>
      <c r="N71" s="18" t="str">
        <f>IFERROR(INDEX(DATA2027!B$2:B$401,MATCH(54,DATA2027!L$2:L$401,0)),"")</f>
        <v/>
      </c>
      <c r="O71" s="19" t="str">
        <f>IFERROR(INDEX(DATA2027!C$2:C$401,MATCH(54,DATA2027!L$2:L$401,0)),"")</f>
        <v/>
      </c>
      <c r="P71" s="19" t="str">
        <f>IFERROR(INDEX(DATA2027!D$2:D$401,MATCH(54,DATA2027!L$2:L$401,0)),"")</f>
        <v/>
      </c>
    </row>
    <row r="72" spans="2:16" ht="24.75" customHeight="1">
      <c r="B72" s="16" t="str">
        <f>IFERROR(INDEX(DATA2027!B$2:B$401,MATCH(55,DATA2027!I$2:I$401,0)),"")</f>
        <v/>
      </c>
      <c r="C72" s="17" t="str">
        <f>IFERROR(INDEX(DATA2027!C$2:C$401,MATCH(55,DATA2027!I$2:I$401,0)),"")</f>
        <v/>
      </c>
      <c r="D72" s="17" t="str">
        <f>IFERROR(INDEX(DATA2027!D$2:D$401,MATCH(55,DATA2027!I$2:I$401,0)),"")</f>
        <v/>
      </c>
      <c r="F72" s="16" t="str">
        <f>IFERROR(INDEX(DATA2027!B$2:B$401,MATCH(55,DATA2027!J$2:J$401,0)),"")</f>
        <v/>
      </c>
      <c r="G72" s="17" t="str">
        <f>IFERROR(INDEX(DATA2027!C$2:C$401,MATCH(55,DATA2027!J$2:J$401,0)),"")</f>
        <v/>
      </c>
      <c r="H72" s="17" t="str">
        <f>IFERROR(INDEX(DATA2027!D$2:D$401,MATCH(55,DATA2027!J$2:J$401,0)),"")</f>
        <v/>
      </c>
      <c r="J72" s="16" t="str">
        <f>IFERROR(INDEX(DATA2027!B$2:B$401,MATCH(55,DATA2027!K$2:K$401,0)),"")</f>
        <v/>
      </c>
      <c r="K72" s="17" t="str">
        <f>IFERROR(INDEX(DATA2027!C$2:C$401,MATCH(55,DATA2027!K$2:K$401,0)),"")</f>
        <v/>
      </c>
      <c r="L72" s="17" t="str">
        <f>IFERROR(INDEX(DATA2027!D$2:D$401,MATCH(55,DATA2027!K$2:K$401,0)),"")</f>
        <v/>
      </c>
      <c r="N72" s="16" t="str">
        <f>IFERROR(INDEX(DATA2027!B$2:B$401,MATCH(55,DATA2027!L$2:L$401,0)),"")</f>
        <v/>
      </c>
      <c r="O72" s="17" t="str">
        <f>IFERROR(INDEX(DATA2027!C$2:C$401,MATCH(55,DATA2027!L$2:L$401,0)),"")</f>
        <v/>
      </c>
      <c r="P72" s="17" t="str">
        <f>IFERROR(INDEX(DATA2027!D$2:D$401,MATCH(55,DATA2027!L$2:L$401,0)),"")</f>
        <v/>
      </c>
    </row>
    <row r="73" spans="2:16" ht="24.75" customHeight="1">
      <c r="B73" s="18" t="str">
        <f>IFERROR(INDEX(DATA2027!B$2:B$401,MATCH(56,DATA2027!I$2:I$401,0)),"")</f>
        <v/>
      </c>
      <c r="C73" s="19" t="str">
        <f>IFERROR(INDEX(DATA2027!C$2:C$401,MATCH(56,DATA2027!I$2:I$401,0)),"")</f>
        <v/>
      </c>
      <c r="D73" s="19" t="str">
        <f>IFERROR(INDEX(DATA2027!D$2:D$401,MATCH(56,DATA2027!I$2:I$401,0)),"")</f>
        <v/>
      </c>
      <c r="F73" s="18" t="str">
        <f>IFERROR(INDEX(DATA2027!B$2:B$401,MATCH(56,DATA2027!J$2:J$401,0)),"")</f>
        <v/>
      </c>
      <c r="G73" s="19" t="str">
        <f>IFERROR(INDEX(DATA2027!C$2:C$401,MATCH(56,DATA2027!J$2:J$401,0)),"")</f>
        <v/>
      </c>
      <c r="H73" s="19" t="str">
        <f>IFERROR(INDEX(DATA2027!D$2:D$401,MATCH(56,DATA2027!J$2:J$401,0)),"")</f>
        <v/>
      </c>
      <c r="J73" s="18" t="str">
        <f>IFERROR(INDEX(DATA2027!B$2:B$401,MATCH(56,DATA2027!K$2:K$401,0)),"")</f>
        <v/>
      </c>
      <c r="K73" s="19" t="str">
        <f>IFERROR(INDEX(DATA2027!C$2:C$401,MATCH(56,DATA2027!K$2:K$401,0)),"")</f>
        <v/>
      </c>
      <c r="L73" s="19" t="str">
        <f>IFERROR(INDEX(DATA2027!D$2:D$401,MATCH(56,DATA2027!K$2:K$401,0)),"")</f>
        <v/>
      </c>
      <c r="N73" s="18" t="str">
        <f>IFERROR(INDEX(DATA2027!B$2:B$401,MATCH(56,DATA2027!L$2:L$401,0)),"")</f>
        <v/>
      </c>
      <c r="O73" s="19" t="str">
        <f>IFERROR(INDEX(DATA2027!C$2:C$401,MATCH(56,DATA2027!L$2:L$401,0)),"")</f>
        <v/>
      </c>
      <c r="P73" s="19" t="str">
        <f>IFERROR(INDEX(DATA2027!D$2:D$401,MATCH(56,DATA2027!L$2:L$401,0)),"")</f>
        <v/>
      </c>
    </row>
    <row r="74" spans="2:16" ht="24.75" customHeight="1">
      <c r="B74" s="16" t="str">
        <f>IFERROR(INDEX(DATA2027!B$2:B$401,MATCH(57,DATA2027!I$2:I$401,0)),"")</f>
        <v/>
      </c>
      <c r="C74" s="17" t="str">
        <f>IFERROR(INDEX(DATA2027!C$2:C$401,MATCH(57,DATA2027!I$2:I$401,0)),"")</f>
        <v/>
      </c>
      <c r="D74" s="17" t="str">
        <f>IFERROR(INDEX(DATA2027!D$2:D$401,MATCH(57,DATA2027!I$2:I$401,0)),"")</f>
        <v/>
      </c>
      <c r="F74" s="16" t="str">
        <f>IFERROR(INDEX(DATA2027!B$2:B$401,MATCH(57,DATA2027!J$2:J$401,0)),"")</f>
        <v/>
      </c>
      <c r="G74" s="17" t="str">
        <f>IFERROR(INDEX(DATA2027!C$2:C$401,MATCH(57,DATA2027!J$2:J$401,0)),"")</f>
        <v/>
      </c>
      <c r="H74" s="17" t="str">
        <f>IFERROR(INDEX(DATA2027!D$2:D$401,MATCH(57,DATA2027!J$2:J$401,0)),"")</f>
        <v/>
      </c>
      <c r="J74" s="16" t="str">
        <f>IFERROR(INDEX(DATA2027!B$2:B$401,MATCH(57,DATA2027!K$2:K$401,0)),"")</f>
        <v/>
      </c>
      <c r="K74" s="17" t="str">
        <f>IFERROR(INDEX(DATA2027!C$2:C$401,MATCH(57,DATA2027!K$2:K$401,0)),"")</f>
        <v/>
      </c>
      <c r="L74" s="17" t="str">
        <f>IFERROR(INDEX(DATA2027!D$2:D$401,MATCH(57,DATA2027!K$2:K$401,0)),"")</f>
        <v/>
      </c>
      <c r="N74" s="16" t="str">
        <f>IFERROR(INDEX(DATA2027!B$2:B$401,MATCH(57,DATA2027!L$2:L$401,0)),"")</f>
        <v/>
      </c>
      <c r="O74" s="17" t="str">
        <f>IFERROR(INDEX(DATA2027!C$2:C$401,MATCH(57,DATA2027!L$2:L$401,0)),"")</f>
        <v/>
      </c>
      <c r="P74" s="17" t="str">
        <f>IFERROR(INDEX(DATA2027!D$2:D$401,MATCH(57,DATA2027!L$2:L$401,0)),"")</f>
        <v/>
      </c>
    </row>
    <row r="75" spans="2:16" ht="24.75" customHeight="1">
      <c r="B75" s="18" t="str">
        <f>IFERROR(INDEX(DATA2027!B$2:B$401,MATCH(58,DATA2027!I$2:I$401,0)),"")</f>
        <v/>
      </c>
      <c r="C75" s="19" t="str">
        <f>IFERROR(INDEX(DATA2027!C$2:C$401,MATCH(58,DATA2027!I$2:I$401,0)),"")</f>
        <v/>
      </c>
      <c r="D75" s="19" t="str">
        <f>IFERROR(INDEX(DATA2027!D$2:D$401,MATCH(58,DATA2027!I$2:I$401,0)),"")</f>
        <v/>
      </c>
      <c r="F75" s="18" t="str">
        <f>IFERROR(INDEX(DATA2027!B$2:B$401,MATCH(58,DATA2027!J$2:J$401,0)),"")</f>
        <v/>
      </c>
      <c r="G75" s="19" t="str">
        <f>IFERROR(INDEX(DATA2027!C$2:C$401,MATCH(58,DATA2027!J$2:J$401,0)),"")</f>
        <v/>
      </c>
      <c r="H75" s="19" t="str">
        <f>IFERROR(INDEX(DATA2027!D$2:D$401,MATCH(58,DATA2027!J$2:J$401,0)),"")</f>
        <v/>
      </c>
      <c r="J75" s="18" t="str">
        <f>IFERROR(INDEX(DATA2027!B$2:B$401,MATCH(58,DATA2027!K$2:K$401,0)),"")</f>
        <v/>
      </c>
      <c r="K75" s="19" t="str">
        <f>IFERROR(INDEX(DATA2027!C$2:C$401,MATCH(58,DATA2027!K$2:K$401,0)),"")</f>
        <v/>
      </c>
      <c r="L75" s="19" t="str">
        <f>IFERROR(INDEX(DATA2027!D$2:D$401,MATCH(58,DATA2027!K$2:K$401,0)),"")</f>
        <v/>
      </c>
      <c r="N75" s="18" t="str">
        <f>IFERROR(INDEX(DATA2027!B$2:B$401,MATCH(58,DATA2027!L$2:L$401,0)),"")</f>
        <v/>
      </c>
      <c r="O75" s="19" t="str">
        <f>IFERROR(INDEX(DATA2027!C$2:C$401,MATCH(58,DATA2027!L$2:L$401,0)),"")</f>
        <v/>
      </c>
      <c r="P75" s="19" t="str">
        <f>IFERROR(INDEX(DATA2027!D$2:D$401,MATCH(58,DATA2027!L$2:L$401,0)),"")</f>
        <v/>
      </c>
    </row>
    <row r="76" spans="2:16" ht="24.75" customHeight="1">
      <c r="B76" s="16" t="str">
        <f>IFERROR(INDEX(DATA2027!B$2:B$401,MATCH(59,DATA2027!I$2:I$401,0)),"")</f>
        <v/>
      </c>
      <c r="C76" s="17" t="str">
        <f>IFERROR(INDEX(DATA2027!C$2:C$401,MATCH(59,DATA2027!I$2:I$401,0)),"")</f>
        <v/>
      </c>
      <c r="D76" s="17" t="str">
        <f>IFERROR(INDEX(DATA2027!D$2:D$401,MATCH(59,DATA2027!I$2:I$401,0)),"")</f>
        <v/>
      </c>
      <c r="F76" s="16" t="str">
        <f>IFERROR(INDEX(DATA2027!B$2:B$401,MATCH(59,DATA2027!J$2:J$401,0)),"")</f>
        <v/>
      </c>
      <c r="G76" s="17" t="str">
        <f>IFERROR(INDEX(DATA2027!C$2:C$401,MATCH(59,DATA2027!J$2:J$401,0)),"")</f>
        <v/>
      </c>
      <c r="H76" s="17" t="str">
        <f>IFERROR(INDEX(DATA2027!D$2:D$401,MATCH(59,DATA2027!J$2:J$401,0)),"")</f>
        <v/>
      </c>
      <c r="J76" s="16" t="str">
        <f>IFERROR(INDEX(DATA2027!B$2:B$401,MATCH(59,DATA2027!K$2:K$401,0)),"")</f>
        <v/>
      </c>
      <c r="K76" s="17" t="str">
        <f>IFERROR(INDEX(DATA2027!C$2:C$401,MATCH(59,DATA2027!K$2:K$401,0)),"")</f>
        <v/>
      </c>
      <c r="L76" s="17" t="str">
        <f>IFERROR(INDEX(DATA2027!D$2:D$401,MATCH(59,DATA2027!K$2:K$401,0)),"")</f>
        <v/>
      </c>
      <c r="N76" s="16" t="str">
        <f>IFERROR(INDEX(DATA2027!B$2:B$401,MATCH(59,DATA2027!L$2:L$401,0)),"")</f>
        <v/>
      </c>
      <c r="O76" s="17" t="str">
        <f>IFERROR(INDEX(DATA2027!C$2:C$401,MATCH(59,DATA2027!L$2:L$401,0)),"")</f>
        <v/>
      </c>
      <c r="P76" s="17" t="str">
        <f>IFERROR(INDEX(DATA2027!D$2:D$401,MATCH(59,DATA2027!L$2:L$401,0)),"")</f>
        <v/>
      </c>
    </row>
    <row r="77" spans="2:16" ht="24.75" customHeight="1">
      <c r="B77" s="18" t="str">
        <f>IFERROR(INDEX(DATA2027!B$2:B$401,MATCH(60,DATA2027!I$2:I$401,0)),"")</f>
        <v/>
      </c>
      <c r="C77" s="19" t="str">
        <f>IFERROR(INDEX(DATA2027!C$2:C$401,MATCH(60,DATA2027!I$2:I$401,0)),"")</f>
        <v/>
      </c>
      <c r="D77" s="19" t="str">
        <f>IFERROR(INDEX(DATA2027!D$2:D$401,MATCH(60,DATA2027!I$2:I$401,0)),"")</f>
        <v/>
      </c>
      <c r="F77" s="18" t="str">
        <f>IFERROR(INDEX(DATA2027!B$2:B$401,MATCH(60,DATA2027!J$2:J$401,0)),"")</f>
        <v/>
      </c>
      <c r="G77" s="19" t="str">
        <f>IFERROR(INDEX(DATA2027!C$2:C$401,MATCH(60,DATA2027!J$2:J$401,0)),"")</f>
        <v/>
      </c>
      <c r="H77" s="19" t="str">
        <f>IFERROR(INDEX(DATA2027!D$2:D$401,MATCH(60,DATA2027!J$2:J$401,0)),"")</f>
        <v/>
      </c>
      <c r="J77" s="18" t="str">
        <f>IFERROR(INDEX(DATA2027!B$2:B$401,MATCH(60,DATA2027!K$2:K$401,0)),"")</f>
        <v/>
      </c>
      <c r="K77" s="19" t="str">
        <f>IFERROR(INDEX(DATA2027!C$2:C$401,MATCH(60,DATA2027!K$2:K$401,0)),"")</f>
        <v/>
      </c>
      <c r="L77" s="19" t="str">
        <f>IFERROR(INDEX(DATA2027!D$2:D$401,MATCH(60,DATA2027!K$2:K$401,0)),"")</f>
        <v/>
      </c>
      <c r="N77" s="18" t="str">
        <f>IFERROR(INDEX(DATA2027!B$2:B$401,MATCH(60,DATA2027!L$2:L$401,0)),"")</f>
        <v/>
      </c>
      <c r="O77" s="19" t="str">
        <f>IFERROR(INDEX(DATA2027!C$2:C$401,MATCH(60,DATA2027!L$2:L$401,0)),"")</f>
        <v/>
      </c>
      <c r="P77" s="19" t="str">
        <f>IFERROR(INDEX(DATA2027!D$2:D$401,MATCH(60,DATA2027!L$2:L$401,0)),"")</f>
        <v/>
      </c>
    </row>
    <row r="78" spans="2:16" ht="24.75" customHeight="1">
      <c r="B78" s="16" t="str">
        <f>IFERROR(INDEX(DATA2027!B$2:B$401,MATCH(61,DATA2027!I$2:I$401,0)),"")</f>
        <v/>
      </c>
      <c r="C78" s="17" t="str">
        <f>IFERROR(INDEX(DATA2027!C$2:C$401,MATCH(61,DATA2027!I$2:I$401,0)),"")</f>
        <v/>
      </c>
      <c r="D78" s="17" t="str">
        <f>IFERROR(INDEX(DATA2027!D$2:D$401,MATCH(61,DATA2027!I$2:I$401,0)),"")</f>
        <v/>
      </c>
      <c r="F78" s="16" t="str">
        <f>IFERROR(INDEX(DATA2027!B$2:B$401,MATCH(61,DATA2027!J$2:J$401,0)),"")</f>
        <v/>
      </c>
      <c r="G78" s="17" t="str">
        <f>IFERROR(INDEX(DATA2027!C$2:C$401,MATCH(61,DATA2027!J$2:J$401,0)),"")</f>
        <v/>
      </c>
      <c r="H78" s="17" t="str">
        <f>IFERROR(INDEX(DATA2027!D$2:D$401,MATCH(61,DATA2027!J$2:J$401,0)),"")</f>
        <v/>
      </c>
      <c r="J78" s="16" t="str">
        <f>IFERROR(INDEX(DATA2027!B$2:B$401,MATCH(61,DATA2027!K$2:K$401,0)),"")</f>
        <v/>
      </c>
      <c r="K78" s="17" t="str">
        <f>IFERROR(INDEX(DATA2027!C$2:C$401,MATCH(61,DATA2027!K$2:K$401,0)),"")</f>
        <v/>
      </c>
      <c r="L78" s="17" t="str">
        <f>IFERROR(INDEX(DATA2027!D$2:D$401,MATCH(61,DATA2027!K$2:K$401,0)),"")</f>
        <v/>
      </c>
      <c r="N78" s="16" t="str">
        <f>IFERROR(INDEX(DATA2027!B$2:B$401,MATCH(61,DATA2027!L$2:L$401,0)),"")</f>
        <v/>
      </c>
      <c r="O78" s="17" t="str">
        <f>IFERROR(INDEX(DATA2027!C$2:C$401,MATCH(61,DATA2027!L$2:L$401,0)),"")</f>
        <v/>
      </c>
      <c r="P78" s="17" t="str">
        <f>IFERROR(INDEX(DATA2027!D$2:D$401,MATCH(61,DATA2027!L$2:L$401,0)),"")</f>
        <v/>
      </c>
    </row>
    <row r="79" spans="2:16" ht="24.75" customHeight="1">
      <c r="B79" s="18" t="str">
        <f>IFERROR(INDEX(DATA2027!B$2:B$401,MATCH(62,DATA2027!I$2:I$401,0)),"")</f>
        <v/>
      </c>
      <c r="C79" s="19" t="str">
        <f>IFERROR(INDEX(DATA2027!C$2:C$401,MATCH(62,DATA2027!I$2:I$401,0)),"")</f>
        <v/>
      </c>
      <c r="D79" s="19" t="str">
        <f>IFERROR(INDEX(DATA2027!D$2:D$401,MATCH(62,DATA2027!I$2:I$401,0)),"")</f>
        <v/>
      </c>
      <c r="F79" s="18" t="str">
        <f>IFERROR(INDEX(DATA2027!B$2:B$401,MATCH(62,DATA2027!J$2:J$401,0)),"")</f>
        <v/>
      </c>
      <c r="G79" s="19" t="str">
        <f>IFERROR(INDEX(DATA2027!C$2:C$401,MATCH(62,DATA2027!J$2:J$401,0)),"")</f>
        <v/>
      </c>
      <c r="H79" s="19" t="str">
        <f>IFERROR(INDEX(DATA2027!D$2:D$401,MATCH(62,DATA2027!J$2:J$401,0)),"")</f>
        <v/>
      </c>
      <c r="J79" s="18" t="str">
        <f>IFERROR(INDEX(DATA2027!B$2:B$401,MATCH(62,DATA2027!K$2:K$401,0)),"")</f>
        <v/>
      </c>
      <c r="K79" s="19" t="str">
        <f>IFERROR(INDEX(DATA2027!C$2:C$401,MATCH(62,DATA2027!K$2:K$401,0)),"")</f>
        <v/>
      </c>
      <c r="L79" s="19" t="str">
        <f>IFERROR(INDEX(DATA2027!D$2:D$401,MATCH(62,DATA2027!K$2:K$401,0)),"")</f>
        <v/>
      </c>
      <c r="N79" s="18" t="str">
        <f>IFERROR(INDEX(DATA2027!B$2:B$401,MATCH(62,DATA2027!L$2:L$401,0)),"")</f>
        <v/>
      </c>
      <c r="O79" s="19" t="str">
        <f>IFERROR(INDEX(DATA2027!C$2:C$401,MATCH(62,DATA2027!L$2:L$401,0)),"")</f>
        <v/>
      </c>
      <c r="P79" s="19" t="str">
        <f>IFERROR(INDEX(DATA2027!D$2:D$401,MATCH(62,DATA2027!L$2:L$401,0)),"")</f>
        <v/>
      </c>
    </row>
    <row r="80" spans="2:16" ht="24.75" customHeight="1">
      <c r="B80" s="16" t="str">
        <f>IFERROR(INDEX(DATA2027!B$2:B$401,MATCH(63,DATA2027!I$2:I$401,0)),"")</f>
        <v/>
      </c>
      <c r="C80" s="17" t="str">
        <f>IFERROR(INDEX(DATA2027!C$2:C$401,MATCH(63,DATA2027!I$2:I$401,0)),"")</f>
        <v/>
      </c>
      <c r="D80" s="17" t="str">
        <f>IFERROR(INDEX(DATA2027!D$2:D$401,MATCH(63,DATA2027!I$2:I$401,0)),"")</f>
        <v/>
      </c>
      <c r="F80" s="16" t="str">
        <f>IFERROR(INDEX(DATA2027!B$2:B$401,MATCH(63,DATA2027!J$2:J$401,0)),"")</f>
        <v/>
      </c>
      <c r="G80" s="17" t="str">
        <f>IFERROR(INDEX(DATA2027!C$2:C$401,MATCH(63,DATA2027!J$2:J$401,0)),"")</f>
        <v/>
      </c>
      <c r="H80" s="17" t="str">
        <f>IFERROR(INDEX(DATA2027!D$2:D$401,MATCH(63,DATA2027!J$2:J$401,0)),"")</f>
        <v/>
      </c>
      <c r="J80" s="16" t="str">
        <f>IFERROR(INDEX(DATA2027!B$2:B$401,MATCH(63,DATA2027!K$2:K$401,0)),"")</f>
        <v/>
      </c>
      <c r="K80" s="17" t="str">
        <f>IFERROR(INDEX(DATA2027!C$2:C$401,MATCH(63,DATA2027!K$2:K$401,0)),"")</f>
        <v/>
      </c>
      <c r="L80" s="17" t="str">
        <f>IFERROR(INDEX(DATA2027!D$2:D$401,MATCH(63,DATA2027!K$2:K$401,0)),"")</f>
        <v/>
      </c>
      <c r="N80" s="16" t="str">
        <f>IFERROR(INDEX(DATA2027!B$2:B$401,MATCH(63,DATA2027!L$2:L$401,0)),"")</f>
        <v/>
      </c>
      <c r="O80" s="17" t="str">
        <f>IFERROR(INDEX(DATA2027!C$2:C$401,MATCH(63,DATA2027!L$2:L$401,0)),"")</f>
        <v/>
      </c>
      <c r="P80" s="17" t="str">
        <f>IFERROR(INDEX(DATA2027!D$2:D$401,MATCH(63,DATA2027!L$2:L$401,0)),"")</f>
        <v/>
      </c>
    </row>
    <row r="81" spans="2:16" ht="24.75" customHeight="1">
      <c r="B81" s="18" t="str">
        <f>IFERROR(INDEX(DATA2027!B$2:B$401,MATCH(64,DATA2027!I$2:I$401,0)),"")</f>
        <v/>
      </c>
      <c r="C81" s="19" t="str">
        <f>IFERROR(INDEX(DATA2027!C$2:C$401,MATCH(64,DATA2027!I$2:I$401,0)),"")</f>
        <v/>
      </c>
      <c r="D81" s="19" t="str">
        <f>IFERROR(INDEX(DATA2027!D$2:D$401,MATCH(64,DATA2027!I$2:I$401,0)),"")</f>
        <v/>
      </c>
      <c r="F81" s="18" t="str">
        <f>IFERROR(INDEX(DATA2027!B$2:B$401,MATCH(64,DATA2027!J$2:J$401,0)),"")</f>
        <v/>
      </c>
      <c r="G81" s="19" t="str">
        <f>IFERROR(INDEX(DATA2027!C$2:C$401,MATCH(64,DATA2027!J$2:J$401,0)),"")</f>
        <v/>
      </c>
      <c r="H81" s="19" t="str">
        <f>IFERROR(INDEX(DATA2027!D$2:D$401,MATCH(64,DATA2027!J$2:J$401,0)),"")</f>
        <v/>
      </c>
      <c r="J81" s="18" t="str">
        <f>IFERROR(INDEX(DATA2027!B$2:B$401,MATCH(64,DATA2027!K$2:K$401,0)),"")</f>
        <v/>
      </c>
      <c r="K81" s="19" t="str">
        <f>IFERROR(INDEX(DATA2027!C$2:C$401,MATCH(64,DATA2027!K$2:K$401,0)),"")</f>
        <v/>
      </c>
      <c r="L81" s="19" t="str">
        <f>IFERROR(INDEX(DATA2027!D$2:D$401,MATCH(64,DATA2027!K$2:K$401,0)),"")</f>
        <v/>
      </c>
      <c r="N81" s="18" t="str">
        <f>IFERROR(INDEX(DATA2027!B$2:B$401,MATCH(64,DATA2027!L$2:L$401,0)),"")</f>
        <v/>
      </c>
      <c r="O81" s="19" t="str">
        <f>IFERROR(INDEX(DATA2027!C$2:C$401,MATCH(64,DATA2027!L$2:L$401,0)),"")</f>
        <v/>
      </c>
      <c r="P81" s="19" t="str">
        <f>IFERROR(INDEX(DATA2027!D$2:D$401,MATCH(64,DATA2027!L$2:L$401,0)),"")</f>
        <v/>
      </c>
    </row>
    <row r="82" spans="2:16" ht="24.75" customHeight="1">
      <c r="B82" s="16" t="str">
        <f>IFERROR(INDEX(DATA2027!B$2:B$401,MATCH(65,DATA2027!I$2:I$401,0)),"")</f>
        <v/>
      </c>
      <c r="C82" s="17" t="str">
        <f>IFERROR(INDEX(DATA2027!C$2:C$401,MATCH(65,DATA2027!I$2:I$401,0)),"")</f>
        <v/>
      </c>
      <c r="D82" s="17" t="str">
        <f>IFERROR(INDEX(DATA2027!D$2:D$401,MATCH(65,DATA2027!I$2:I$401,0)),"")</f>
        <v/>
      </c>
      <c r="F82" s="16" t="str">
        <f>IFERROR(INDEX(DATA2027!B$2:B$401,MATCH(65,DATA2027!J$2:J$401,0)),"")</f>
        <v/>
      </c>
      <c r="G82" s="17" t="str">
        <f>IFERROR(INDEX(DATA2027!C$2:C$401,MATCH(65,DATA2027!J$2:J$401,0)),"")</f>
        <v/>
      </c>
      <c r="H82" s="17" t="str">
        <f>IFERROR(INDEX(DATA2027!D$2:D$401,MATCH(65,DATA2027!J$2:J$401,0)),"")</f>
        <v/>
      </c>
      <c r="J82" s="16" t="str">
        <f>IFERROR(INDEX(DATA2027!B$2:B$401,MATCH(65,DATA2027!K$2:K$401,0)),"")</f>
        <v/>
      </c>
      <c r="K82" s="17" t="str">
        <f>IFERROR(INDEX(DATA2027!C$2:C$401,MATCH(65,DATA2027!K$2:K$401,0)),"")</f>
        <v/>
      </c>
      <c r="L82" s="17" t="str">
        <f>IFERROR(INDEX(DATA2027!D$2:D$401,MATCH(65,DATA2027!K$2:K$401,0)),"")</f>
        <v/>
      </c>
      <c r="N82" s="16" t="str">
        <f>IFERROR(INDEX(DATA2027!B$2:B$401,MATCH(65,DATA2027!L$2:L$401,0)),"")</f>
        <v/>
      </c>
      <c r="O82" s="17" t="str">
        <f>IFERROR(INDEX(DATA2027!C$2:C$401,MATCH(65,DATA2027!L$2:L$401,0)),"")</f>
        <v/>
      </c>
      <c r="P82" s="17" t="str">
        <f>IFERROR(INDEX(DATA2027!D$2:D$401,MATCH(65,DATA2027!L$2:L$401,0)),"")</f>
        <v/>
      </c>
    </row>
    <row r="83" spans="2:16" ht="24.75" customHeight="1">
      <c r="B83" s="18" t="str">
        <f>IFERROR(INDEX(DATA2027!B$2:B$401,MATCH(66,DATA2027!I$2:I$401,0)),"")</f>
        <v/>
      </c>
      <c r="C83" s="19" t="str">
        <f>IFERROR(INDEX(DATA2027!C$2:C$401,MATCH(66,DATA2027!I$2:I$401,0)),"")</f>
        <v/>
      </c>
      <c r="D83" s="19" t="str">
        <f>IFERROR(INDEX(DATA2027!D$2:D$401,MATCH(66,DATA2027!I$2:I$401,0)),"")</f>
        <v/>
      </c>
      <c r="F83" s="18" t="str">
        <f>IFERROR(INDEX(DATA2027!B$2:B$401,MATCH(66,DATA2027!J$2:J$401,0)),"")</f>
        <v/>
      </c>
      <c r="G83" s="19" t="str">
        <f>IFERROR(INDEX(DATA2027!C$2:C$401,MATCH(66,DATA2027!J$2:J$401,0)),"")</f>
        <v/>
      </c>
      <c r="H83" s="19" t="str">
        <f>IFERROR(INDEX(DATA2027!D$2:D$401,MATCH(66,DATA2027!J$2:J$401,0)),"")</f>
        <v/>
      </c>
      <c r="J83" s="18" t="str">
        <f>IFERROR(INDEX(DATA2027!B$2:B$401,MATCH(66,DATA2027!K$2:K$401,0)),"")</f>
        <v/>
      </c>
      <c r="K83" s="19" t="str">
        <f>IFERROR(INDEX(DATA2027!C$2:C$401,MATCH(66,DATA2027!K$2:K$401,0)),"")</f>
        <v/>
      </c>
      <c r="L83" s="19" t="str">
        <f>IFERROR(INDEX(DATA2027!D$2:D$401,MATCH(66,DATA2027!K$2:K$401,0)),"")</f>
        <v/>
      </c>
      <c r="N83" s="18" t="str">
        <f>IFERROR(INDEX(DATA2027!B$2:B$401,MATCH(66,DATA2027!L$2:L$401,0)),"")</f>
        <v/>
      </c>
      <c r="O83" s="19" t="str">
        <f>IFERROR(INDEX(DATA2027!C$2:C$401,MATCH(66,DATA2027!L$2:L$401,0)),"")</f>
        <v/>
      </c>
      <c r="P83" s="19" t="str">
        <f>IFERROR(INDEX(DATA2027!D$2:D$401,MATCH(66,DATA2027!L$2:L$401,0)),"")</f>
        <v/>
      </c>
    </row>
    <row r="84" spans="2:16" ht="24.75" customHeight="1">
      <c r="B84" s="16" t="str">
        <f>IFERROR(INDEX(DATA2027!B$2:B$401,MATCH(67,DATA2027!I$2:I$401,0)),"")</f>
        <v/>
      </c>
      <c r="C84" s="17" t="str">
        <f>IFERROR(INDEX(DATA2027!C$2:C$401,MATCH(67,DATA2027!I$2:I$401,0)),"")</f>
        <v/>
      </c>
      <c r="D84" s="17" t="str">
        <f>IFERROR(INDEX(DATA2027!D$2:D$401,MATCH(67,DATA2027!I$2:I$401,0)),"")</f>
        <v/>
      </c>
      <c r="F84" s="16" t="str">
        <f>IFERROR(INDEX(DATA2027!B$2:B$401,MATCH(67,DATA2027!J$2:J$401,0)),"")</f>
        <v/>
      </c>
      <c r="G84" s="17" t="str">
        <f>IFERROR(INDEX(DATA2027!C$2:C$401,MATCH(67,DATA2027!J$2:J$401,0)),"")</f>
        <v/>
      </c>
      <c r="H84" s="17" t="str">
        <f>IFERROR(INDEX(DATA2027!D$2:D$401,MATCH(67,DATA2027!J$2:J$401,0)),"")</f>
        <v/>
      </c>
      <c r="J84" s="16" t="str">
        <f>IFERROR(INDEX(DATA2027!B$2:B$401,MATCH(67,DATA2027!K$2:K$401,0)),"")</f>
        <v/>
      </c>
      <c r="K84" s="17" t="str">
        <f>IFERROR(INDEX(DATA2027!C$2:C$401,MATCH(67,DATA2027!K$2:K$401,0)),"")</f>
        <v/>
      </c>
      <c r="L84" s="17" t="str">
        <f>IFERROR(INDEX(DATA2027!D$2:D$401,MATCH(67,DATA2027!K$2:K$401,0)),"")</f>
        <v/>
      </c>
      <c r="N84" s="16" t="str">
        <f>IFERROR(INDEX(DATA2027!B$2:B$401,MATCH(67,DATA2027!L$2:L$401,0)),"")</f>
        <v/>
      </c>
      <c r="O84" s="17" t="str">
        <f>IFERROR(INDEX(DATA2027!C$2:C$401,MATCH(67,DATA2027!L$2:L$401,0)),"")</f>
        <v/>
      </c>
      <c r="P84" s="17" t="str">
        <f>IFERROR(INDEX(DATA2027!D$2:D$401,MATCH(67,DATA2027!L$2:L$401,0)),"")</f>
        <v/>
      </c>
    </row>
    <row r="85" spans="2:16" ht="24.75" customHeight="1">
      <c r="B85" s="18" t="str">
        <f>IFERROR(INDEX(DATA2027!B$2:B$401,MATCH(68,DATA2027!I$2:I$401,0)),"")</f>
        <v/>
      </c>
      <c r="C85" s="19" t="str">
        <f>IFERROR(INDEX(DATA2027!C$2:C$401,MATCH(68,DATA2027!I$2:I$401,0)),"")</f>
        <v/>
      </c>
      <c r="D85" s="19" t="str">
        <f>IFERROR(INDEX(DATA2027!D$2:D$401,MATCH(68,DATA2027!I$2:I$401,0)),"")</f>
        <v/>
      </c>
      <c r="F85" s="18" t="str">
        <f>IFERROR(INDEX(DATA2027!B$2:B$401,MATCH(68,DATA2027!J$2:J$401,0)),"")</f>
        <v/>
      </c>
      <c r="G85" s="19" t="str">
        <f>IFERROR(INDEX(DATA2027!C$2:C$401,MATCH(68,DATA2027!J$2:J$401,0)),"")</f>
        <v/>
      </c>
      <c r="H85" s="19" t="str">
        <f>IFERROR(INDEX(DATA2027!D$2:D$401,MATCH(68,DATA2027!J$2:J$401,0)),"")</f>
        <v/>
      </c>
      <c r="J85" s="18" t="str">
        <f>IFERROR(INDEX(DATA2027!B$2:B$401,MATCH(68,DATA2027!K$2:K$401,0)),"")</f>
        <v/>
      </c>
      <c r="K85" s="19" t="str">
        <f>IFERROR(INDEX(DATA2027!C$2:C$401,MATCH(68,DATA2027!K$2:K$401,0)),"")</f>
        <v/>
      </c>
      <c r="L85" s="19" t="str">
        <f>IFERROR(INDEX(DATA2027!D$2:D$401,MATCH(68,DATA2027!K$2:K$401,0)),"")</f>
        <v/>
      </c>
      <c r="N85" s="18" t="str">
        <f>IFERROR(INDEX(DATA2027!B$2:B$401,MATCH(68,DATA2027!L$2:L$401,0)),"")</f>
        <v/>
      </c>
      <c r="O85" s="19" t="str">
        <f>IFERROR(INDEX(DATA2027!C$2:C$401,MATCH(68,DATA2027!L$2:L$401,0)),"")</f>
        <v/>
      </c>
      <c r="P85" s="19" t="str">
        <f>IFERROR(INDEX(DATA2027!D$2:D$401,MATCH(68,DATA2027!L$2:L$401,0)),"")</f>
        <v/>
      </c>
    </row>
    <row r="86" spans="2:16" ht="24.75" customHeight="1">
      <c r="B86" s="16" t="str">
        <f>IFERROR(INDEX(DATA2027!B$2:B$401,MATCH(69,DATA2027!I$2:I$401,0)),"")</f>
        <v/>
      </c>
      <c r="C86" s="17" t="str">
        <f>IFERROR(INDEX(DATA2027!C$2:C$401,MATCH(69,DATA2027!I$2:I$401,0)),"")</f>
        <v/>
      </c>
      <c r="D86" s="17" t="str">
        <f>IFERROR(INDEX(DATA2027!D$2:D$401,MATCH(69,DATA2027!I$2:I$401,0)),"")</f>
        <v/>
      </c>
      <c r="F86" s="16" t="str">
        <f>IFERROR(INDEX(DATA2027!B$2:B$401,MATCH(69,DATA2027!J$2:J$401,0)),"")</f>
        <v/>
      </c>
      <c r="G86" s="17" t="str">
        <f>IFERROR(INDEX(DATA2027!C$2:C$401,MATCH(69,DATA2027!J$2:J$401,0)),"")</f>
        <v/>
      </c>
      <c r="H86" s="17" t="str">
        <f>IFERROR(INDEX(DATA2027!D$2:D$401,MATCH(69,DATA2027!J$2:J$401,0)),"")</f>
        <v/>
      </c>
      <c r="J86" s="16" t="str">
        <f>IFERROR(INDEX(DATA2027!B$2:B$401,MATCH(69,DATA2027!K$2:K$401,0)),"")</f>
        <v/>
      </c>
      <c r="K86" s="17" t="str">
        <f>IFERROR(INDEX(DATA2027!C$2:C$401,MATCH(69,DATA2027!K$2:K$401,0)),"")</f>
        <v/>
      </c>
      <c r="L86" s="17" t="str">
        <f>IFERROR(INDEX(DATA2027!D$2:D$401,MATCH(69,DATA2027!K$2:K$401,0)),"")</f>
        <v/>
      </c>
      <c r="N86" s="16" t="str">
        <f>IFERROR(INDEX(DATA2027!B$2:B$401,MATCH(69,DATA2027!L$2:L$401,0)),"")</f>
        <v/>
      </c>
      <c r="O86" s="17" t="str">
        <f>IFERROR(INDEX(DATA2027!C$2:C$401,MATCH(69,DATA2027!L$2:L$401,0)),"")</f>
        <v/>
      </c>
      <c r="P86" s="17" t="str">
        <f>IFERROR(INDEX(DATA2027!D$2:D$401,MATCH(69,DATA2027!L$2:L$401,0)),"")</f>
        <v/>
      </c>
    </row>
    <row r="87" spans="2:16" ht="24.75" customHeight="1">
      <c r="B87" s="18" t="str">
        <f>IFERROR(INDEX(DATA2027!B$2:B$401,MATCH(70,DATA2027!I$2:I$401,0)),"")</f>
        <v/>
      </c>
      <c r="C87" s="19" t="str">
        <f>IFERROR(INDEX(DATA2027!C$2:C$401,MATCH(70,DATA2027!I$2:I$401,0)),"")</f>
        <v/>
      </c>
      <c r="D87" s="19" t="str">
        <f>IFERROR(INDEX(DATA2027!D$2:D$401,MATCH(70,DATA2027!I$2:I$401,0)),"")</f>
        <v/>
      </c>
      <c r="F87" s="18" t="str">
        <f>IFERROR(INDEX(DATA2027!B$2:B$401,MATCH(70,DATA2027!J$2:J$401,0)),"")</f>
        <v/>
      </c>
      <c r="G87" s="19" t="str">
        <f>IFERROR(INDEX(DATA2027!C$2:C$401,MATCH(70,DATA2027!J$2:J$401,0)),"")</f>
        <v/>
      </c>
      <c r="H87" s="19" t="str">
        <f>IFERROR(INDEX(DATA2027!D$2:D$401,MATCH(70,DATA2027!J$2:J$401,0)),"")</f>
        <v/>
      </c>
      <c r="J87" s="18" t="str">
        <f>IFERROR(INDEX(DATA2027!B$2:B$401,MATCH(70,DATA2027!K$2:K$401,0)),"")</f>
        <v/>
      </c>
      <c r="K87" s="19" t="str">
        <f>IFERROR(INDEX(DATA2027!C$2:C$401,MATCH(70,DATA2027!K$2:K$401,0)),"")</f>
        <v/>
      </c>
      <c r="L87" s="19" t="str">
        <f>IFERROR(INDEX(DATA2027!D$2:D$401,MATCH(70,DATA2027!K$2:K$401,0)),"")</f>
        <v/>
      </c>
      <c r="N87" s="18" t="str">
        <f>IFERROR(INDEX(DATA2027!B$2:B$401,MATCH(70,DATA2027!L$2:L$401,0)),"")</f>
        <v/>
      </c>
      <c r="O87" s="19" t="str">
        <f>IFERROR(INDEX(DATA2027!C$2:C$401,MATCH(70,DATA2027!L$2:L$401,0)),"")</f>
        <v/>
      </c>
      <c r="P87" s="19" t="str">
        <f>IFERROR(INDEX(DATA2027!D$2:D$401,MATCH(70,DATA2027!L$2:L$401,0)),"")</f>
        <v/>
      </c>
    </row>
    <row r="88" spans="2:16" ht="24.75" customHeight="1">
      <c r="B88" s="16" t="str">
        <f>IFERROR(INDEX(DATA2027!B$2:B$401,MATCH(71,DATA2027!I$2:I$401,0)),"")</f>
        <v/>
      </c>
      <c r="C88" s="17" t="str">
        <f>IFERROR(INDEX(DATA2027!C$2:C$401,MATCH(71,DATA2027!I$2:I$401,0)),"")</f>
        <v/>
      </c>
      <c r="D88" s="17" t="str">
        <f>IFERROR(INDEX(DATA2027!D$2:D$401,MATCH(71,DATA2027!I$2:I$401,0)),"")</f>
        <v/>
      </c>
      <c r="F88" s="16" t="str">
        <f>IFERROR(INDEX(DATA2027!B$2:B$401,MATCH(71,DATA2027!J$2:J$401,0)),"")</f>
        <v/>
      </c>
      <c r="G88" s="17" t="str">
        <f>IFERROR(INDEX(DATA2027!C$2:C$401,MATCH(71,DATA2027!J$2:J$401,0)),"")</f>
        <v/>
      </c>
      <c r="H88" s="17" t="str">
        <f>IFERROR(INDEX(DATA2027!D$2:D$401,MATCH(71,DATA2027!J$2:J$401,0)),"")</f>
        <v/>
      </c>
      <c r="J88" s="16" t="str">
        <f>IFERROR(INDEX(DATA2027!B$2:B$401,MATCH(71,DATA2027!K$2:K$401,0)),"")</f>
        <v/>
      </c>
      <c r="K88" s="17" t="str">
        <f>IFERROR(INDEX(DATA2027!C$2:C$401,MATCH(71,DATA2027!K$2:K$401,0)),"")</f>
        <v/>
      </c>
      <c r="L88" s="17" t="str">
        <f>IFERROR(INDEX(DATA2027!D$2:D$401,MATCH(71,DATA2027!K$2:K$401,0)),"")</f>
        <v/>
      </c>
      <c r="N88" s="16" t="str">
        <f>IFERROR(INDEX(DATA2027!B$2:B$401,MATCH(71,DATA2027!L$2:L$401,0)),"")</f>
        <v/>
      </c>
      <c r="O88" s="17" t="str">
        <f>IFERROR(INDEX(DATA2027!C$2:C$401,MATCH(71,DATA2027!L$2:L$401,0)),"")</f>
        <v/>
      </c>
      <c r="P88" s="17" t="str">
        <f>IFERROR(INDEX(DATA2027!D$2:D$401,MATCH(71,DATA2027!L$2:L$401,0)),"")</f>
        <v/>
      </c>
    </row>
    <row r="89" spans="2:16" ht="24.75" customHeight="1">
      <c r="B89" s="18" t="str">
        <f>IFERROR(INDEX(DATA2027!B$2:B$401,MATCH(72,DATA2027!I$2:I$401,0)),"")</f>
        <v/>
      </c>
      <c r="C89" s="19" t="str">
        <f>IFERROR(INDEX(DATA2027!C$2:C$401,MATCH(72,DATA2027!I$2:I$401,0)),"")</f>
        <v/>
      </c>
      <c r="D89" s="19" t="str">
        <f>IFERROR(INDEX(DATA2027!D$2:D$401,MATCH(72,DATA2027!I$2:I$401,0)),"")</f>
        <v/>
      </c>
      <c r="F89" s="18" t="str">
        <f>IFERROR(INDEX(DATA2027!B$2:B$401,MATCH(72,DATA2027!J$2:J$401,0)),"")</f>
        <v/>
      </c>
      <c r="G89" s="19" t="str">
        <f>IFERROR(INDEX(DATA2027!C$2:C$401,MATCH(72,DATA2027!J$2:J$401,0)),"")</f>
        <v/>
      </c>
      <c r="H89" s="19" t="str">
        <f>IFERROR(INDEX(DATA2027!D$2:D$401,MATCH(72,DATA2027!J$2:J$401,0)),"")</f>
        <v/>
      </c>
      <c r="J89" s="18" t="str">
        <f>IFERROR(INDEX(DATA2027!B$2:B$401,MATCH(72,DATA2027!K$2:K$401,0)),"")</f>
        <v/>
      </c>
      <c r="K89" s="19" t="str">
        <f>IFERROR(INDEX(DATA2027!C$2:C$401,MATCH(72,DATA2027!K$2:K$401,0)),"")</f>
        <v/>
      </c>
      <c r="L89" s="19" t="str">
        <f>IFERROR(INDEX(DATA2027!D$2:D$401,MATCH(72,DATA2027!K$2:K$401,0)),"")</f>
        <v/>
      </c>
      <c r="N89" s="18" t="str">
        <f>IFERROR(INDEX(DATA2027!B$2:B$401,MATCH(72,DATA2027!L$2:L$401,0)),"")</f>
        <v/>
      </c>
      <c r="O89" s="19" t="str">
        <f>IFERROR(INDEX(DATA2027!C$2:C$401,MATCH(72,DATA2027!L$2:L$401,0)),"")</f>
        <v/>
      </c>
      <c r="P89" s="19" t="str">
        <f>IFERROR(INDEX(DATA2027!D$2:D$401,MATCH(72,DATA2027!L$2:L$401,0)),"")</f>
        <v/>
      </c>
    </row>
    <row r="90" spans="2:16" ht="24.75" customHeight="1">
      <c r="B90" s="16" t="str">
        <f>IFERROR(INDEX(DATA2027!B$2:B$401,MATCH(73,DATA2027!I$2:I$401,0)),"")</f>
        <v/>
      </c>
      <c r="C90" s="17" t="str">
        <f>IFERROR(INDEX(DATA2027!C$2:C$401,MATCH(73,DATA2027!I$2:I$401,0)),"")</f>
        <v/>
      </c>
      <c r="D90" s="17" t="str">
        <f>IFERROR(INDEX(DATA2027!D$2:D$401,MATCH(73,DATA2027!I$2:I$401,0)),"")</f>
        <v/>
      </c>
      <c r="F90" s="16" t="str">
        <f>IFERROR(INDEX(DATA2027!B$2:B$401,MATCH(73,DATA2027!J$2:J$401,0)),"")</f>
        <v/>
      </c>
      <c r="G90" s="17" t="str">
        <f>IFERROR(INDEX(DATA2027!C$2:C$401,MATCH(73,DATA2027!J$2:J$401,0)),"")</f>
        <v/>
      </c>
      <c r="H90" s="17" t="str">
        <f>IFERROR(INDEX(DATA2027!D$2:D$401,MATCH(73,DATA2027!J$2:J$401,0)),"")</f>
        <v/>
      </c>
      <c r="J90" s="16" t="str">
        <f>IFERROR(INDEX(DATA2027!B$2:B$401,MATCH(73,DATA2027!K$2:K$401,0)),"")</f>
        <v/>
      </c>
      <c r="K90" s="17" t="str">
        <f>IFERROR(INDEX(DATA2027!C$2:C$401,MATCH(73,DATA2027!K$2:K$401,0)),"")</f>
        <v/>
      </c>
      <c r="L90" s="17" t="str">
        <f>IFERROR(INDEX(DATA2027!D$2:D$401,MATCH(73,DATA2027!K$2:K$401,0)),"")</f>
        <v/>
      </c>
      <c r="N90" s="16" t="str">
        <f>IFERROR(INDEX(DATA2027!B$2:B$401,MATCH(73,DATA2027!L$2:L$401,0)),"")</f>
        <v/>
      </c>
      <c r="O90" s="17" t="str">
        <f>IFERROR(INDEX(DATA2027!C$2:C$401,MATCH(73,DATA2027!L$2:L$401,0)),"")</f>
        <v/>
      </c>
      <c r="P90" s="17" t="str">
        <f>IFERROR(INDEX(DATA2027!D$2:D$401,MATCH(73,DATA2027!L$2:L$401,0)),"")</f>
        <v/>
      </c>
    </row>
    <row r="91" spans="2:16" ht="24.75" customHeight="1">
      <c r="B91" s="18" t="str">
        <f>IFERROR(INDEX(DATA2027!B$2:B$401,MATCH(74,DATA2027!I$2:I$401,0)),"")</f>
        <v/>
      </c>
      <c r="C91" s="19" t="str">
        <f>IFERROR(INDEX(DATA2027!C$2:C$401,MATCH(74,DATA2027!I$2:I$401,0)),"")</f>
        <v/>
      </c>
      <c r="D91" s="19" t="str">
        <f>IFERROR(INDEX(DATA2027!D$2:D$401,MATCH(74,DATA2027!I$2:I$401,0)),"")</f>
        <v/>
      </c>
      <c r="F91" s="18" t="str">
        <f>IFERROR(INDEX(DATA2027!B$2:B$401,MATCH(74,DATA2027!J$2:J$401,0)),"")</f>
        <v/>
      </c>
      <c r="G91" s="19" t="str">
        <f>IFERROR(INDEX(DATA2027!C$2:C$401,MATCH(74,DATA2027!J$2:J$401,0)),"")</f>
        <v/>
      </c>
      <c r="H91" s="19" t="str">
        <f>IFERROR(INDEX(DATA2027!D$2:D$401,MATCH(74,DATA2027!J$2:J$401,0)),"")</f>
        <v/>
      </c>
      <c r="J91" s="18" t="str">
        <f>IFERROR(INDEX(DATA2027!B$2:B$401,MATCH(74,DATA2027!K$2:K$401,0)),"")</f>
        <v/>
      </c>
      <c r="K91" s="19" t="str">
        <f>IFERROR(INDEX(DATA2027!C$2:C$401,MATCH(74,DATA2027!K$2:K$401,0)),"")</f>
        <v/>
      </c>
      <c r="L91" s="19" t="str">
        <f>IFERROR(INDEX(DATA2027!D$2:D$401,MATCH(74,DATA2027!K$2:K$401,0)),"")</f>
        <v/>
      </c>
      <c r="N91" s="18" t="str">
        <f>IFERROR(INDEX(DATA2027!B$2:B$401,MATCH(74,DATA2027!L$2:L$401,0)),"")</f>
        <v/>
      </c>
      <c r="O91" s="19" t="str">
        <f>IFERROR(INDEX(DATA2027!C$2:C$401,MATCH(74,DATA2027!L$2:L$401,0)),"")</f>
        <v/>
      </c>
      <c r="P91" s="19" t="str">
        <f>IFERROR(INDEX(DATA2027!D$2:D$401,MATCH(74,DATA2027!L$2:L$401,0)),"")</f>
        <v/>
      </c>
    </row>
    <row r="92" spans="2:16" ht="24.75" customHeight="1">
      <c r="B92" s="16" t="str">
        <f>IFERROR(INDEX(DATA2027!B$2:B$401,MATCH(75,DATA2027!I$2:I$401,0)),"")</f>
        <v/>
      </c>
      <c r="C92" s="17" t="str">
        <f>IFERROR(INDEX(DATA2027!C$2:C$401,MATCH(75,DATA2027!I$2:I$401,0)),"")</f>
        <v/>
      </c>
      <c r="D92" s="17" t="str">
        <f>IFERROR(INDEX(DATA2027!D$2:D$401,MATCH(75,DATA2027!I$2:I$401,0)),"")</f>
        <v/>
      </c>
      <c r="F92" s="16" t="str">
        <f>IFERROR(INDEX(DATA2027!B$2:B$401,MATCH(75,DATA2027!J$2:J$401,0)),"")</f>
        <v/>
      </c>
      <c r="G92" s="17" t="str">
        <f>IFERROR(INDEX(DATA2027!C$2:C$401,MATCH(75,DATA2027!J$2:J$401,0)),"")</f>
        <v/>
      </c>
      <c r="H92" s="17" t="str">
        <f>IFERROR(INDEX(DATA2027!D$2:D$401,MATCH(75,DATA2027!J$2:J$401,0)),"")</f>
        <v/>
      </c>
      <c r="J92" s="16" t="str">
        <f>IFERROR(INDEX(DATA2027!B$2:B$401,MATCH(75,DATA2027!K$2:K$401,0)),"")</f>
        <v/>
      </c>
      <c r="K92" s="17" t="str">
        <f>IFERROR(INDEX(DATA2027!C$2:C$401,MATCH(75,DATA2027!K$2:K$401,0)),"")</f>
        <v/>
      </c>
      <c r="L92" s="17" t="str">
        <f>IFERROR(INDEX(DATA2027!D$2:D$401,MATCH(75,DATA2027!K$2:K$401,0)),"")</f>
        <v/>
      </c>
      <c r="N92" s="16" t="str">
        <f>IFERROR(INDEX(DATA2027!B$2:B$401,MATCH(75,DATA2027!L$2:L$401,0)),"")</f>
        <v/>
      </c>
      <c r="O92" s="17" t="str">
        <f>IFERROR(INDEX(DATA2027!C$2:C$401,MATCH(75,DATA2027!L$2:L$401,0)),"")</f>
        <v/>
      </c>
      <c r="P92" s="17" t="str">
        <f>IFERROR(INDEX(DATA2027!D$2:D$401,MATCH(75,DATA2027!L$2:L$401,0)),"")</f>
        <v/>
      </c>
    </row>
    <row r="93" spans="2:16" ht="24.75" customHeight="1">
      <c r="B93" s="18" t="str">
        <f>IFERROR(INDEX(DATA2027!B$2:B$401,MATCH(76,DATA2027!I$2:I$401,0)),"")</f>
        <v/>
      </c>
      <c r="C93" s="19" t="str">
        <f>IFERROR(INDEX(DATA2027!C$2:C$401,MATCH(76,DATA2027!I$2:I$401,0)),"")</f>
        <v/>
      </c>
      <c r="D93" s="19" t="str">
        <f>IFERROR(INDEX(DATA2027!D$2:D$401,MATCH(76,DATA2027!I$2:I$401,0)),"")</f>
        <v/>
      </c>
      <c r="F93" s="18" t="str">
        <f>IFERROR(INDEX(DATA2027!B$2:B$401,MATCH(76,DATA2027!J$2:J$401,0)),"")</f>
        <v/>
      </c>
      <c r="G93" s="19" t="str">
        <f>IFERROR(INDEX(DATA2027!C$2:C$401,MATCH(76,DATA2027!J$2:J$401,0)),"")</f>
        <v/>
      </c>
      <c r="H93" s="19" t="str">
        <f>IFERROR(INDEX(DATA2027!D$2:D$401,MATCH(76,DATA2027!J$2:J$401,0)),"")</f>
        <v/>
      </c>
      <c r="J93" s="18" t="str">
        <f>IFERROR(INDEX(DATA2027!B$2:B$401,MATCH(76,DATA2027!K$2:K$401,0)),"")</f>
        <v/>
      </c>
      <c r="K93" s="19" t="str">
        <f>IFERROR(INDEX(DATA2027!C$2:C$401,MATCH(76,DATA2027!K$2:K$401,0)),"")</f>
        <v/>
      </c>
      <c r="L93" s="19" t="str">
        <f>IFERROR(INDEX(DATA2027!D$2:D$401,MATCH(76,DATA2027!K$2:K$401,0)),"")</f>
        <v/>
      </c>
      <c r="N93" s="18" t="str">
        <f>IFERROR(INDEX(DATA2027!B$2:B$401,MATCH(76,DATA2027!L$2:L$401,0)),"")</f>
        <v/>
      </c>
      <c r="O93" s="19" t="str">
        <f>IFERROR(INDEX(DATA2027!C$2:C$401,MATCH(76,DATA2027!L$2:L$401,0)),"")</f>
        <v/>
      </c>
      <c r="P93" s="19" t="str">
        <f>IFERROR(INDEX(DATA2027!D$2:D$401,MATCH(76,DATA2027!L$2:L$401,0)),"")</f>
        <v/>
      </c>
    </row>
    <row r="94" spans="2:16" ht="24.75" customHeight="1">
      <c r="B94" s="16" t="str">
        <f>IFERROR(INDEX(DATA2027!B$2:B$401,MATCH(77,DATA2027!I$2:I$401,0)),"")</f>
        <v/>
      </c>
      <c r="C94" s="17" t="str">
        <f>IFERROR(INDEX(DATA2027!C$2:C$401,MATCH(77,DATA2027!I$2:I$401,0)),"")</f>
        <v/>
      </c>
      <c r="D94" s="17" t="str">
        <f>IFERROR(INDEX(DATA2027!D$2:D$401,MATCH(77,DATA2027!I$2:I$401,0)),"")</f>
        <v/>
      </c>
      <c r="F94" s="16" t="str">
        <f>IFERROR(INDEX(DATA2027!B$2:B$401,MATCH(77,DATA2027!J$2:J$401,0)),"")</f>
        <v/>
      </c>
      <c r="G94" s="17" t="str">
        <f>IFERROR(INDEX(DATA2027!C$2:C$401,MATCH(77,DATA2027!J$2:J$401,0)),"")</f>
        <v/>
      </c>
      <c r="H94" s="17" t="str">
        <f>IFERROR(INDEX(DATA2027!D$2:D$401,MATCH(77,DATA2027!J$2:J$401,0)),"")</f>
        <v/>
      </c>
      <c r="J94" s="16" t="str">
        <f>IFERROR(INDEX(DATA2027!B$2:B$401,MATCH(77,DATA2027!K$2:K$401,0)),"")</f>
        <v/>
      </c>
      <c r="K94" s="17" t="str">
        <f>IFERROR(INDEX(DATA2027!C$2:C$401,MATCH(77,DATA2027!K$2:K$401,0)),"")</f>
        <v/>
      </c>
      <c r="L94" s="17" t="str">
        <f>IFERROR(INDEX(DATA2027!D$2:D$401,MATCH(77,DATA2027!K$2:K$401,0)),"")</f>
        <v/>
      </c>
      <c r="N94" s="16" t="str">
        <f>IFERROR(INDEX(DATA2027!B$2:B$401,MATCH(77,DATA2027!L$2:L$401,0)),"")</f>
        <v/>
      </c>
      <c r="O94" s="17" t="str">
        <f>IFERROR(INDEX(DATA2027!C$2:C$401,MATCH(77,DATA2027!L$2:L$401,0)),"")</f>
        <v/>
      </c>
      <c r="P94" s="17" t="str">
        <f>IFERROR(INDEX(DATA2027!D$2:D$401,MATCH(77,DATA2027!L$2:L$401,0)),"")</f>
        <v/>
      </c>
    </row>
    <row r="95" spans="2:16" ht="24.75" customHeight="1">
      <c r="B95" s="18" t="str">
        <f>IFERROR(INDEX(DATA2027!B$2:B$401,MATCH(78,DATA2027!I$2:I$401,0)),"")</f>
        <v/>
      </c>
      <c r="C95" s="19" t="str">
        <f>IFERROR(INDEX(DATA2027!C$2:C$401,MATCH(78,DATA2027!I$2:I$401,0)),"")</f>
        <v/>
      </c>
      <c r="D95" s="19" t="str">
        <f>IFERROR(INDEX(DATA2027!D$2:D$401,MATCH(78,DATA2027!I$2:I$401,0)),"")</f>
        <v/>
      </c>
      <c r="F95" s="18" t="str">
        <f>IFERROR(INDEX(DATA2027!B$2:B$401,MATCH(78,DATA2027!J$2:J$401,0)),"")</f>
        <v/>
      </c>
      <c r="G95" s="19" t="str">
        <f>IFERROR(INDEX(DATA2027!C$2:C$401,MATCH(78,DATA2027!J$2:J$401,0)),"")</f>
        <v/>
      </c>
      <c r="H95" s="19" t="str">
        <f>IFERROR(INDEX(DATA2027!D$2:D$401,MATCH(78,DATA2027!J$2:J$401,0)),"")</f>
        <v/>
      </c>
      <c r="J95" s="18" t="str">
        <f>IFERROR(INDEX(DATA2027!B$2:B$401,MATCH(78,DATA2027!K$2:K$401,0)),"")</f>
        <v/>
      </c>
      <c r="K95" s="19" t="str">
        <f>IFERROR(INDEX(DATA2027!C$2:C$401,MATCH(78,DATA2027!K$2:K$401,0)),"")</f>
        <v/>
      </c>
      <c r="L95" s="19" t="str">
        <f>IFERROR(INDEX(DATA2027!D$2:D$401,MATCH(78,DATA2027!K$2:K$401,0)),"")</f>
        <v/>
      </c>
      <c r="N95" s="18" t="str">
        <f>IFERROR(INDEX(DATA2027!B$2:B$401,MATCH(78,DATA2027!L$2:L$401,0)),"")</f>
        <v/>
      </c>
      <c r="O95" s="19" t="str">
        <f>IFERROR(INDEX(DATA2027!C$2:C$401,MATCH(78,DATA2027!L$2:L$401,0)),"")</f>
        <v/>
      </c>
      <c r="P95" s="19" t="str">
        <f>IFERROR(INDEX(DATA2027!D$2:D$401,MATCH(78,DATA2027!L$2:L$401,0)),"")</f>
        <v/>
      </c>
    </row>
    <row r="96" spans="2:16" ht="24.75" customHeight="1">
      <c r="B96" s="16" t="str">
        <f>IFERROR(INDEX(DATA2027!B$2:B$401,MATCH(79,DATA2027!I$2:I$401,0)),"")</f>
        <v/>
      </c>
      <c r="C96" s="17" t="str">
        <f>IFERROR(INDEX(DATA2027!C$2:C$401,MATCH(79,DATA2027!I$2:I$401,0)),"")</f>
        <v/>
      </c>
      <c r="D96" s="17" t="str">
        <f>IFERROR(INDEX(DATA2027!D$2:D$401,MATCH(79,DATA2027!I$2:I$401,0)),"")</f>
        <v/>
      </c>
      <c r="F96" s="16" t="str">
        <f>IFERROR(INDEX(DATA2027!B$2:B$401,MATCH(79,DATA2027!J$2:J$401,0)),"")</f>
        <v/>
      </c>
      <c r="G96" s="17" t="str">
        <f>IFERROR(INDEX(DATA2027!C$2:C$401,MATCH(79,DATA2027!J$2:J$401,0)),"")</f>
        <v/>
      </c>
      <c r="H96" s="17" t="str">
        <f>IFERROR(INDEX(DATA2027!D$2:D$401,MATCH(79,DATA2027!J$2:J$401,0)),"")</f>
        <v/>
      </c>
      <c r="J96" s="16" t="str">
        <f>IFERROR(INDEX(DATA2027!B$2:B$401,MATCH(79,DATA2027!K$2:K$401,0)),"")</f>
        <v/>
      </c>
      <c r="K96" s="17" t="str">
        <f>IFERROR(INDEX(DATA2027!C$2:C$401,MATCH(79,DATA2027!K$2:K$401,0)),"")</f>
        <v/>
      </c>
      <c r="L96" s="17" t="str">
        <f>IFERROR(INDEX(DATA2027!D$2:D$401,MATCH(79,DATA2027!K$2:K$401,0)),"")</f>
        <v/>
      </c>
      <c r="N96" s="16" t="str">
        <f>IFERROR(INDEX(DATA2027!B$2:B$401,MATCH(79,DATA2027!L$2:L$401,0)),"")</f>
        <v/>
      </c>
      <c r="O96" s="17" t="str">
        <f>IFERROR(INDEX(DATA2027!C$2:C$401,MATCH(79,DATA2027!L$2:L$401,0)),"")</f>
        <v/>
      </c>
      <c r="P96" s="17" t="str">
        <f>IFERROR(INDEX(DATA2027!D$2:D$401,MATCH(79,DATA2027!L$2:L$401,0)),"")</f>
        <v/>
      </c>
    </row>
    <row r="97" spans="2:16" ht="24.75" customHeight="1">
      <c r="B97" s="18" t="str">
        <f>IFERROR(INDEX(DATA2027!B$2:B$401,MATCH(80,DATA2027!I$2:I$401,0)),"")</f>
        <v/>
      </c>
      <c r="C97" s="19" t="str">
        <f>IFERROR(INDEX(DATA2027!C$2:C$401,MATCH(80,DATA2027!I$2:I$401,0)),"")</f>
        <v/>
      </c>
      <c r="D97" s="19" t="str">
        <f>IFERROR(INDEX(DATA2027!D$2:D$401,MATCH(80,DATA2027!I$2:I$401,0)),"")</f>
        <v/>
      </c>
      <c r="F97" s="18" t="str">
        <f>IFERROR(INDEX(DATA2027!B$2:B$401,MATCH(80,DATA2027!J$2:J$401,0)),"")</f>
        <v/>
      </c>
      <c r="G97" s="19" t="str">
        <f>IFERROR(INDEX(DATA2027!C$2:C$401,MATCH(80,DATA2027!J$2:J$401,0)),"")</f>
        <v/>
      </c>
      <c r="H97" s="19" t="str">
        <f>IFERROR(INDEX(DATA2027!D$2:D$401,MATCH(80,DATA2027!J$2:J$401,0)),"")</f>
        <v/>
      </c>
      <c r="J97" s="18" t="str">
        <f>IFERROR(INDEX(DATA2027!B$2:B$401,MATCH(80,DATA2027!K$2:K$401,0)),"")</f>
        <v/>
      </c>
      <c r="K97" s="19" t="str">
        <f>IFERROR(INDEX(DATA2027!C$2:C$401,MATCH(80,DATA2027!K$2:K$401,0)),"")</f>
        <v/>
      </c>
      <c r="L97" s="19" t="str">
        <f>IFERROR(INDEX(DATA2027!D$2:D$401,MATCH(80,DATA2027!K$2:K$401,0)),"")</f>
        <v/>
      </c>
      <c r="N97" s="18" t="str">
        <f>IFERROR(INDEX(DATA2027!B$2:B$401,MATCH(80,DATA2027!L$2:L$401,0)),"")</f>
        <v/>
      </c>
      <c r="O97" s="19" t="str">
        <f>IFERROR(INDEX(DATA2027!C$2:C$401,MATCH(80,DATA2027!L$2:L$401,0)),"")</f>
        <v/>
      </c>
      <c r="P97" s="19" t="str">
        <f>IFERROR(INDEX(DATA2027!D$2:D$401,MATCH(80,DATA2027!L$2:L$401,0)),"")</f>
        <v/>
      </c>
    </row>
    <row r="98" spans="2:16" ht="24" customHeight="1">
      <c r="B98" s="137" t="s">
        <v>232</v>
      </c>
      <c r="C98" s="137"/>
      <c r="D98" s="20">
        <f>SUMIF(DATA2027!A$2:A$401,"Q12027",DATA2027!E$2:E$401)</f>
        <v>168</v>
      </c>
      <c r="F98" s="138" t="s">
        <v>233</v>
      </c>
      <c r="G98" s="138"/>
      <c r="H98" s="21">
        <f>SUMIF(DATA2027!A$2:A$401,"Q22027",DATA2027!E$2:E$401)</f>
        <v>0</v>
      </c>
      <c r="J98" s="139" t="s">
        <v>234</v>
      </c>
      <c r="K98" s="139"/>
      <c r="L98" s="22">
        <f>SUMIF(DATA2027!A$2:A$401,"Q32027",DATA2027!E$2:E$401)</f>
        <v>0</v>
      </c>
      <c r="N98" s="140" t="s">
        <v>235</v>
      </c>
      <c r="O98" s="140"/>
      <c r="P98" s="23">
        <f>SUMIF(DATA2027!A$2:A$401,"Q42027",DATA2027!E$2:E$401)</f>
        <v>0</v>
      </c>
    </row>
    <row r="100" spans="2:16" ht="15.75" customHeight="1">
      <c r="B100" s="111" t="s">
        <v>83</v>
      </c>
      <c r="C100" s="111"/>
      <c r="D100" s="111"/>
      <c r="E100" s="111"/>
      <c r="F100" s="111"/>
      <c r="G100" s="111"/>
      <c r="H100" s="111"/>
      <c r="I100" s="111"/>
      <c r="J100" s="111"/>
      <c r="K100" s="111"/>
      <c r="L100" s="111"/>
      <c r="M100" s="111"/>
      <c r="N100" s="111"/>
      <c r="O100" s="111"/>
      <c r="P100" s="111"/>
    </row>
    <row r="101" spans="2:16" ht="15.75" customHeight="1">
      <c r="B101" s="111" t="s">
        <v>84</v>
      </c>
      <c r="C101" s="111"/>
      <c r="D101" s="111"/>
      <c r="E101" s="111"/>
      <c r="F101" s="111"/>
      <c r="G101" s="111"/>
      <c r="H101" s="111"/>
      <c r="I101" s="111"/>
      <c r="J101" s="111"/>
      <c r="K101" s="111"/>
      <c r="L101" s="111"/>
      <c r="M101" s="111"/>
      <c r="N101" s="111"/>
      <c r="O101" s="111"/>
      <c r="P101" s="111"/>
    </row>
  </sheetData>
  <mergeCells count="19">
    <mergeCell ref="B101:P101"/>
    <mergeCell ref="B98:C98"/>
    <mergeCell ref="F98:G98"/>
    <mergeCell ref="J98:K98"/>
    <mergeCell ref="N98:O98"/>
    <mergeCell ref="B100:P100"/>
    <mergeCell ref="B7:D7"/>
    <mergeCell ref="F7:H7"/>
    <mergeCell ref="J7:L7"/>
    <mergeCell ref="N7:P7"/>
    <mergeCell ref="B16:D16"/>
    <mergeCell ref="F16:H16"/>
    <mergeCell ref="J16:L16"/>
    <mergeCell ref="N16:P16"/>
    <mergeCell ref="B1:P1"/>
    <mergeCell ref="B2:D2"/>
    <mergeCell ref="F2:H2"/>
    <mergeCell ref="J2:L2"/>
    <mergeCell ref="N2:P2"/>
  </mergeCells>
  <conditionalFormatting sqref="D18:D97">
    <cfRule type="cellIs" dxfId="58" priority="2" operator="equal">
      <formula>"Strengthen"</formula>
    </cfRule>
    <cfRule type="cellIs" dxfId="57" priority="3" operator="equal">
      <formula>"Innovation"</formula>
    </cfRule>
    <cfRule type="cellIs" dxfId="56" priority="4" operator="equal">
      <formula>"Repair"</formula>
    </cfRule>
  </conditionalFormatting>
  <conditionalFormatting sqref="H18:H97">
    <cfRule type="cellIs" dxfId="55" priority="6" operator="equal">
      <formula>"Strengthen"</formula>
    </cfRule>
    <cfRule type="cellIs" dxfId="54" priority="7" operator="equal">
      <formula>"Innovation"</formula>
    </cfRule>
    <cfRule type="cellIs" dxfId="53" priority="8" operator="equal">
      <formula>"Repair"</formula>
    </cfRule>
  </conditionalFormatting>
  <conditionalFormatting sqref="L18:L97">
    <cfRule type="cellIs" dxfId="52" priority="10" operator="equal">
      <formula>"Strengthen"</formula>
    </cfRule>
    <cfRule type="cellIs" dxfId="51" priority="11" operator="equal">
      <formula>"Innovation"</formula>
    </cfRule>
    <cfRule type="cellIs" dxfId="50" priority="12" operator="equal">
      <formula>"Repair"</formula>
    </cfRule>
  </conditionalFormatting>
  <conditionalFormatting sqref="P18:P97">
    <cfRule type="cellIs" dxfId="49" priority="14" operator="equal">
      <formula>"Strengthen"</formula>
    </cfRule>
    <cfRule type="cellIs" dxfId="48" priority="15" operator="equal">
      <formula>"Innovation"</formula>
    </cfRule>
    <cfRule type="cellIs" dxfId="47" priority="16" operator="equal">
      <formula>"Repair"</formula>
    </cfRule>
  </conditionalFormatting>
  <pageMargins left="0.75" right="0.75" top="1" bottom="1" header="0.511811023622047" footer="0.511811023622047"/>
  <pageSetup paperSize="9" orientation="portrait" horizontalDpi="300" verticalDpi="300"/>
  <tableParts count="4">
    <tablePart r:id="rId1"/>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5" id="{00000000-000E-0000-0800-000005000000}">
            <xm:f>IFERROR(INDEX(DATA2027!$H$2:$H$401,MATCH(ROW()-18+1,DATA2027!$I$2:$I$401,0))="PO-Backlog2027",0)</xm:f>
            <x14:dxf>
              <fill>
                <patternFill>
                  <bgColor rgb="FFFFF176"/>
                </patternFill>
              </fill>
            </x14:dxf>
          </x14:cfRule>
          <xm:sqref>B18:B97</xm:sqref>
        </x14:conditionalFormatting>
        <x14:conditionalFormatting xmlns:xm="http://schemas.microsoft.com/office/excel/2006/main">
          <x14:cfRule type="expression" priority="9" id="{00000000-000E-0000-0800-000009000000}">
            <xm:f>IFERROR(INDEX(DATA2027!$H$2:$H$401,MATCH(ROW()-18+1,DATA2027!$J$2:$J$401,0))="PO-Backlog2027",0)</xm:f>
            <x14:dxf>
              <fill>
                <patternFill>
                  <bgColor rgb="FFFFF176"/>
                </patternFill>
              </fill>
            </x14:dxf>
          </x14:cfRule>
          <xm:sqref>F18:F97</xm:sqref>
        </x14:conditionalFormatting>
        <x14:conditionalFormatting xmlns:xm="http://schemas.microsoft.com/office/excel/2006/main">
          <x14:cfRule type="expression" priority="13" id="{00000000-000E-0000-0800-00000D000000}">
            <xm:f>IFERROR(INDEX(DATA2027!$H$2:$H$401,MATCH(ROW()-18+1,DATA2027!$K$2:$K$401,0))="PO-Backlog2027",0)</xm:f>
            <x14:dxf>
              <fill>
                <patternFill>
                  <bgColor rgb="FFFFF176"/>
                </patternFill>
              </fill>
            </x14:dxf>
          </x14:cfRule>
          <xm:sqref>J18:J97</xm:sqref>
        </x14:conditionalFormatting>
        <x14:conditionalFormatting xmlns:xm="http://schemas.microsoft.com/office/excel/2006/main">
          <x14:cfRule type="expression" priority="17" id="{00000000-000E-0000-0800-000011000000}">
            <xm:f>IFERROR(INDEX(DATA2027!$H$2:$H$401,MATCH(ROW()-18+1,DATA2027!$L$2:$L$401,0))="PO-Backlog2027",0)</xm:f>
            <x14:dxf>
              <fill>
                <patternFill>
                  <bgColor rgb="FFFFF176"/>
                </patternFill>
              </fill>
            </x14:dxf>
          </x14:cfRule>
          <xm:sqref>N18:N97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H48"/>
  <sheetViews>
    <sheetView showGridLines="0" zoomScaleNormal="100" workbookViewId="0">
      <selection activeCell="S32" sqref="S32"/>
    </sheetView>
  </sheetViews>
  <sheetFormatPr defaultColWidth="8.7109375" defaultRowHeight="15"/>
  <cols>
    <col min="1" max="1" width="26" customWidth="1"/>
    <col min="2" max="5" width="14" customWidth="1"/>
    <col min="6" max="8" width="16" customWidth="1"/>
  </cols>
  <sheetData>
    <row r="1" spans="1:8" ht="49.5" customHeight="1">
      <c r="A1" s="126" t="s">
        <v>236</v>
      </c>
      <c r="B1" s="126"/>
      <c r="C1" s="126"/>
      <c r="D1" s="126"/>
      <c r="E1" s="126"/>
      <c r="F1" s="126"/>
      <c r="G1" s="126"/>
      <c r="H1" s="126"/>
    </row>
    <row r="3" spans="1:8" ht="21.75" customHeight="1">
      <c r="A3" s="125" t="s">
        <v>86</v>
      </c>
      <c r="B3" s="125"/>
      <c r="C3" s="125"/>
      <c r="D3" s="125"/>
      <c r="E3" s="125"/>
      <c r="F3" s="125"/>
      <c r="G3" s="125"/>
      <c r="H3" s="125"/>
    </row>
    <row r="4" spans="1:8" ht="19.5" customHeight="1">
      <c r="A4" s="24"/>
      <c r="B4" s="24" t="s">
        <v>87</v>
      </c>
      <c r="C4" s="24" t="s">
        <v>88</v>
      </c>
      <c r="D4" s="24" t="s">
        <v>89</v>
      </c>
      <c r="E4" s="24" t="s">
        <v>90</v>
      </c>
      <c r="F4" s="24" t="s">
        <v>91</v>
      </c>
    </row>
    <row r="5" spans="1:8" ht="19.5" customHeight="1">
      <c r="A5" s="25" t="s">
        <v>92</v>
      </c>
      <c r="B5" s="26">
        <f>COUNTIFS(DATA2027!A$2:A$401,"Q12027",DATA2027!D$2:D$401,"Strengthen")</f>
        <v>3</v>
      </c>
      <c r="C5" s="26">
        <f>COUNTIFS(DATA2027!A$2:A$401,"Q22027",DATA2027!D$2:D$401,"Strengthen")</f>
        <v>0</v>
      </c>
      <c r="D5" s="26">
        <f>COUNTIFS(DATA2027!A$2:A$401,"Q32027",DATA2027!D$2:D$401,"Strengthen")</f>
        <v>0</v>
      </c>
      <c r="E5" s="26">
        <f>COUNTIFS(DATA2027!A$2:A$401,"Q42027",DATA2027!D$2:D$401,"Strengthen")</f>
        <v>0</v>
      </c>
      <c r="F5" s="26">
        <f>COUNTIF(DATA2027!D$2:D$401,"Strengthen")</f>
        <v>3</v>
      </c>
    </row>
    <row r="6" spans="1:8" ht="18" customHeight="1">
      <c r="A6" s="27" t="s">
        <v>93</v>
      </c>
      <c r="B6" s="28">
        <f>IFERROR(B5/B7,"")</f>
        <v>1.5</v>
      </c>
      <c r="C6" s="28" t="str">
        <f>IFERROR(C5/C7,"")</f>
        <v/>
      </c>
      <c r="D6" s="28" t="str">
        <f>IFERROR(D5/D7,"")</f>
        <v/>
      </c>
      <c r="E6" s="28" t="str">
        <f>IFERROR(E5/E7,"")</f>
        <v/>
      </c>
      <c r="F6" s="28">
        <f>IFERROR(F5/F7,"")</f>
        <v>1.5</v>
      </c>
    </row>
    <row r="7" spans="1:8" ht="19.5" customHeight="1">
      <c r="A7" s="29" t="s">
        <v>94</v>
      </c>
      <c r="B7" s="30">
        <f>COUNTIFS(DATA2027!A$2:A$401,"Q12027",DATA2027!D$2:D$401,"Innovation")</f>
        <v>2</v>
      </c>
      <c r="C7" s="30">
        <f>COUNTIFS(DATA2027!A$2:A$401,"Q22027",DATA2027!D$2:D$401,"Innovation")</f>
        <v>0</v>
      </c>
      <c r="D7" s="30">
        <f>COUNTIFS(DATA2027!A$2:A$401,"Q32027",DATA2027!D$2:D$401,"Innovation")</f>
        <v>0</v>
      </c>
      <c r="E7" s="30">
        <f>COUNTIFS(DATA2027!A$2:A$401,"Q42027",DATA2027!D$2:D$401,"Innovation")</f>
        <v>0</v>
      </c>
      <c r="F7" s="30">
        <f>COUNTIF(DATA2027!D$2:D$401,"Innovation")</f>
        <v>2</v>
      </c>
    </row>
    <row r="8" spans="1:8" ht="18" customHeight="1">
      <c r="A8" s="31" t="s">
        <v>95</v>
      </c>
      <c r="B8" s="32">
        <f>IFERROR(B7/B9,"")</f>
        <v>2</v>
      </c>
      <c r="C8" s="32" t="str">
        <f>IFERROR(C7/C9,"")</f>
        <v/>
      </c>
      <c r="D8" s="32" t="str">
        <f>IFERROR(D7/D9,"")</f>
        <v/>
      </c>
      <c r="E8" s="32" t="str">
        <f>IFERROR(E7/E9,"")</f>
        <v/>
      </c>
      <c r="F8" s="32">
        <f>IFERROR(F7/F9,"")</f>
        <v>2</v>
      </c>
    </row>
    <row r="9" spans="1:8" ht="19.5" customHeight="1">
      <c r="A9" s="33" t="s">
        <v>96</v>
      </c>
      <c r="B9" s="34">
        <f>COUNTIFS(DATA2027!A$2:A$401,"Q12027",DATA2027!D$2:D$401,"Repair")</f>
        <v>1</v>
      </c>
      <c r="C9" s="34">
        <f>COUNTIFS(DATA2027!A$2:A$401,"Q22027",DATA2027!D$2:D$401,"Repair")</f>
        <v>0</v>
      </c>
      <c r="D9" s="34">
        <f>COUNTIFS(DATA2027!A$2:A$401,"Q32027",DATA2027!D$2:D$401,"Repair")</f>
        <v>0</v>
      </c>
      <c r="E9" s="34">
        <f>COUNTIFS(DATA2027!A$2:A$401,"Q42027",DATA2027!D$2:D$401,"Repair")</f>
        <v>0</v>
      </c>
      <c r="F9" s="34">
        <f>COUNTIF(DATA2027!D$2:D$401,"Repair")</f>
        <v>1</v>
      </c>
    </row>
    <row r="10" spans="1:8" ht="18" customHeight="1">
      <c r="A10" s="35" t="s">
        <v>97</v>
      </c>
      <c r="B10" s="36">
        <f>IFERROR(B9/B11,"")</f>
        <v>0.16666666666666666</v>
      </c>
      <c r="C10" s="36" t="str">
        <f>IFERROR(C9/C11,"")</f>
        <v/>
      </c>
      <c r="D10" s="36" t="str">
        <f>IFERROR(D9/D11,"")</f>
        <v/>
      </c>
      <c r="E10" s="36" t="str">
        <f>IFERROR(E9/E11,"")</f>
        <v/>
      </c>
      <c r="F10" s="36">
        <f>IFERROR(F9/F11,"")</f>
        <v>0.16666666666666666</v>
      </c>
    </row>
    <row r="11" spans="1:8" ht="19.5" customHeight="1">
      <c r="A11" s="37" t="s">
        <v>98</v>
      </c>
      <c r="B11" s="38">
        <f>B5+B7+B9</f>
        <v>6</v>
      </c>
      <c r="C11" s="38">
        <f>C5+C7+C9</f>
        <v>0</v>
      </c>
      <c r="D11" s="38">
        <f>D5+D7+D9</f>
        <v>0</v>
      </c>
      <c r="E11" s="38">
        <f>E5+E7+E9</f>
        <v>0</v>
      </c>
      <c r="F11" s="38">
        <f>F5+F7+F9</f>
        <v>6</v>
      </c>
    </row>
    <row r="14" spans="1:8" ht="21.75" customHeight="1">
      <c r="A14" s="125" t="s">
        <v>99</v>
      </c>
      <c r="B14" s="125"/>
      <c r="C14" s="125"/>
      <c r="D14" s="125"/>
      <c r="E14" s="125"/>
      <c r="F14" s="125"/>
      <c r="G14" s="125"/>
      <c r="H14" s="125"/>
    </row>
    <row r="15" spans="1:8" ht="19.5" customHeight="1">
      <c r="A15" s="24"/>
      <c r="B15" s="24" t="s">
        <v>87</v>
      </c>
      <c r="C15" s="24" t="s">
        <v>88</v>
      </c>
      <c r="D15" s="24" t="s">
        <v>89</v>
      </c>
      <c r="E15" s="24" t="s">
        <v>90</v>
      </c>
    </row>
    <row r="16" spans="1:8" ht="19.5" customHeight="1">
      <c r="A16" s="16" t="s">
        <v>100</v>
      </c>
      <c r="B16" s="39">
        <f>Roadmap2027!C4</f>
        <v>0</v>
      </c>
      <c r="C16" s="39">
        <f>Roadmap2027!G4</f>
        <v>0</v>
      </c>
      <c r="D16" s="39">
        <f>Roadmap2027!K4</f>
        <v>0</v>
      </c>
      <c r="E16" s="39">
        <f>Roadmap2027!O4</f>
        <v>0</v>
      </c>
    </row>
    <row r="17" spans="1:8" ht="19.5" customHeight="1">
      <c r="A17" s="18" t="s">
        <v>101</v>
      </c>
      <c r="B17" s="40">
        <f>Roadmap2027!C5</f>
        <v>0</v>
      </c>
      <c r="C17" s="40">
        <f>Roadmap2027!G5</f>
        <v>0</v>
      </c>
      <c r="D17" s="40">
        <f>Roadmap2027!K5</f>
        <v>0</v>
      </c>
      <c r="E17" s="40">
        <f>Roadmap2027!O5</f>
        <v>0</v>
      </c>
    </row>
    <row r="18" spans="1:8" ht="19.5" customHeight="1">
      <c r="A18" s="16" t="s">
        <v>102</v>
      </c>
      <c r="B18" s="39">
        <f>Roadmap2027!C6</f>
        <v>0</v>
      </c>
      <c r="C18" s="39">
        <f>Roadmap2027!G6</f>
        <v>0</v>
      </c>
      <c r="D18" s="39">
        <f>Roadmap2027!K6</f>
        <v>0</v>
      </c>
      <c r="E18" s="39">
        <f>Roadmap2027!O6</f>
        <v>0</v>
      </c>
    </row>
    <row r="19" spans="1:8" ht="19.5" customHeight="1">
      <c r="A19" s="41" t="s">
        <v>103</v>
      </c>
      <c r="B19" s="42">
        <f>SUMIF(DATA2027!A$2:A$401,"Q12027",DATA2027!E$2:E$401)</f>
        <v>168</v>
      </c>
      <c r="C19" s="42">
        <f>SUMIF(DATA2027!A$2:A$401,"Q22027",DATA2027!E$2:E$401)</f>
        <v>0</v>
      </c>
      <c r="D19" s="42">
        <f>SUMIF(DATA2027!A$2:A$401,"Q32027",DATA2027!E$2:E$401)</f>
        <v>0</v>
      </c>
      <c r="E19" s="42">
        <f>SUMIF(DATA2027!A$2:A$401,"Q42027",DATA2027!E$2:E$401)</f>
        <v>0</v>
      </c>
    </row>
    <row r="20" spans="1:8" ht="19.5" customHeight="1">
      <c r="A20" s="41" t="s">
        <v>104</v>
      </c>
      <c r="B20" s="42">
        <f>SUMIFS(DATA2027!E$2:E$401,DATA2027!A$2:A$401,"Q12027",DATA2027!G$2:G$401,"Desktop")</f>
        <v>0</v>
      </c>
      <c r="C20" s="42">
        <f>SUMIFS(DATA2027!E$2:E$401,DATA2027!A$2:A$401,"Q22027",DATA2027!G$2:G$401,"Desktop")</f>
        <v>0</v>
      </c>
      <c r="D20" s="42">
        <f>SUMIFS(DATA2027!E$2:E$401,DATA2027!A$2:A$401,"Q32027",DATA2027!G$2:G$401,"Desktop")</f>
        <v>0</v>
      </c>
      <c r="E20" s="42">
        <f>SUMIFS(DATA2027!E$2:E$401,DATA2027!A$2:A$401,"Q42027",DATA2027!G$2:G$401,"Desktop")</f>
        <v>0</v>
      </c>
    </row>
    <row r="21" spans="1:8" ht="19.5" customHeight="1">
      <c r="A21" s="41" t="s">
        <v>105</v>
      </c>
      <c r="B21" s="42">
        <f>SUMIFS(DATA2027!E$2:E$401,DATA2027!A$2:A$401,"Q12027",DATA2027!G$2:G$401,"WEB")</f>
        <v>0</v>
      </c>
      <c r="C21" s="42">
        <f>SUMIFS(DATA2027!E$2:E$401,DATA2027!A$2:A$401,"Q22027",DATA2027!G$2:G$401,"WEB")</f>
        <v>0</v>
      </c>
      <c r="D21" s="42">
        <f>SUMIFS(DATA2027!E$2:E$401,DATA2027!A$2:A$401,"Q32027",DATA2027!G$2:G$401,"WEB")</f>
        <v>0</v>
      </c>
      <c r="E21" s="42">
        <f>SUMIFS(DATA2027!E$2:E$401,DATA2027!A$2:A$401,"Q42027",DATA2027!G$2:G$401,"WEB")</f>
        <v>0</v>
      </c>
    </row>
    <row r="22" spans="1:8" ht="19.5" customHeight="1">
      <c r="A22" s="43" t="s">
        <v>106</v>
      </c>
      <c r="B22" s="44">
        <f>SUMIFS(DATA2027!E$2:E$401,DATA2027!A$2:A$401,"Q12027",DATA2027!G$2:G$401,"W-&gt;D")*0.5</f>
        <v>0</v>
      </c>
      <c r="C22" s="44">
        <f>SUMIFS(DATA2027!E$2:E$401,DATA2027!A$2:A$401,"Q22027",DATA2027!G$2:G$401,"W-&gt;D")*0.5</f>
        <v>0</v>
      </c>
      <c r="D22" s="44">
        <f>SUMIFS(DATA2027!E$2:E$401,DATA2027!A$2:A$401,"Q32027",DATA2027!G$2:G$401,"W-&gt;D")*0.5</f>
        <v>0</v>
      </c>
      <c r="E22" s="44">
        <f>SUMIFS(DATA2027!E$2:E$401,DATA2027!A$2:A$401,"Q42027",DATA2027!G$2:G$401,"W-&gt;D")*0.5</f>
        <v>0</v>
      </c>
    </row>
    <row r="23" spans="1:8" ht="19.5" customHeight="1">
      <c r="A23" s="43" t="s">
        <v>107</v>
      </c>
      <c r="B23" s="44">
        <f>SUMIFS(DATA2027!E$2:E$401,DATA2027!A$2:A$401,"Q12027",DATA2027!G$2:G$401,"D-&gt;W")*0.5</f>
        <v>0</v>
      </c>
      <c r="C23" s="44">
        <f>SUMIFS(DATA2027!E$2:E$401,DATA2027!A$2:A$401,"Q22027",DATA2027!G$2:G$401,"D-&gt;W")*0.5</f>
        <v>0</v>
      </c>
      <c r="D23" s="44">
        <f>SUMIFS(DATA2027!E$2:E$401,DATA2027!A$2:A$401,"Q32027",DATA2027!G$2:G$401,"D-&gt;W")*0.5</f>
        <v>0</v>
      </c>
      <c r="E23" s="44">
        <f>SUMIFS(DATA2027!E$2:E$401,DATA2027!A$2:A$401,"Q42027",DATA2027!G$2:G$401,"D-&gt;W")*0.5</f>
        <v>0</v>
      </c>
    </row>
    <row r="24" spans="1:8" ht="19.5" customHeight="1">
      <c r="A24" s="45" t="s">
        <v>108</v>
      </c>
      <c r="B24" s="46">
        <f>B20+B22+B23</f>
        <v>0</v>
      </c>
      <c r="C24" s="46">
        <f>C20+C22+C23</f>
        <v>0</v>
      </c>
      <c r="D24" s="46">
        <f>D20+D22+D23</f>
        <v>0</v>
      </c>
      <c r="E24" s="46">
        <f>E20+E22+E23</f>
        <v>0</v>
      </c>
    </row>
    <row r="25" spans="1:8" ht="19.5" customHeight="1">
      <c r="A25" s="45" t="s">
        <v>109</v>
      </c>
      <c r="B25" s="46">
        <f>B21+B22+B23</f>
        <v>0</v>
      </c>
      <c r="C25" s="46">
        <f>C21+C22+C23</f>
        <v>0</v>
      </c>
      <c r="D25" s="46">
        <f>D21+D22+D23</f>
        <v>0</v>
      </c>
      <c r="E25" s="46">
        <f>E21+E22+E23</f>
        <v>0</v>
      </c>
    </row>
    <row r="26" spans="1:8" ht="19.5" customHeight="1">
      <c r="A26" s="47" t="s">
        <v>110</v>
      </c>
      <c r="B26" s="48" t="str">
        <f>IFERROR(B24/B17,"")</f>
        <v/>
      </c>
      <c r="C26" s="48" t="str">
        <f>IFERROR(C24/C17,"")</f>
        <v/>
      </c>
      <c r="D26" s="48" t="str">
        <f>IFERROR(D24/D17,"")</f>
        <v/>
      </c>
      <c r="E26" s="48" t="str">
        <f>IFERROR(E24/E17,"")</f>
        <v/>
      </c>
    </row>
    <row r="27" spans="1:8" ht="19.5" customHeight="1">
      <c r="A27" s="47" t="s">
        <v>111</v>
      </c>
      <c r="B27" s="48" t="str">
        <f>IFERROR(B26/B18,"")</f>
        <v/>
      </c>
      <c r="C27" s="48" t="str">
        <f>IFERROR(C26/C18,"")</f>
        <v/>
      </c>
      <c r="D27" s="48" t="str">
        <f>IFERROR(D26/D18,"")</f>
        <v/>
      </c>
      <c r="E27" s="48" t="str">
        <f>IFERROR(E26/E18,"")</f>
        <v/>
      </c>
    </row>
    <row r="30" spans="1:8" ht="21.75" customHeight="1">
      <c r="A30" s="125" t="s">
        <v>112</v>
      </c>
      <c r="B30" s="125"/>
      <c r="C30" s="125"/>
      <c r="D30" s="125"/>
      <c r="E30" s="125"/>
      <c r="F30" s="125"/>
      <c r="G30" s="125"/>
      <c r="H30" s="125"/>
    </row>
    <row r="31" spans="1:8" ht="19.5" customHeight="1">
      <c r="A31" s="24"/>
      <c r="B31" s="24" t="s">
        <v>87</v>
      </c>
      <c r="C31" s="24" t="s">
        <v>88</v>
      </c>
      <c r="D31" s="24" t="s">
        <v>89</v>
      </c>
      <c r="E31" s="24" t="s">
        <v>90</v>
      </c>
      <c r="F31" s="24" t="s">
        <v>113</v>
      </c>
    </row>
    <row r="32" spans="1:8" ht="18.75" customHeight="1">
      <c r="A32" s="49" t="s">
        <v>20</v>
      </c>
      <c r="B32" s="50">
        <f>COUNTIFS(DATA2027!A$2:A$401,"Q12027",DATA2027!F$2:F$401,"Must")</f>
        <v>0</v>
      </c>
      <c r="C32" s="50">
        <f>COUNTIFS(DATA2027!A$2:A$401,"Q22027",DATA2027!F$2:F$401,"Must")</f>
        <v>0</v>
      </c>
      <c r="D32" s="50">
        <f>COUNTIFS(DATA2027!A$2:A$401,"Q32027",DATA2027!F$2:F$401,"Must")</f>
        <v>0</v>
      </c>
      <c r="E32" s="50">
        <f>COUNTIFS(DATA2027!A$2:A$401,"Q42027",DATA2027!F$2:F$401,"Must")</f>
        <v>0</v>
      </c>
      <c r="F32" s="50">
        <f>COUNTIF(DATA2027!F$2:F$401,"Must")</f>
        <v>0</v>
      </c>
    </row>
    <row r="33" spans="1:8" ht="18.75" customHeight="1">
      <c r="A33" s="51" t="s">
        <v>17</v>
      </c>
      <c r="B33" s="52">
        <f>COUNTIFS(DATA2027!A$2:A$401,"Q12027",DATA2027!F$2:F$401,"Should")</f>
        <v>6</v>
      </c>
      <c r="C33" s="52">
        <f>COUNTIFS(DATA2027!A$2:A$401,"Q22027",DATA2027!F$2:F$401,"Should")</f>
        <v>0</v>
      </c>
      <c r="D33" s="52">
        <f>COUNTIFS(DATA2027!A$2:A$401,"Q32027",DATA2027!F$2:F$401,"Should")</f>
        <v>0</v>
      </c>
      <c r="E33" s="52">
        <f>COUNTIFS(DATA2027!A$2:A$401,"Q42027",DATA2027!F$2:F$401,"Should")</f>
        <v>0</v>
      </c>
      <c r="F33" s="52">
        <f>COUNTIF(DATA2027!F$2:F$401,"Should")</f>
        <v>6</v>
      </c>
    </row>
    <row r="34" spans="1:8" ht="18.75" customHeight="1">
      <c r="A34" s="53" t="s">
        <v>11</v>
      </c>
      <c r="B34" s="54">
        <f>COUNTIFS(DATA2027!A$2:A$401,"Q12027",DATA2027!F$2:F$401,"Could")</f>
        <v>0</v>
      </c>
      <c r="C34" s="54">
        <f>COUNTIFS(DATA2027!A$2:A$401,"Q22027",DATA2027!F$2:F$401,"Could")</f>
        <v>0</v>
      </c>
      <c r="D34" s="54">
        <f>COUNTIFS(DATA2027!A$2:A$401,"Q32027",DATA2027!F$2:F$401,"Could")</f>
        <v>0</v>
      </c>
      <c r="E34" s="54">
        <f>COUNTIFS(DATA2027!A$2:A$401,"Q42027",DATA2027!F$2:F$401,"Could")</f>
        <v>0</v>
      </c>
      <c r="F34" s="54">
        <f>COUNTIF(DATA2027!F$2:F$401,"Could")</f>
        <v>0</v>
      </c>
    </row>
    <row r="35" spans="1:8" ht="18.75" customHeight="1">
      <c r="A35" s="55" t="s">
        <v>114</v>
      </c>
      <c r="B35" s="56">
        <f>COUNTIFS(DATA2027!A$2:A$401,"Q12027",DATA2027!F$2:F$401,"Won't")</f>
        <v>0</v>
      </c>
      <c r="C35" s="56">
        <f>COUNTIFS(DATA2027!A$2:A$401,"Q22027",DATA2027!F$2:F$401,"Won't")</f>
        <v>0</v>
      </c>
      <c r="D35" s="56">
        <f>COUNTIFS(DATA2027!A$2:A$401,"Q32027",DATA2027!F$2:F$401,"Won't")</f>
        <v>0</v>
      </c>
      <c r="E35" s="56">
        <f>COUNTIFS(DATA2027!A$2:A$401,"Q42027",DATA2027!F$2:F$401,"Won't")</f>
        <v>0</v>
      </c>
      <c r="F35" s="56">
        <f>COUNTIF(DATA2027!F$2:F$401,"Won't")</f>
        <v>0</v>
      </c>
    </row>
    <row r="37" spans="1:8" ht="21.75" customHeight="1">
      <c r="A37" s="125" t="s">
        <v>115</v>
      </c>
      <c r="B37" s="125"/>
      <c r="C37" s="125"/>
      <c r="D37" s="125"/>
      <c r="E37" s="125"/>
      <c r="F37" s="125"/>
      <c r="G37" s="125"/>
      <c r="H37" s="125"/>
    </row>
    <row r="38" spans="1:8" ht="19.5" customHeight="1">
      <c r="A38" s="24" t="s">
        <v>7</v>
      </c>
      <c r="B38" s="24" t="s">
        <v>87</v>
      </c>
      <c r="C38" s="24" t="s">
        <v>88</v>
      </c>
      <c r="D38" s="24" t="s">
        <v>89</v>
      </c>
      <c r="E38" s="24" t="s">
        <v>90</v>
      </c>
      <c r="F38" s="24" t="s">
        <v>113</v>
      </c>
    </row>
    <row r="39" spans="1:8" ht="18.75" customHeight="1">
      <c r="A39" s="57" t="s">
        <v>12</v>
      </c>
      <c r="B39" s="58">
        <f>SUMIFS(DATA2027!E$2:E$401,DATA2027!A$2:A$401,"Q12027",DATA2027!G$2:G$401,"WEB")</f>
        <v>0</v>
      </c>
      <c r="C39" s="58">
        <f>SUMIFS(DATA2027!E$2:E$401,DATA2027!A$2:A$401,"Q22027",DATA2027!G$2:G$401,"WEB")</f>
        <v>0</v>
      </c>
      <c r="D39" s="58">
        <f>SUMIFS(DATA2027!E$2:E$401,DATA2027!A$2:A$401,"Q32027",DATA2027!G$2:G$401,"WEB")</f>
        <v>0</v>
      </c>
      <c r="E39" s="58">
        <f>SUMIFS(DATA2027!E$2:E$401,DATA2027!A$2:A$401,"Q42027",DATA2027!G$2:G$401,"WEB")</f>
        <v>0</v>
      </c>
      <c r="F39" s="58">
        <f>SUMIF(DATA2027!G$2:G$401,"WEB",DATA2027!E$2:E$401)</f>
        <v>0</v>
      </c>
    </row>
    <row r="40" spans="1:8" ht="18.75" customHeight="1">
      <c r="A40" s="45" t="s">
        <v>116</v>
      </c>
      <c r="B40" s="59">
        <f>SUMIFS(DATA2027!E$2:E$401,DATA2027!A$2:A$401,"Q12027",DATA2027!G$2:G$401,"Desktop")</f>
        <v>0</v>
      </c>
      <c r="C40" s="59">
        <f>SUMIFS(DATA2027!E$2:E$401,DATA2027!A$2:A$401,"Q22027",DATA2027!G$2:G$401,"Desktop")</f>
        <v>0</v>
      </c>
      <c r="D40" s="59">
        <f>SUMIFS(DATA2027!E$2:E$401,DATA2027!A$2:A$401,"Q32027",DATA2027!G$2:G$401,"Desktop")</f>
        <v>0</v>
      </c>
      <c r="E40" s="59">
        <f>SUMIFS(DATA2027!E$2:E$401,DATA2027!A$2:A$401,"Q42027",DATA2027!G$2:G$401,"Desktop")</f>
        <v>0</v>
      </c>
      <c r="F40" s="59">
        <f>SUMIF(DATA2027!G$2:G$401,"Desktop",DATA2027!E$2:E$401)</f>
        <v>0</v>
      </c>
    </row>
    <row r="41" spans="1:8" ht="18.75" customHeight="1">
      <c r="A41" s="60" t="s">
        <v>25</v>
      </c>
      <c r="B41" s="44">
        <f>SUMIFS(DATA2027!E$2:E$401,DATA2027!A$2:A$401,"Q12027",DATA2027!G$2:G$401,"W-&gt;D")</f>
        <v>0</v>
      </c>
      <c r="C41" s="44">
        <f>SUMIFS(DATA2027!E$2:E$401,DATA2027!A$2:A$401,"Q22027",DATA2027!G$2:G$401,"W-&gt;D")</f>
        <v>0</v>
      </c>
      <c r="D41" s="44">
        <f>SUMIFS(DATA2027!E$2:E$401,DATA2027!A$2:A$401,"Q32027",DATA2027!G$2:G$401,"W-&gt;D")</f>
        <v>0</v>
      </c>
      <c r="E41" s="44">
        <f>SUMIFS(DATA2027!E$2:E$401,DATA2027!A$2:A$401,"Q42027",DATA2027!G$2:G$401,"W-&gt;D")</f>
        <v>0</v>
      </c>
      <c r="F41" s="44">
        <f>SUMIF(DATA2027!G$2:G$401,"W-&gt;D",DATA2027!E$2:E$401)</f>
        <v>0</v>
      </c>
    </row>
    <row r="42" spans="1:8" ht="18.75" customHeight="1">
      <c r="A42" s="61" t="s">
        <v>117</v>
      </c>
      <c r="B42" s="62">
        <f>SUMIFS(DATA2027!E$2:E$401,DATA2027!A$2:A$401,"Q12027",DATA2027!G$2:G$401,"D-&gt;W")</f>
        <v>0</v>
      </c>
      <c r="C42" s="62">
        <f>SUMIFS(DATA2027!E$2:E$401,DATA2027!A$2:A$401,"Q22027",DATA2027!G$2:G$401,"D-&gt;W")</f>
        <v>0</v>
      </c>
      <c r="D42" s="62">
        <f>SUMIFS(DATA2027!E$2:E$401,DATA2027!A$2:A$401,"Q32027",DATA2027!G$2:G$401,"D-&gt;W")</f>
        <v>0</v>
      </c>
      <c r="E42" s="62">
        <f>SUMIFS(DATA2027!E$2:E$401,DATA2027!A$2:A$401,"Q42027",DATA2027!G$2:G$401,"D-&gt;W")</f>
        <v>0</v>
      </c>
      <c r="F42" s="62">
        <f>SUMIF(DATA2027!G$2:G$401,"D-&gt;W",DATA2027!E$2:E$401)</f>
        <v>0</v>
      </c>
    </row>
    <row r="44" spans="1:8" ht="21.75" customHeight="1">
      <c r="A44" s="125" t="s">
        <v>118</v>
      </c>
      <c r="B44" s="125"/>
      <c r="C44" s="125"/>
      <c r="D44" s="125"/>
      <c r="E44" s="125"/>
      <c r="F44" s="125"/>
      <c r="G44" s="125"/>
      <c r="H44" s="125"/>
    </row>
    <row r="45" spans="1:8" ht="19.5" customHeight="1">
      <c r="A45" s="24"/>
      <c r="B45" s="24" t="s">
        <v>87</v>
      </c>
      <c r="C45" s="24" t="s">
        <v>88</v>
      </c>
      <c r="D45" s="24" t="s">
        <v>89</v>
      </c>
      <c r="E45" s="24" t="s">
        <v>90</v>
      </c>
      <c r="F45" s="24" t="s">
        <v>113</v>
      </c>
    </row>
    <row r="46" spans="1:8" ht="19.5" customHeight="1">
      <c r="A46" s="63" t="s">
        <v>119</v>
      </c>
      <c r="B46" s="64">
        <f>COUNTIFS(DATA2027!A$2:A$401,"Q12027",DATA2027!H$2:H$401,"PO-Backlog2027")</f>
        <v>0</v>
      </c>
      <c r="C46" s="64">
        <f>COUNTIFS(DATA2027!A$2:A$401,"Q22027",DATA2027!H$2:H$401,"PO-Backlog2027")</f>
        <v>0</v>
      </c>
      <c r="D46" s="64">
        <f>COUNTIFS(DATA2027!A$2:A$401,"Q32027",DATA2027!H$2:H$401,"PO-Backlog2027")</f>
        <v>0</v>
      </c>
      <c r="E46" s="64">
        <f>COUNTIFS(DATA2027!A$2:A$401,"Q42027",DATA2027!H$2:H$401,"PO-Backlog2027")</f>
        <v>0</v>
      </c>
      <c r="F46" s="64">
        <f>COUNTIF(DATA2027!H$2:H$401,"PO-Backlog2027")</f>
        <v>0</v>
      </c>
    </row>
    <row r="48" spans="1:8" ht="15.75" customHeight="1">
      <c r="A48" s="111" t="s">
        <v>120</v>
      </c>
      <c r="B48" s="111"/>
      <c r="C48" s="111"/>
      <c r="D48" s="111"/>
      <c r="E48" s="111"/>
      <c r="F48" s="111"/>
      <c r="G48" s="111"/>
      <c r="H48" s="111"/>
    </row>
  </sheetData>
  <mergeCells count="7">
    <mergeCell ref="A44:H44"/>
    <mergeCell ref="A48:H48"/>
    <mergeCell ref="A1:H1"/>
    <mergeCell ref="A3:H3"/>
    <mergeCell ref="A14:H14"/>
    <mergeCell ref="A30:H30"/>
    <mergeCell ref="A37:H37"/>
  </mergeCells>
  <pageMargins left="0.75" right="0.75" top="1" bottom="1"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P87"/>
  <sheetViews>
    <sheetView showGridLines="0" zoomScaleNormal="100" workbookViewId="0">
      <pane xSplit="1" ySplit="2" topLeftCell="B3" activePane="bottomRight" state="frozen"/>
      <selection pane="bottomRight" activeCell="B10" sqref="B10"/>
      <selection pane="bottomLeft" activeCell="A3" sqref="A3"/>
      <selection pane="topRight" activeCell="B1" sqref="B1"/>
    </sheetView>
  </sheetViews>
  <sheetFormatPr defaultColWidth="8.7109375" defaultRowHeight="15"/>
  <cols>
    <col min="1" max="1" width="5" customWidth="1"/>
    <col min="2" max="2" width="64.28515625" customWidth="1"/>
    <col min="3" max="3" width="16" customWidth="1"/>
    <col min="4" max="4" width="14" customWidth="1"/>
    <col min="5" max="5" width="16" customWidth="1"/>
    <col min="6" max="7" width="12" customWidth="1"/>
    <col min="8" max="8" width="11" customWidth="1"/>
    <col min="9" max="9" width="50" customWidth="1"/>
    <col min="10" max="16" width="0.140625" hidden="1" customWidth="1"/>
  </cols>
  <sheetData>
    <row r="1" spans="1:14" ht="43.5" customHeight="1">
      <c r="A1" s="112" t="s">
        <v>237</v>
      </c>
      <c r="B1" s="112"/>
      <c r="C1" s="112"/>
      <c r="D1" s="112"/>
      <c r="E1" s="112"/>
      <c r="F1" s="112"/>
      <c r="G1" s="112"/>
      <c r="H1" s="112"/>
      <c r="I1" s="112"/>
    </row>
    <row r="2" spans="1:14" ht="24" customHeight="1">
      <c r="A2" s="24" t="s">
        <v>1</v>
      </c>
      <c r="B2" s="24" t="s">
        <v>2</v>
      </c>
      <c r="C2" s="24" t="s">
        <v>3</v>
      </c>
      <c r="D2" s="24" t="s">
        <v>4</v>
      </c>
      <c r="E2" s="24" t="s">
        <v>5</v>
      </c>
      <c r="F2" s="24" t="s">
        <v>6</v>
      </c>
      <c r="G2" s="24" t="s">
        <v>7</v>
      </c>
      <c r="H2" s="24" t="s">
        <v>8</v>
      </c>
      <c r="I2" s="24" t="s">
        <v>9</v>
      </c>
    </row>
    <row r="3" spans="1:14" ht="24.75" customHeight="1">
      <c r="A3" s="65">
        <v>1</v>
      </c>
      <c r="B3" s="16" t="s">
        <v>188</v>
      </c>
      <c r="C3" s="17"/>
      <c r="D3" s="17" t="s">
        <v>134</v>
      </c>
      <c r="E3" s="17" t="s">
        <v>228</v>
      </c>
      <c r="F3" s="17" t="s">
        <v>17</v>
      </c>
      <c r="G3" s="17"/>
      <c r="H3" s="66" t="str">
        <f>IF(C3="XXL (&gt;160h)",168,IF(C3="XL (&gt;40h)",48,IF(C3="L (20-40h)",30,IF(C3="M (10-20h)",15,IF(C3="S (&lt;10h)",5,"")))))</f>
        <v/>
      </c>
      <c r="I3" s="16"/>
      <c r="J3" s="67">
        <f>IF($E3="Q12027",COUNTIF($E$3:$E3,"Q12027"),"")</f>
        <v>1</v>
      </c>
      <c r="K3" s="67" t="str">
        <f>IF($E3="Q22027",COUNTIF($E$3:$E3,"Q22027"),"")</f>
        <v/>
      </c>
      <c r="L3" s="67" t="str">
        <f>IF($E3="Q32027",COUNTIF($E$3:$E3,"Q32027"),"")</f>
        <v/>
      </c>
      <c r="M3" s="67" t="str">
        <f>IF($E3="Q42027",COUNTIF($E$3:$E3,"Q42027"),"")</f>
        <v/>
      </c>
      <c r="N3" s="67" t="str">
        <f>IF($E3="Backlog",COUNTIF($E$3:$E3,"Backlog"),"")</f>
        <v/>
      </c>
    </row>
    <row r="4" spans="1:14" ht="24.75" customHeight="1">
      <c r="A4" s="68">
        <v>2</v>
      </c>
      <c r="B4" s="18" t="s">
        <v>238</v>
      </c>
      <c r="C4" s="19"/>
      <c r="D4" s="19" t="s">
        <v>127</v>
      </c>
      <c r="E4" s="19" t="s">
        <v>228</v>
      </c>
      <c r="F4" s="19" t="s">
        <v>17</v>
      </c>
      <c r="G4" s="19"/>
      <c r="H4" s="69" t="str">
        <f>IF(C4="XXL (&gt;160h)",168,IF(C4="XL (&gt;40h)",48,IF(C4="L (20-40h)",30,IF(C4="M (10-20h)",15,IF(C4="S (&lt;10h)",5,"")))))</f>
        <v/>
      </c>
      <c r="I4" s="18" t="s">
        <v>239</v>
      </c>
      <c r="J4" s="67">
        <f>IF($E4="Q12027",COUNTIF($E$3:$E4,"Q12027"),"")</f>
        <v>2</v>
      </c>
      <c r="K4" s="67" t="str">
        <f>IF($E4="Q22027",COUNTIF($E$3:$E4,"Q22027"),"")</f>
        <v/>
      </c>
      <c r="L4" s="67" t="str">
        <f>IF($E4="Q32027",COUNTIF($E$3:$E4,"Q32027"),"")</f>
        <v/>
      </c>
      <c r="M4" s="67" t="str">
        <f>IF($E4="Q42027",COUNTIF($E$3:$E4,"Q42027"),"")</f>
        <v/>
      </c>
      <c r="N4" s="67" t="str">
        <f>IF($E4="Backlog",COUNTIF($E$3:$E4,"Backlog"),"")</f>
        <v/>
      </c>
    </row>
    <row r="5" spans="1:14" ht="24.75" customHeight="1">
      <c r="A5" s="65">
        <v>3</v>
      </c>
      <c r="B5" s="16" t="s">
        <v>240</v>
      </c>
      <c r="C5" s="17"/>
      <c r="D5" s="17" t="s">
        <v>134</v>
      </c>
      <c r="E5" s="17" t="s">
        <v>228</v>
      </c>
      <c r="F5" s="17" t="s">
        <v>17</v>
      </c>
      <c r="G5" s="17"/>
      <c r="H5" s="66" t="str">
        <f>IF(C5="XXL (&gt;160h)",168,IF(C5="XL (&gt;40h)",48,IF(C5="L (20-40h)",30,IF(C5="M (10-20h)",15,IF(C5="S (&lt;10h)",5,"")))))</f>
        <v/>
      </c>
      <c r="I5" s="16" t="s">
        <v>241</v>
      </c>
      <c r="J5" s="67">
        <f>IF($E5="Q12027",COUNTIF($E$3:$E5,"Q12027"),"")</f>
        <v>3</v>
      </c>
      <c r="K5" s="67" t="str">
        <f>IF($E5="Q22027",COUNTIF($E$3:$E5,"Q22027"),"")</f>
        <v/>
      </c>
      <c r="L5" s="67" t="str">
        <f>IF($E5="Q32027",COUNTIF($E$3:$E5,"Q32027"),"")</f>
        <v/>
      </c>
      <c r="M5" s="67" t="str">
        <f>IF($E5="Q42027",COUNTIF($E$3:$E5,"Q42027"),"")</f>
        <v/>
      </c>
      <c r="N5" s="67" t="str">
        <f>IF($E5="Backlog",COUNTIF($E$3:$E5,"Backlog"),"")</f>
        <v/>
      </c>
    </row>
    <row r="6" spans="1:14" ht="24.75" customHeight="1">
      <c r="A6" s="68">
        <v>4</v>
      </c>
      <c r="B6" s="18" t="s">
        <v>242</v>
      </c>
      <c r="C6" s="19"/>
      <c r="D6" s="19" t="s">
        <v>127</v>
      </c>
      <c r="E6" s="19" t="s">
        <v>228</v>
      </c>
      <c r="F6" s="19" t="s">
        <v>17</v>
      </c>
      <c r="G6" s="19"/>
      <c r="H6" s="69" t="str">
        <f>IF(C6="XXL (&gt;160h)",168,IF(C6="XL (&gt;40h)",48,IF(C6="L (20-40h)",30,IF(C6="M (10-20h)",15,IF(C6="S (&lt;10h)",5,"")))))</f>
        <v/>
      </c>
      <c r="I6" s="18" t="s">
        <v>239</v>
      </c>
      <c r="J6" s="67">
        <f>IF($E6="Q12027",COUNTIF($E$3:$E6,"Q12027"),"")</f>
        <v>4</v>
      </c>
      <c r="K6" s="67" t="str">
        <f>IF($E6="Q22027",COUNTIF($E$3:$E6,"Q22027"),"")</f>
        <v/>
      </c>
      <c r="L6" s="67" t="str">
        <f>IF($E6="Q32027",COUNTIF($E$3:$E6,"Q32027"),"")</f>
        <v/>
      </c>
      <c r="M6" s="67" t="str">
        <f>IF($E6="Q42027",COUNTIF($E$3:$E6,"Q42027"),"")</f>
        <v/>
      </c>
      <c r="N6" s="67" t="str">
        <f>IF($E6="Backlog",COUNTIF($E$3:$E6,"Backlog"),"")</f>
        <v/>
      </c>
    </row>
    <row r="7" spans="1:14" ht="24.75" customHeight="1">
      <c r="A7" s="65">
        <v>5</v>
      </c>
      <c r="B7" s="16" t="s">
        <v>243</v>
      </c>
      <c r="C7" s="17"/>
      <c r="D7" s="19" t="s">
        <v>127</v>
      </c>
      <c r="E7" s="17" t="s">
        <v>228</v>
      </c>
      <c r="F7" s="17" t="s">
        <v>17</v>
      </c>
      <c r="G7" s="17"/>
      <c r="H7" s="66" t="str">
        <f>IF(C7="XXL (&gt;160h)",168,IF(C7="XL (&gt;40h)",48,IF(C7="L (20-40h)",30,IF(C7="M (10-20h)",15,IF(C7="S (&lt;10h)",5,"")))))</f>
        <v/>
      </c>
      <c r="I7" s="18" t="s">
        <v>239</v>
      </c>
      <c r="J7" s="67">
        <f>IF($E7="Q12027",COUNTIF($E$3:$E7,"Q12027"),"")</f>
        <v>5</v>
      </c>
      <c r="K7" s="67" t="str">
        <f>IF($E7="Q22027",COUNTIF($E$3:$E7,"Q22027"),"")</f>
        <v/>
      </c>
      <c r="L7" s="67" t="str">
        <f>IF($E7="Q32027",COUNTIF($E$3:$E7,"Q32027"),"")</f>
        <v/>
      </c>
      <c r="M7" s="67" t="str">
        <f>IF($E7="Q42027",COUNTIF($E$3:$E7,"Q42027"),"")</f>
        <v/>
      </c>
      <c r="N7" s="67" t="str">
        <f>IF($E7="Backlog",COUNTIF($E$3:$E7,"Backlog"),"")</f>
        <v/>
      </c>
    </row>
    <row r="8" spans="1:14" ht="24.75" customHeight="1">
      <c r="A8" s="68">
        <v>6</v>
      </c>
      <c r="B8" s="18" t="s">
        <v>244</v>
      </c>
      <c r="C8" s="19" t="s">
        <v>145</v>
      </c>
      <c r="D8" s="19" t="s">
        <v>123</v>
      </c>
      <c r="E8" s="19" t="s">
        <v>228</v>
      </c>
      <c r="F8" s="19" t="s">
        <v>17</v>
      </c>
      <c r="G8" s="19"/>
      <c r="H8" s="69">
        <f>IF(C8="XXL (&gt;160h)",168,IF(C8="XL (&gt;40h)",48,IF(C8="L (20-40h)",30,IF(C8="M (10-20h)",15,IF(C8="S (&lt;10h)",5,"")))))</f>
        <v>168</v>
      </c>
      <c r="I8" s="18" t="s">
        <v>245</v>
      </c>
      <c r="J8" s="67">
        <f>IF($E8="Q12027",COUNTIF($E$3:$E8,"Q12027"),"")</f>
        <v>6</v>
      </c>
      <c r="K8" s="67" t="str">
        <f>IF($E8="Q22027",COUNTIF($E$3:$E8,"Q22027"),"")</f>
        <v/>
      </c>
      <c r="L8" s="67" t="str">
        <f>IF($E8="Q32027",COUNTIF($E$3:$E8,"Q32027"),"")</f>
        <v/>
      </c>
      <c r="M8" s="67" t="str">
        <f>IF($E8="Q42027",COUNTIF($E$3:$E8,"Q42027"),"")</f>
        <v/>
      </c>
      <c r="N8" s="67" t="str">
        <f>IF($E8="Backlog",COUNTIF($E$3:$E8,"Backlog"),"")</f>
        <v/>
      </c>
    </row>
    <row r="9" spans="1:14" ht="24.75" customHeight="1">
      <c r="A9" s="65">
        <v>7</v>
      </c>
      <c r="B9" s="16" t="s">
        <v>215</v>
      </c>
      <c r="C9" s="17"/>
      <c r="D9" s="17"/>
      <c r="E9" s="17"/>
      <c r="F9" s="17"/>
      <c r="G9" s="17"/>
      <c r="H9" s="66" t="str">
        <f>IF(C9="XXL (&gt;160h)",168,IF(C9="XL (&gt;40h)",48,IF(C9="L (20-40h)",30,IF(C9="M (10-20h)",15,IF(C9="S (&lt;10h)",5,"")))))</f>
        <v/>
      </c>
      <c r="I9" s="16"/>
      <c r="J9" s="67" t="str">
        <f>IF($E9="Q12027",COUNTIF($E$3:$E9,"Q12027"),"")</f>
        <v/>
      </c>
      <c r="K9" s="67" t="str">
        <f>IF($E9="Q22027",COUNTIF($E$3:$E9,"Q22027"),"")</f>
        <v/>
      </c>
      <c r="L9" s="67" t="str">
        <f>IF($E9="Q32027",COUNTIF($E$3:$E9,"Q32027"),"")</f>
        <v/>
      </c>
      <c r="M9" s="67" t="str">
        <f>IF($E9="Q42027",COUNTIF($E$3:$E9,"Q42027"),"")</f>
        <v/>
      </c>
      <c r="N9" s="67" t="str">
        <f>IF($E9="Backlog",COUNTIF($E$3:$E9,"Backlog"),"")</f>
        <v/>
      </c>
    </row>
    <row r="10" spans="1:14" ht="24.75" customHeight="1">
      <c r="A10" s="68">
        <v>8</v>
      </c>
      <c r="B10" s="18"/>
      <c r="C10" s="19"/>
      <c r="D10" s="19"/>
      <c r="E10" s="19"/>
      <c r="F10" s="19"/>
      <c r="G10" s="19"/>
      <c r="H10" s="69" t="str">
        <f>IF(C10="XXL (&gt;160h)",168,IF(C10="XL (&gt;40h)",48,IF(C10="L (20-40h)",30,IF(C10="M (10-20h)",15,IF(C10="S (&lt;10h)",5,"")))))</f>
        <v/>
      </c>
      <c r="I10" s="18"/>
      <c r="J10" s="67" t="str">
        <f>IF($E10="Q12027",COUNTIF($E$3:$E10,"Q12027"),"")</f>
        <v/>
      </c>
      <c r="K10" s="67" t="str">
        <f>IF($E10="Q22027",COUNTIF($E$3:$E10,"Q22027"),"")</f>
        <v/>
      </c>
      <c r="L10" s="67" t="str">
        <f>IF($E10="Q32027",COUNTIF($E$3:$E10,"Q32027"),"")</f>
        <v/>
      </c>
      <c r="M10" s="67" t="str">
        <f>IF($E10="Q42027",COUNTIF($E$3:$E10,"Q42027"),"")</f>
        <v/>
      </c>
      <c r="N10" s="67" t="str">
        <f>IF($E10="Backlog",COUNTIF($E$3:$E10,"Backlog"),"")</f>
        <v/>
      </c>
    </row>
    <row r="11" spans="1:14" ht="24.75" customHeight="1">
      <c r="A11" s="65">
        <v>9</v>
      </c>
      <c r="B11" s="16"/>
      <c r="C11" s="17"/>
      <c r="D11" s="17"/>
      <c r="E11" s="17"/>
      <c r="F11" s="17"/>
      <c r="G11" s="17"/>
      <c r="H11" s="66" t="str">
        <f>IF(C11="XXL (&gt;160h)",168,IF(C11="XL (&gt;40h)",48,IF(C11="L (20-40h)",30,IF(C11="M (10-20h)",15,IF(C11="S (&lt;10h)",5,"")))))</f>
        <v/>
      </c>
      <c r="I11" s="16"/>
      <c r="J11" s="67" t="str">
        <f>IF($E11="Q12027",COUNTIF($E$3:$E11,"Q12027"),"")</f>
        <v/>
      </c>
      <c r="K11" s="67" t="str">
        <f>IF($E11="Q22027",COUNTIF($E$3:$E11,"Q22027"),"")</f>
        <v/>
      </c>
      <c r="L11" s="67" t="str">
        <f>IF($E11="Q32027",COUNTIF($E$3:$E11,"Q32027"),"")</f>
        <v/>
      </c>
      <c r="M11" s="67" t="str">
        <f>IF($E11="Q42027",COUNTIF($E$3:$E11,"Q42027"),"")</f>
        <v/>
      </c>
      <c r="N11" s="67" t="str">
        <f>IF($E11="Backlog",COUNTIF($E$3:$E11,"Backlog"),"")</f>
        <v/>
      </c>
    </row>
    <row r="12" spans="1:14" ht="24.75" customHeight="1">
      <c r="A12" s="68">
        <v>10</v>
      </c>
      <c r="B12" s="18"/>
      <c r="C12" s="19"/>
      <c r="D12" s="19"/>
      <c r="E12" s="19"/>
      <c r="F12" s="19"/>
      <c r="G12" s="19"/>
      <c r="H12" s="69" t="str">
        <f>IF(C12="XXL (&gt;160h)",168,IF(C12="XL (&gt;40h)",48,IF(C12="L (20-40h)",30,IF(C12="M (10-20h)",15,IF(C12="S (&lt;10h)",5,"")))))</f>
        <v/>
      </c>
      <c r="I12" s="18"/>
      <c r="J12" s="67" t="str">
        <f>IF($E12="Q12027",COUNTIF($E$3:$E12,"Q12027"),"")</f>
        <v/>
      </c>
      <c r="K12" s="67" t="str">
        <f>IF($E12="Q22027",COUNTIF($E$3:$E12,"Q22027"),"")</f>
        <v/>
      </c>
      <c r="L12" s="67" t="str">
        <f>IF($E12="Q32027",COUNTIF($E$3:$E12,"Q32027"),"")</f>
        <v/>
      </c>
      <c r="M12" s="67" t="str">
        <f>IF($E12="Q42027",COUNTIF($E$3:$E12,"Q42027"),"")</f>
        <v/>
      </c>
      <c r="N12" s="67" t="str">
        <f>IF($E12="Backlog",COUNTIF($E$3:$E12,"Backlog"),"")</f>
        <v/>
      </c>
    </row>
    <row r="13" spans="1:14" ht="24.75" customHeight="1">
      <c r="A13" s="65">
        <v>11</v>
      </c>
      <c r="B13" s="16"/>
      <c r="C13" s="17"/>
      <c r="D13" s="17"/>
      <c r="E13" s="17"/>
      <c r="F13" s="17"/>
      <c r="G13" s="17"/>
      <c r="H13" s="66" t="str">
        <f>IF(C13="XXL (&gt;160h)",168,IF(C13="XL (&gt;40h)",48,IF(C13="L (20-40h)",30,IF(C13="M (10-20h)",15,IF(C13="S (&lt;10h)",5,"")))))</f>
        <v/>
      </c>
      <c r="I13" s="16"/>
      <c r="J13" s="67" t="str">
        <f>IF($E13="Q12027",COUNTIF($E$3:$E13,"Q12027"),"")</f>
        <v/>
      </c>
      <c r="K13" s="67" t="str">
        <f>IF($E13="Q22027",COUNTIF($E$3:$E13,"Q22027"),"")</f>
        <v/>
      </c>
      <c r="L13" s="67" t="str">
        <f>IF($E13="Q32027",COUNTIF($E$3:$E13,"Q32027"),"")</f>
        <v/>
      </c>
      <c r="M13" s="67" t="str">
        <f>IF($E13="Q42027",COUNTIF($E$3:$E13,"Q42027"),"")</f>
        <v/>
      </c>
      <c r="N13" s="67" t="str">
        <f>IF($E13="Backlog",COUNTIF($E$3:$E13,"Backlog"),"")</f>
        <v/>
      </c>
    </row>
    <row r="14" spans="1:14" ht="24.75" customHeight="1">
      <c r="A14" s="68">
        <v>12</v>
      </c>
      <c r="B14" s="18"/>
      <c r="C14" s="19"/>
      <c r="D14" s="19"/>
      <c r="E14" s="19"/>
      <c r="F14" s="19"/>
      <c r="G14" s="19"/>
      <c r="H14" s="69" t="str">
        <f>IF(C14="XXL (&gt;160h)",168,IF(C14="XL (&gt;40h)",48,IF(C14="L (20-40h)",30,IF(C14="M (10-20h)",15,IF(C14="S (&lt;10h)",5,"")))))</f>
        <v/>
      </c>
      <c r="I14" s="18"/>
      <c r="J14" s="67" t="str">
        <f>IF($E14="Q12027",COUNTIF($E$3:$E14,"Q12027"),"")</f>
        <v/>
      </c>
      <c r="K14" s="67" t="str">
        <f>IF($E14="Q22027",COUNTIF($E$3:$E14,"Q22027"),"")</f>
        <v/>
      </c>
      <c r="L14" s="67" t="str">
        <f>IF($E14="Q32027",COUNTIF($E$3:$E14,"Q32027"),"")</f>
        <v/>
      </c>
      <c r="M14" s="67" t="str">
        <f>IF($E14="Q42027",COUNTIF($E$3:$E14,"Q42027"),"")</f>
        <v/>
      </c>
      <c r="N14" s="67" t="str">
        <f>IF($E14="Backlog",COUNTIF($E$3:$E14,"Backlog"),"")</f>
        <v/>
      </c>
    </row>
    <row r="15" spans="1:14" ht="24.75" customHeight="1">
      <c r="A15" s="65">
        <v>13</v>
      </c>
      <c r="B15" s="16"/>
      <c r="C15" s="17"/>
      <c r="D15" s="17"/>
      <c r="E15" s="17"/>
      <c r="F15" s="17"/>
      <c r="G15" s="17"/>
      <c r="H15" s="66" t="str">
        <f>IF(C15="XXL (&gt;160h)",168,IF(C15="XL (&gt;40h)",48,IF(C15="L (20-40h)",30,IF(C15="M (10-20h)",15,IF(C15="S (&lt;10h)",5,"")))))</f>
        <v/>
      </c>
      <c r="I15" s="16"/>
      <c r="J15" s="67" t="str">
        <f>IF($E15="Q12027",COUNTIF($E$3:$E15,"Q12027"),"")</f>
        <v/>
      </c>
      <c r="K15" s="67" t="str">
        <f>IF($E15="Q22027",COUNTIF($E$3:$E15,"Q22027"),"")</f>
        <v/>
      </c>
      <c r="L15" s="67" t="str">
        <f>IF($E15="Q32027",COUNTIF($E$3:$E15,"Q32027"),"")</f>
        <v/>
      </c>
      <c r="M15" s="67" t="str">
        <f>IF($E15="Q42027",COUNTIF($E$3:$E15,"Q42027"),"")</f>
        <v/>
      </c>
      <c r="N15" s="67" t="str">
        <f>IF($E15="Backlog",COUNTIF($E$3:$E15,"Backlog"),"")</f>
        <v/>
      </c>
    </row>
    <row r="16" spans="1:14" ht="24.75" customHeight="1">
      <c r="A16" s="68">
        <v>14</v>
      </c>
      <c r="B16" s="18"/>
      <c r="C16" s="19"/>
      <c r="D16" s="19"/>
      <c r="E16" s="19"/>
      <c r="F16" s="19"/>
      <c r="G16" s="19"/>
      <c r="H16" s="69" t="str">
        <f>IF(C16="XXL (&gt;160h)",168,IF(C16="XL (&gt;40h)",48,IF(C16="L (20-40h)",30,IF(C16="M (10-20h)",15,IF(C16="S (&lt;10h)",5,"")))))</f>
        <v/>
      </c>
      <c r="I16" s="18"/>
      <c r="J16" s="67" t="str">
        <f>IF($E16="Q12027",COUNTIF($E$3:$E16,"Q12027"),"")</f>
        <v/>
      </c>
      <c r="K16" s="67" t="str">
        <f>IF($E16="Q22027",COUNTIF($E$3:$E16,"Q22027"),"")</f>
        <v/>
      </c>
      <c r="L16" s="67" t="str">
        <f>IF($E16="Q32027",COUNTIF($E$3:$E16,"Q32027"),"")</f>
        <v/>
      </c>
      <c r="M16" s="67" t="str">
        <f>IF($E16="Q42027",COUNTIF($E$3:$E16,"Q42027"),"")</f>
        <v/>
      </c>
      <c r="N16" s="67" t="str">
        <f>IF($E16="Backlog",COUNTIF($E$3:$E16,"Backlog"),"")</f>
        <v/>
      </c>
    </row>
    <row r="17" spans="1:14" ht="24.75" customHeight="1">
      <c r="A17" s="65">
        <v>15</v>
      </c>
      <c r="B17" s="16"/>
      <c r="C17" s="17"/>
      <c r="D17" s="17"/>
      <c r="E17" s="17"/>
      <c r="F17" s="17"/>
      <c r="G17" s="17"/>
      <c r="H17" s="66" t="str">
        <f>IF(C17="XXL (&gt;160h)",168,IF(C17="XL (&gt;40h)",48,IF(C17="L (20-40h)",30,IF(C17="M (10-20h)",15,IF(C17="S (&lt;10h)",5,"")))))</f>
        <v/>
      </c>
      <c r="I17" s="16"/>
      <c r="J17" s="67" t="str">
        <f>IF($E17="Q12027",COUNTIF($E$3:$E17,"Q12027"),"")</f>
        <v/>
      </c>
      <c r="K17" s="67" t="str">
        <f>IF($E17="Q22027",COUNTIF($E$3:$E17,"Q22027"),"")</f>
        <v/>
      </c>
      <c r="L17" s="67" t="str">
        <f>IF($E17="Q32027",COUNTIF($E$3:$E17,"Q32027"),"")</f>
        <v/>
      </c>
      <c r="M17" s="67" t="str">
        <f>IF($E17="Q42027",COUNTIF($E$3:$E17,"Q42027"),"")</f>
        <v/>
      </c>
      <c r="N17" s="67" t="str">
        <f>IF($E17="Backlog",COUNTIF($E$3:$E17,"Backlog"),"")</f>
        <v/>
      </c>
    </row>
    <row r="18" spans="1:14" ht="24.75" customHeight="1">
      <c r="A18" s="68">
        <v>16</v>
      </c>
      <c r="B18" s="18"/>
      <c r="C18" s="19"/>
      <c r="D18" s="19"/>
      <c r="E18" s="19"/>
      <c r="F18" s="19"/>
      <c r="G18" s="19"/>
      <c r="H18" s="69" t="str">
        <f>IF(C18="XXL (&gt;160h)",168,IF(C18="XL (&gt;40h)",48,IF(C18="L (20-40h)",30,IF(C18="M (10-20h)",15,IF(C18="S (&lt;10h)",5,"")))))</f>
        <v/>
      </c>
      <c r="I18" s="18"/>
      <c r="J18" s="67" t="str">
        <f>IF($E18="Q12027",COUNTIF($E$3:$E18,"Q12027"),"")</f>
        <v/>
      </c>
      <c r="K18" s="67" t="str">
        <f>IF($E18="Q22027",COUNTIF($E$3:$E18,"Q22027"),"")</f>
        <v/>
      </c>
      <c r="L18" s="67" t="str">
        <f>IF($E18="Q32027",COUNTIF($E$3:$E18,"Q32027"),"")</f>
        <v/>
      </c>
      <c r="M18" s="67" t="str">
        <f>IF($E18="Q42027",COUNTIF($E$3:$E18,"Q42027"),"")</f>
        <v/>
      </c>
      <c r="N18" s="67" t="str">
        <f>IF($E18="Backlog",COUNTIF($E$3:$E18,"Backlog"),"")</f>
        <v/>
      </c>
    </row>
    <row r="19" spans="1:14" ht="24.75" customHeight="1">
      <c r="A19" s="65">
        <v>17</v>
      </c>
      <c r="B19" s="16"/>
      <c r="C19" s="17"/>
      <c r="D19" s="17"/>
      <c r="E19" s="17"/>
      <c r="F19" s="17"/>
      <c r="G19" s="17"/>
      <c r="H19" s="66" t="str">
        <f>IF(C19="XXL (&gt;160h)",168,IF(C19="XL (&gt;40h)",48,IF(C19="L (20-40h)",30,IF(C19="M (10-20h)",15,IF(C19="S (&lt;10h)",5,"")))))</f>
        <v/>
      </c>
      <c r="I19" s="16"/>
      <c r="J19" s="67" t="str">
        <f>IF($E19="Q12027",COUNTIF($E$3:$E19,"Q12027"),"")</f>
        <v/>
      </c>
      <c r="K19" s="67" t="str">
        <f>IF($E19="Q22027",COUNTIF($E$3:$E19,"Q22027"),"")</f>
        <v/>
      </c>
      <c r="L19" s="67" t="str">
        <f>IF($E19="Q32027",COUNTIF($E$3:$E19,"Q32027"),"")</f>
        <v/>
      </c>
      <c r="M19" s="67" t="str">
        <f>IF($E19="Q42027",COUNTIF($E$3:$E19,"Q42027"),"")</f>
        <v/>
      </c>
      <c r="N19" s="67" t="str">
        <f>IF($E19="Backlog",COUNTIF($E$3:$E19,"Backlog"),"")</f>
        <v/>
      </c>
    </row>
    <row r="20" spans="1:14" ht="24.75" customHeight="1">
      <c r="A20" s="68">
        <v>18</v>
      </c>
      <c r="B20" s="18"/>
      <c r="C20" s="19"/>
      <c r="D20" s="19"/>
      <c r="E20" s="19"/>
      <c r="F20" s="19"/>
      <c r="G20" s="19"/>
      <c r="H20" s="69" t="str">
        <f>IF(C20="XXL (&gt;160h)",168,IF(C20="XL (&gt;40h)",48,IF(C20="L (20-40h)",30,IF(C20="M (10-20h)",15,IF(C20="S (&lt;10h)",5,"")))))</f>
        <v/>
      </c>
      <c r="I20" s="18"/>
      <c r="J20" s="67" t="str">
        <f>IF($E20="Q12027",COUNTIF($E$3:$E20,"Q12027"),"")</f>
        <v/>
      </c>
      <c r="K20" s="67" t="str">
        <f>IF($E20="Q22027",COUNTIF($E$3:$E20,"Q22027"),"")</f>
        <v/>
      </c>
      <c r="L20" s="67" t="str">
        <f>IF($E20="Q32027",COUNTIF($E$3:$E20,"Q32027"),"")</f>
        <v/>
      </c>
      <c r="M20" s="67" t="str">
        <f>IF($E20="Q42027",COUNTIF($E$3:$E20,"Q42027"),"")</f>
        <v/>
      </c>
      <c r="N20" s="67" t="str">
        <f>IF($E20="Backlog",COUNTIF($E$3:$E20,"Backlog"),"")</f>
        <v/>
      </c>
    </row>
    <row r="21" spans="1:14" ht="24.75" customHeight="1">
      <c r="A21" s="65">
        <v>19</v>
      </c>
      <c r="B21" s="16"/>
      <c r="C21" s="17"/>
      <c r="D21" s="17"/>
      <c r="E21" s="17"/>
      <c r="F21" s="17"/>
      <c r="G21" s="17"/>
      <c r="H21" s="66" t="str">
        <f>IF(C21="XXL (&gt;160h)",168,IF(C21="XL (&gt;40h)",48,IF(C21="L (20-40h)",30,IF(C21="M (10-20h)",15,IF(C21="S (&lt;10h)",5,"")))))</f>
        <v/>
      </c>
      <c r="I21" s="16"/>
      <c r="J21" s="67" t="str">
        <f>IF($E21="Q12027",COUNTIF($E$3:$E21,"Q12027"),"")</f>
        <v/>
      </c>
      <c r="K21" s="67" t="str">
        <f>IF($E21="Q22027",COUNTIF($E$3:$E21,"Q22027"),"")</f>
        <v/>
      </c>
      <c r="L21" s="67" t="str">
        <f>IF($E21="Q32027",COUNTIF($E$3:$E21,"Q32027"),"")</f>
        <v/>
      </c>
      <c r="M21" s="67" t="str">
        <f>IF($E21="Q42027",COUNTIF($E$3:$E21,"Q42027"),"")</f>
        <v/>
      </c>
      <c r="N21" s="67" t="str">
        <f>IF($E21="Backlog",COUNTIF($E$3:$E21,"Backlog"),"")</f>
        <v/>
      </c>
    </row>
    <row r="22" spans="1:14" ht="24.75" customHeight="1">
      <c r="A22" s="68">
        <v>20</v>
      </c>
      <c r="B22" s="18"/>
      <c r="C22" s="19"/>
      <c r="D22" s="19"/>
      <c r="E22" s="19"/>
      <c r="F22" s="19"/>
      <c r="G22" s="19"/>
      <c r="H22" s="69" t="str">
        <f>IF(C22="XXL (&gt;160h)",168,IF(C22="XL (&gt;40h)",48,IF(C22="L (20-40h)",30,IF(C22="M (10-20h)",15,IF(C22="S (&lt;10h)",5,"")))))</f>
        <v/>
      </c>
      <c r="I22" s="18"/>
      <c r="J22" s="67" t="str">
        <f>IF($E22="Q12027",COUNTIF($E$3:$E22,"Q12027"),"")</f>
        <v/>
      </c>
      <c r="K22" s="67" t="str">
        <f>IF($E22="Q22027",COUNTIF($E$3:$E22,"Q22027"),"")</f>
        <v/>
      </c>
      <c r="L22" s="67" t="str">
        <f>IF($E22="Q32027",COUNTIF($E$3:$E22,"Q32027"),"")</f>
        <v/>
      </c>
      <c r="M22" s="67" t="str">
        <f>IF($E22="Q42027",COUNTIF($E$3:$E22,"Q42027"),"")</f>
        <v/>
      </c>
      <c r="N22" s="67" t="str">
        <f>IF($E22="Backlog",COUNTIF($E$3:$E22,"Backlog"),"")</f>
        <v/>
      </c>
    </row>
    <row r="23" spans="1:14" ht="24.75" customHeight="1">
      <c r="A23" s="65">
        <v>21</v>
      </c>
      <c r="B23" s="16"/>
      <c r="C23" s="17"/>
      <c r="D23" s="17"/>
      <c r="E23" s="17"/>
      <c r="F23" s="17"/>
      <c r="G23" s="17"/>
      <c r="H23" s="66" t="str">
        <f>IF(C23="XXL (&gt;160h)",168,IF(C23="XL (&gt;40h)",48,IF(C23="L (20-40h)",30,IF(C23="M (10-20h)",15,IF(C23="S (&lt;10h)",5,"")))))</f>
        <v/>
      </c>
      <c r="I23" s="16"/>
      <c r="J23" s="67" t="str">
        <f>IF($E23="Q12027",COUNTIF($E$3:$E23,"Q12027"),"")</f>
        <v/>
      </c>
      <c r="K23" s="67" t="str">
        <f>IF($E23="Q22027",COUNTIF($E$3:$E23,"Q22027"),"")</f>
        <v/>
      </c>
      <c r="L23" s="67" t="str">
        <f>IF($E23="Q32027",COUNTIF($E$3:$E23,"Q32027"),"")</f>
        <v/>
      </c>
      <c r="M23" s="67" t="str">
        <f>IF($E23="Q42027",COUNTIF($E$3:$E23,"Q42027"),"")</f>
        <v/>
      </c>
      <c r="N23" s="67" t="str">
        <f>IF($E23="Backlog",COUNTIF($E$3:$E23,"Backlog"),"")</f>
        <v/>
      </c>
    </row>
    <row r="24" spans="1:14" ht="24.75" customHeight="1">
      <c r="A24" s="68">
        <v>22</v>
      </c>
      <c r="B24" s="18"/>
      <c r="C24" s="19"/>
      <c r="D24" s="19"/>
      <c r="E24" s="19"/>
      <c r="F24" s="19"/>
      <c r="G24" s="19"/>
      <c r="H24" s="69" t="str">
        <f>IF(C24="XXL (&gt;160h)",168,IF(C24="XL (&gt;40h)",48,IF(C24="L (20-40h)",30,IF(C24="M (10-20h)",15,IF(C24="S (&lt;10h)",5,"")))))</f>
        <v/>
      </c>
      <c r="I24" s="18"/>
      <c r="J24" s="67" t="str">
        <f>IF($E24="Q12027",COUNTIF($E$3:$E24,"Q12027"),"")</f>
        <v/>
      </c>
      <c r="K24" s="67" t="str">
        <f>IF($E24="Q22027",COUNTIF($E$3:$E24,"Q22027"),"")</f>
        <v/>
      </c>
      <c r="L24" s="67" t="str">
        <f>IF($E24="Q32027",COUNTIF($E$3:$E24,"Q32027"),"")</f>
        <v/>
      </c>
      <c r="M24" s="67" t="str">
        <f>IF($E24="Q42027",COUNTIF($E$3:$E24,"Q42027"),"")</f>
        <v/>
      </c>
      <c r="N24" s="67" t="str">
        <f>IF($E24="Backlog",COUNTIF($E$3:$E24,"Backlog"),"")</f>
        <v/>
      </c>
    </row>
    <row r="25" spans="1:14" ht="24.75" customHeight="1">
      <c r="A25" s="65">
        <v>23</v>
      </c>
      <c r="B25" s="16"/>
      <c r="C25" s="17"/>
      <c r="D25" s="17"/>
      <c r="E25" s="17"/>
      <c r="F25" s="17"/>
      <c r="G25" s="17"/>
      <c r="H25" s="66" t="str">
        <f>IF(C25="XXL (&gt;160h)",168,IF(C25="XL (&gt;40h)",48,IF(C25="L (20-40h)",30,IF(C25="M (10-20h)",15,IF(C25="S (&lt;10h)",5,"")))))</f>
        <v/>
      </c>
      <c r="I25" s="16"/>
      <c r="J25" s="67" t="str">
        <f>IF($E25="Q12027",COUNTIF($E$3:$E25,"Q12027"),"")</f>
        <v/>
      </c>
      <c r="K25" s="67" t="str">
        <f>IF($E25="Q22027",COUNTIF($E$3:$E25,"Q22027"),"")</f>
        <v/>
      </c>
      <c r="L25" s="67" t="str">
        <f>IF($E25="Q32027",COUNTIF($E$3:$E25,"Q32027"),"")</f>
        <v/>
      </c>
      <c r="M25" s="67" t="str">
        <f>IF($E25="Q42027",COUNTIF($E$3:$E25,"Q42027"),"")</f>
        <v/>
      </c>
      <c r="N25" s="67" t="str">
        <f>IF($E25="Backlog",COUNTIF($E$3:$E25,"Backlog"),"")</f>
        <v/>
      </c>
    </row>
    <row r="26" spans="1:14" ht="24.75" customHeight="1">
      <c r="A26" s="68">
        <v>24</v>
      </c>
      <c r="B26" s="18"/>
      <c r="C26" s="19"/>
      <c r="D26" s="19"/>
      <c r="E26" s="19"/>
      <c r="F26" s="19"/>
      <c r="G26" s="19"/>
      <c r="H26" s="69" t="str">
        <f>IF(C26="XXL (&gt;160h)",168,IF(C26="XL (&gt;40h)",48,IF(C26="L (20-40h)",30,IF(C26="M (10-20h)",15,IF(C26="S (&lt;10h)",5,"")))))</f>
        <v/>
      </c>
      <c r="I26" s="18"/>
      <c r="J26" s="67" t="str">
        <f>IF($E26="Q12027",COUNTIF($E$3:$E26,"Q12027"),"")</f>
        <v/>
      </c>
      <c r="K26" s="67" t="str">
        <f>IF($E26="Q22027",COUNTIF($E$3:$E26,"Q22027"),"")</f>
        <v/>
      </c>
      <c r="L26" s="67" t="str">
        <f>IF($E26="Q32027",COUNTIF($E$3:$E26,"Q32027"),"")</f>
        <v/>
      </c>
      <c r="M26" s="67" t="str">
        <f>IF($E26="Q42027",COUNTIF($E$3:$E26,"Q42027"),"")</f>
        <v/>
      </c>
      <c r="N26" s="67" t="str">
        <f>IF($E26="Backlog",COUNTIF($E$3:$E26,"Backlog"),"")</f>
        <v/>
      </c>
    </row>
    <row r="27" spans="1:14" ht="24.75" customHeight="1">
      <c r="A27" s="65">
        <v>25</v>
      </c>
      <c r="B27" s="16"/>
      <c r="C27" s="17"/>
      <c r="D27" s="17"/>
      <c r="E27" s="17"/>
      <c r="F27" s="17"/>
      <c r="G27" s="17"/>
      <c r="H27" s="66" t="str">
        <f>IF(C27="XXL (&gt;160h)",168,IF(C27="XL (&gt;40h)",48,IF(C27="L (20-40h)",30,IF(C27="M (10-20h)",15,IF(C27="S (&lt;10h)",5,"")))))</f>
        <v/>
      </c>
      <c r="I27" s="16"/>
      <c r="J27" s="67" t="str">
        <f>IF($E27="Q12027",COUNTIF($E$3:$E27,"Q12027"),"")</f>
        <v/>
      </c>
      <c r="K27" s="67" t="str">
        <f>IF($E27="Q22027",COUNTIF($E$3:$E27,"Q22027"),"")</f>
        <v/>
      </c>
      <c r="L27" s="67" t="str">
        <f>IF($E27="Q32027",COUNTIF($E$3:$E27,"Q32027"),"")</f>
        <v/>
      </c>
      <c r="M27" s="67" t="str">
        <f>IF($E27="Q42027",COUNTIF($E$3:$E27,"Q42027"),"")</f>
        <v/>
      </c>
      <c r="N27" s="67" t="str">
        <f>IF($E27="Backlog",COUNTIF($E$3:$E27,"Backlog"),"")</f>
        <v/>
      </c>
    </row>
    <row r="28" spans="1:14" ht="24.75" customHeight="1">
      <c r="A28" s="68">
        <v>26</v>
      </c>
      <c r="B28" s="18"/>
      <c r="C28" s="19"/>
      <c r="D28" s="19"/>
      <c r="E28" s="19"/>
      <c r="F28" s="19"/>
      <c r="G28" s="19"/>
      <c r="H28" s="69" t="str">
        <f>IF(C28="XXL (&gt;160h)",168,IF(C28="XL (&gt;40h)",48,IF(C28="L (20-40h)",30,IF(C28="M (10-20h)",15,IF(C28="S (&lt;10h)",5,"")))))</f>
        <v/>
      </c>
      <c r="I28" s="18"/>
      <c r="J28" s="67" t="str">
        <f>IF($E28="Q12027",COUNTIF($E$3:$E28,"Q12027"),"")</f>
        <v/>
      </c>
      <c r="K28" s="67" t="str">
        <f>IF($E28="Q22027",COUNTIF($E$3:$E28,"Q22027"),"")</f>
        <v/>
      </c>
      <c r="L28" s="67" t="str">
        <f>IF($E28="Q32027",COUNTIF($E$3:$E28,"Q32027"),"")</f>
        <v/>
      </c>
      <c r="M28" s="67" t="str">
        <f>IF($E28="Q42027",COUNTIF($E$3:$E28,"Q42027"),"")</f>
        <v/>
      </c>
      <c r="N28" s="67" t="str">
        <f>IF($E28="Backlog",COUNTIF($E$3:$E28,"Backlog"),"")</f>
        <v/>
      </c>
    </row>
    <row r="29" spans="1:14" ht="24.75" customHeight="1">
      <c r="A29" s="65">
        <v>27</v>
      </c>
      <c r="B29" s="16"/>
      <c r="C29" s="17"/>
      <c r="D29" s="17"/>
      <c r="E29" s="17"/>
      <c r="F29" s="17"/>
      <c r="G29" s="17"/>
      <c r="H29" s="66" t="str">
        <f>IF(C29="XXL (&gt;160h)",168,IF(C29="XL (&gt;40h)",48,IF(C29="L (20-40h)",30,IF(C29="M (10-20h)",15,IF(C29="S (&lt;10h)",5,"")))))</f>
        <v/>
      </c>
      <c r="I29" s="16"/>
      <c r="J29" s="67" t="str">
        <f>IF($E29="Q12027",COUNTIF($E$3:$E29,"Q12027"),"")</f>
        <v/>
      </c>
      <c r="K29" s="67" t="str">
        <f>IF($E29="Q22027",COUNTIF($E$3:$E29,"Q22027"),"")</f>
        <v/>
      </c>
      <c r="L29" s="67" t="str">
        <f>IF($E29="Q32027",COUNTIF($E$3:$E29,"Q32027"),"")</f>
        <v/>
      </c>
      <c r="M29" s="67" t="str">
        <f>IF($E29="Q42027",COUNTIF($E$3:$E29,"Q42027"),"")</f>
        <v/>
      </c>
      <c r="N29" s="67" t="str">
        <f>IF($E29="Backlog",COUNTIF($E$3:$E29,"Backlog"),"")</f>
        <v/>
      </c>
    </row>
    <row r="30" spans="1:14" ht="24.75" customHeight="1">
      <c r="A30" s="68">
        <v>28</v>
      </c>
      <c r="B30" s="18"/>
      <c r="C30" s="19"/>
      <c r="D30" s="19"/>
      <c r="E30" s="19"/>
      <c r="F30" s="19"/>
      <c r="G30" s="19"/>
      <c r="H30" s="69" t="str">
        <f>IF(C30="XXL (&gt;160h)",168,IF(C30="XL (&gt;40h)",48,IF(C30="L (20-40h)",30,IF(C30="M (10-20h)",15,IF(C30="S (&lt;10h)",5,"")))))</f>
        <v/>
      </c>
      <c r="I30" s="18"/>
      <c r="J30" s="67" t="str">
        <f>IF($E30="Q12027",COUNTIF($E$3:$E30,"Q12027"),"")</f>
        <v/>
      </c>
      <c r="K30" s="67" t="str">
        <f>IF($E30="Q22027",COUNTIF($E$3:$E30,"Q22027"),"")</f>
        <v/>
      </c>
      <c r="L30" s="67" t="str">
        <f>IF($E30="Q32027",COUNTIF($E$3:$E30,"Q32027"),"")</f>
        <v/>
      </c>
      <c r="M30" s="67" t="str">
        <f>IF($E30="Q42027",COUNTIF($E$3:$E30,"Q42027"),"")</f>
        <v/>
      </c>
      <c r="N30" s="67" t="str">
        <f>IF($E30="Backlog",COUNTIF($E$3:$E30,"Backlog"),"")</f>
        <v/>
      </c>
    </row>
    <row r="31" spans="1:14" ht="24.75" customHeight="1">
      <c r="A31" s="65">
        <v>29</v>
      </c>
      <c r="B31" s="16"/>
      <c r="C31" s="17"/>
      <c r="D31" s="17"/>
      <c r="E31" s="17"/>
      <c r="F31" s="17"/>
      <c r="G31" s="17"/>
      <c r="H31" s="66" t="str">
        <f>IF(C31="XXL (&gt;160h)",168,IF(C31="XL (&gt;40h)",48,IF(C31="L (20-40h)",30,IF(C31="M (10-20h)",15,IF(C31="S (&lt;10h)",5,"")))))</f>
        <v/>
      </c>
      <c r="I31" s="16"/>
      <c r="J31" s="67" t="str">
        <f>IF($E31="Q12027",COUNTIF($E$3:$E31,"Q12027"),"")</f>
        <v/>
      </c>
      <c r="K31" s="67" t="str">
        <f>IF($E31="Q22027",COUNTIF($E$3:$E31,"Q22027"),"")</f>
        <v/>
      </c>
      <c r="L31" s="67" t="str">
        <f>IF($E31="Q32027",COUNTIF($E$3:$E31,"Q32027"),"")</f>
        <v/>
      </c>
      <c r="M31" s="67" t="str">
        <f>IF($E31="Q42027",COUNTIF($E$3:$E31,"Q42027"),"")</f>
        <v/>
      </c>
      <c r="N31" s="67" t="str">
        <f>IF($E31="Backlog",COUNTIF($E$3:$E31,"Backlog"),"")</f>
        <v/>
      </c>
    </row>
    <row r="32" spans="1:14" ht="24.75" customHeight="1">
      <c r="A32" s="68">
        <v>30</v>
      </c>
      <c r="B32" s="18"/>
      <c r="C32" s="19"/>
      <c r="D32" s="19"/>
      <c r="E32" s="19"/>
      <c r="F32" s="19"/>
      <c r="G32" s="19"/>
      <c r="H32" s="69" t="str">
        <f>IF(C32="XXL (&gt;160h)",168,IF(C32="XL (&gt;40h)",48,IF(C32="L (20-40h)",30,IF(C32="M (10-20h)",15,IF(C32="S (&lt;10h)",5,"")))))</f>
        <v/>
      </c>
      <c r="I32" s="18"/>
      <c r="J32" s="67" t="str">
        <f>IF($E32="Q12027",COUNTIF($E$3:$E32,"Q12027"),"")</f>
        <v/>
      </c>
      <c r="K32" s="67" t="str">
        <f>IF($E32="Q22027",COUNTIF($E$3:$E32,"Q22027"),"")</f>
        <v/>
      </c>
      <c r="L32" s="67" t="str">
        <f>IF($E32="Q32027",COUNTIF($E$3:$E32,"Q32027"),"")</f>
        <v/>
      </c>
      <c r="M32" s="67" t="str">
        <f>IF($E32="Q42027",COUNTIF($E$3:$E32,"Q42027"),"")</f>
        <v/>
      </c>
      <c r="N32" s="67" t="str">
        <f>IF($E32="Backlog",COUNTIF($E$3:$E32,"Backlog"),"")</f>
        <v/>
      </c>
    </row>
    <row r="33" spans="1:14" ht="24.75" customHeight="1">
      <c r="A33" s="65">
        <v>31</v>
      </c>
      <c r="B33" s="16"/>
      <c r="C33" s="17"/>
      <c r="D33" s="17"/>
      <c r="E33" s="17"/>
      <c r="F33" s="17"/>
      <c r="G33" s="17"/>
      <c r="H33" s="66" t="str">
        <f>IF(C33="XXL (&gt;160h)",168,IF(C33="XL (&gt;40h)",48,IF(C33="L (20-40h)",30,IF(C33="M (10-20h)",15,IF(C33="S (&lt;10h)",5,"")))))</f>
        <v/>
      </c>
      <c r="I33" s="16"/>
      <c r="J33" s="67" t="str">
        <f>IF($E33="Q12027",COUNTIF($E$3:$E33,"Q12027"),"")</f>
        <v/>
      </c>
      <c r="K33" s="67" t="str">
        <f>IF($E33="Q22027",COUNTIF($E$3:$E33,"Q22027"),"")</f>
        <v/>
      </c>
      <c r="L33" s="67" t="str">
        <f>IF($E33="Q32027",COUNTIF($E$3:$E33,"Q32027"),"")</f>
        <v/>
      </c>
      <c r="M33" s="67" t="str">
        <f>IF($E33="Q42027",COUNTIF($E$3:$E33,"Q42027"),"")</f>
        <v/>
      </c>
      <c r="N33" s="67" t="str">
        <f>IF($E33="Backlog",COUNTIF($E$3:$E33,"Backlog"),"")</f>
        <v/>
      </c>
    </row>
    <row r="34" spans="1:14" ht="24.75" customHeight="1">
      <c r="A34" s="68">
        <v>32</v>
      </c>
      <c r="B34" s="18"/>
      <c r="C34" s="19"/>
      <c r="D34" s="19"/>
      <c r="E34" s="19"/>
      <c r="F34" s="19"/>
      <c r="G34" s="19"/>
      <c r="H34" s="69" t="str">
        <f>IF(C34="XXL (&gt;160h)",168,IF(C34="XL (&gt;40h)",48,IF(C34="L (20-40h)",30,IF(C34="M (10-20h)",15,IF(C34="S (&lt;10h)",5,"")))))</f>
        <v/>
      </c>
      <c r="I34" s="18"/>
      <c r="J34" s="67" t="str">
        <f>IF($E34="Q12027",COUNTIF($E$3:$E34,"Q12027"),"")</f>
        <v/>
      </c>
      <c r="K34" s="67" t="str">
        <f>IF($E34="Q22027",COUNTIF($E$3:$E34,"Q22027"),"")</f>
        <v/>
      </c>
      <c r="L34" s="67" t="str">
        <f>IF($E34="Q32027",COUNTIF($E$3:$E34,"Q32027"),"")</f>
        <v/>
      </c>
      <c r="M34" s="67" t="str">
        <f>IF($E34="Q42027",COUNTIF($E$3:$E34,"Q42027"),"")</f>
        <v/>
      </c>
      <c r="N34" s="67" t="str">
        <f>IF($E34="Backlog",COUNTIF($E$3:$E34,"Backlog"),"")</f>
        <v/>
      </c>
    </row>
    <row r="35" spans="1:14" ht="24.75" customHeight="1">
      <c r="A35" s="65">
        <v>33</v>
      </c>
      <c r="B35" s="16"/>
      <c r="C35" s="17"/>
      <c r="D35" s="17"/>
      <c r="E35" s="17"/>
      <c r="F35" s="17"/>
      <c r="G35" s="17"/>
      <c r="H35" s="66" t="str">
        <f>IF(C35="XXL (&gt;160h)",168,IF(C35="XL (&gt;40h)",48,IF(C35="L (20-40h)",30,IF(C35="M (10-20h)",15,IF(C35="S (&lt;10h)",5,"")))))</f>
        <v/>
      </c>
      <c r="I35" s="16"/>
      <c r="J35" s="67" t="str">
        <f>IF($E35="Q12027",COUNTIF($E$3:$E35,"Q12027"),"")</f>
        <v/>
      </c>
      <c r="K35" s="67" t="str">
        <f>IF($E35="Q22027",COUNTIF($E$3:$E35,"Q22027"),"")</f>
        <v/>
      </c>
      <c r="L35" s="67" t="str">
        <f>IF($E35="Q32027",COUNTIF($E$3:$E35,"Q32027"),"")</f>
        <v/>
      </c>
      <c r="M35" s="67" t="str">
        <f>IF($E35="Q42027",COUNTIF($E$3:$E35,"Q42027"),"")</f>
        <v/>
      </c>
      <c r="N35" s="67" t="str">
        <f>IF($E35="Backlog",COUNTIF($E$3:$E35,"Backlog"),"")</f>
        <v/>
      </c>
    </row>
    <row r="36" spans="1:14" ht="24.75" customHeight="1">
      <c r="A36" s="68">
        <v>34</v>
      </c>
      <c r="B36" s="18"/>
      <c r="C36" s="19"/>
      <c r="D36" s="19"/>
      <c r="E36" s="19"/>
      <c r="F36" s="19"/>
      <c r="G36" s="19"/>
      <c r="H36" s="69" t="str">
        <f>IF(C36="XXL (&gt;160h)",168,IF(C36="XL (&gt;40h)",48,IF(C36="L (20-40h)",30,IF(C36="M (10-20h)",15,IF(C36="S (&lt;10h)",5,"")))))</f>
        <v/>
      </c>
      <c r="I36" s="18"/>
      <c r="J36" s="67" t="str">
        <f>IF($E36="Q12027",COUNTIF($E$3:$E36,"Q12027"),"")</f>
        <v/>
      </c>
      <c r="K36" s="67" t="str">
        <f>IF($E36="Q22027",COUNTIF($E$3:$E36,"Q22027"),"")</f>
        <v/>
      </c>
      <c r="L36" s="67" t="str">
        <f>IF($E36="Q32027",COUNTIF($E$3:$E36,"Q32027"),"")</f>
        <v/>
      </c>
      <c r="M36" s="67" t="str">
        <f>IF($E36="Q42027",COUNTIF($E$3:$E36,"Q42027"),"")</f>
        <v/>
      </c>
      <c r="N36" s="67" t="str">
        <f>IF($E36="Backlog",COUNTIF($E$3:$E36,"Backlog"),"")</f>
        <v/>
      </c>
    </row>
    <row r="37" spans="1:14" ht="24.75" customHeight="1">
      <c r="A37" s="65">
        <v>35</v>
      </c>
      <c r="B37" s="16"/>
      <c r="C37" s="17"/>
      <c r="D37" s="17"/>
      <c r="E37" s="17"/>
      <c r="F37" s="17"/>
      <c r="G37" s="17"/>
      <c r="H37" s="66" t="str">
        <f>IF(C37="XXL (&gt;160h)",168,IF(C37="XL (&gt;40h)",48,IF(C37="L (20-40h)",30,IF(C37="M (10-20h)",15,IF(C37="S (&lt;10h)",5,"")))))</f>
        <v/>
      </c>
      <c r="I37" s="16"/>
      <c r="J37" s="67" t="str">
        <f>IF($E37="Q12027",COUNTIF($E$3:$E37,"Q12027"),"")</f>
        <v/>
      </c>
      <c r="K37" s="67" t="str">
        <f>IF($E37="Q22027",COUNTIF($E$3:$E37,"Q22027"),"")</f>
        <v/>
      </c>
      <c r="L37" s="67" t="str">
        <f>IF($E37="Q32027",COUNTIF($E$3:$E37,"Q32027"),"")</f>
        <v/>
      </c>
      <c r="M37" s="67" t="str">
        <f>IF($E37="Q42027",COUNTIF($E$3:$E37,"Q42027"),"")</f>
        <v/>
      </c>
      <c r="N37" s="67" t="str">
        <f>IF($E37="Backlog",COUNTIF($E$3:$E37,"Backlog"),"")</f>
        <v/>
      </c>
    </row>
    <row r="38" spans="1:14" ht="24.75" customHeight="1">
      <c r="A38" s="68">
        <v>36</v>
      </c>
      <c r="B38" s="18"/>
      <c r="C38" s="19"/>
      <c r="D38" s="19"/>
      <c r="E38" s="19"/>
      <c r="F38" s="19"/>
      <c r="G38" s="19"/>
      <c r="H38" s="69" t="str">
        <f>IF(C38="XXL (&gt;160h)",168,IF(C38="XL (&gt;40h)",48,IF(C38="L (20-40h)",30,IF(C38="M (10-20h)",15,IF(C38="S (&lt;10h)",5,"")))))</f>
        <v/>
      </c>
      <c r="I38" s="18"/>
      <c r="J38" s="67" t="str">
        <f>IF($E38="Q12027",COUNTIF($E$3:$E38,"Q12027"),"")</f>
        <v/>
      </c>
      <c r="K38" s="67" t="str">
        <f>IF($E38="Q22027",COUNTIF($E$3:$E38,"Q22027"),"")</f>
        <v/>
      </c>
      <c r="L38" s="67" t="str">
        <f>IF($E38="Q32027",COUNTIF($E$3:$E38,"Q32027"),"")</f>
        <v/>
      </c>
      <c r="M38" s="67" t="str">
        <f>IF($E38="Q42027",COUNTIF($E$3:$E38,"Q42027"),"")</f>
        <v/>
      </c>
      <c r="N38" s="67" t="str">
        <f>IF($E38="Backlog",COUNTIF($E$3:$E38,"Backlog"),"")</f>
        <v/>
      </c>
    </row>
    <row r="39" spans="1:14" ht="24.75" customHeight="1">
      <c r="A39" s="65">
        <v>37</v>
      </c>
      <c r="B39" s="16"/>
      <c r="C39" s="17"/>
      <c r="D39" s="17"/>
      <c r="E39" s="17"/>
      <c r="F39" s="17"/>
      <c r="G39" s="17"/>
      <c r="H39" s="66" t="str">
        <f>IF(C39="XXL (&gt;160h)",168,IF(C39="XL (&gt;40h)",48,IF(C39="L (20-40h)",30,IF(C39="M (10-20h)",15,IF(C39="S (&lt;10h)",5,"")))))</f>
        <v/>
      </c>
      <c r="I39" s="16"/>
      <c r="J39" s="67" t="str">
        <f>IF($E39="Q12027",COUNTIF($E$3:$E39,"Q12027"),"")</f>
        <v/>
      </c>
      <c r="K39" s="67" t="str">
        <f>IF($E39="Q22027",COUNTIF($E$3:$E39,"Q22027"),"")</f>
        <v/>
      </c>
      <c r="L39" s="67" t="str">
        <f>IF($E39="Q32027",COUNTIF($E$3:$E39,"Q32027"),"")</f>
        <v/>
      </c>
      <c r="M39" s="67" t="str">
        <f>IF($E39="Q42027",COUNTIF($E$3:$E39,"Q42027"),"")</f>
        <v/>
      </c>
      <c r="N39" s="67" t="str">
        <f>IF($E39="Backlog",COUNTIF($E$3:$E39,"Backlog"),"")</f>
        <v/>
      </c>
    </row>
    <row r="40" spans="1:14" ht="24.75" customHeight="1">
      <c r="A40" s="68">
        <v>38</v>
      </c>
      <c r="B40" s="18"/>
      <c r="C40" s="19"/>
      <c r="D40" s="19"/>
      <c r="E40" s="19"/>
      <c r="F40" s="19"/>
      <c r="G40" s="19"/>
      <c r="H40" s="69" t="str">
        <f>IF(C40="XXL (&gt;160h)",168,IF(C40="XL (&gt;40h)",48,IF(C40="L (20-40h)",30,IF(C40="M (10-20h)",15,IF(C40="S (&lt;10h)",5,"")))))</f>
        <v/>
      </c>
      <c r="I40" s="18"/>
      <c r="J40" s="67" t="str">
        <f>IF($E40="Q12027",COUNTIF($E$3:$E40,"Q12027"),"")</f>
        <v/>
      </c>
      <c r="K40" s="67" t="str">
        <f>IF($E40="Q22027",COUNTIF($E$3:$E40,"Q22027"),"")</f>
        <v/>
      </c>
      <c r="L40" s="67" t="str">
        <f>IF($E40="Q32027",COUNTIF($E$3:$E40,"Q32027"),"")</f>
        <v/>
      </c>
      <c r="M40" s="67" t="str">
        <f>IF($E40="Q42027",COUNTIF($E$3:$E40,"Q42027"),"")</f>
        <v/>
      </c>
      <c r="N40" s="67" t="str">
        <f>IF($E40="Backlog",COUNTIF($E$3:$E40,"Backlog"),"")</f>
        <v/>
      </c>
    </row>
    <row r="41" spans="1:14" ht="24.75" customHeight="1">
      <c r="A41" s="65">
        <v>39</v>
      </c>
      <c r="B41" s="16"/>
      <c r="C41" s="17"/>
      <c r="D41" s="17"/>
      <c r="E41" s="17"/>
      <c r="F41" s="17"/>
      <c r="G41" s="17"/>
      <c r="H41" s="66" t="str">
        <f>IF(C41="XXL (&gt;160h)",168,IF(C41="XL (&gt;40h)",48,IF(C41="L (20-40h)",30,IF(C41="M (10-20h)",15,IF(C41="S (&lt;10h)",5,"")))))</f>
        <v/>
      </c>
      <c r="I41" s="16"/>
      <c r="J41" s="67" t="str">
        <f>IF($E41="Q12027",COUNTIF($E$3:$E41,"Q12027"),"")</f>
        <v/>
      </c>
      <c r="K41" s="67" t="str">
        <f>IF($E41="Q22027",COUNTIF($E$3:$E41,"Q22027"),"")</f>
        <v/>
      </c>
      <c r="L41" s="67" t="str">
        <f>IF($E41="Q32027",COUNTIF($E$3:$E41,"Q32027"),"")</f>
        <v/>
      </c>
      <c r="M41" s="67" t="str">
        <f>IF($E41="Q42027",COUNTIF($E$3:$E41,"Q42027"),"")</f>
        <v/>
      </c>
      <c r="N41" s="67" t="str">
        <f>IF($E41="Backlog",COUNTIF($E$3:$E41,"Backlog"),"")</f>
        <v/>
      </c>
    </row>
    <row r="42" spans="1:14" ht="24.75" customHeight="1">
      <c r="A42" s="68">
        <v>40</v>
      </c>
      <c r="B42" s="18"/>
      <c r="C42" s="19"/>
      <c r="D42" s="19"/>
      <c r="E42" s="19"/>
      <c r="F42" s="19"/>
      <c r="G42" s="19"/>
      <c r="H42" s="69" t="str">
        <f>IF(C42="XXL (&gt;160h)",168,IF(C42="XL (&gt;40h)",48,IF(C42="L (20-40h)",30,IF(C42="M (10-20h)",15,IF(C42="S (&lt;10h)",5,"")))))</f>
        <v/>
      </c>
      <c r="I42" s="18"/>
      <c r="J42" s="67" t="str">
        <f>IF($E42="Q12027",COUNTIF($E$3:$E42,"Q12027"),"")</f>
        <v/>
      </c>
      <c r="K42" s="67" t="str">
        <f>IF($E42="Q22027",COUNTIF($E$3:$E42,"Q22027"),"")</f>
        <v/>
      </c>
      <c r="L42" s="67" t="str">
        <f>IF($E42="Q32027",COUNTIF($E$3:$E42,"Q32027"),"")</f>
        <v/>
      </c>
      <c r="M42" s="67" t="str">
        <f>IF($E42="Q42027",COUNTIF($E$3:$E42,"Q42027"),"")</f>
        <v/>
      </c>
      <c r="N42" s="67" t="str">
        <f>IF($E42="Backlog",COUNTIF($E$3:$E42,"Backlog"),"")</f>
        <v/>
      </c>
    </row>
    <row r="43" spans="1:14" ht="24.75" customHeight="1">
      <c r="A43" s="65">
        <v>41</v>
      </c>
      <c r="B43" s="16"/>
      <c r="C43" s="17"/>
      <c r="D43" s="17"/>
      <c r="E43" s="17"/>
      <c r="F43" s="17"/>
      <c r="G43" s="17"/>
      <c r="H43" s="66" t="str">
        <f>IF(C43="XXL (&gt;160h)",168,IF(C43="XL (&gt;40h)",48,IF(C43="L (20-40h)",30,IF(C43="M (10-20h)",15,IF(C43="S (&lt;10h)",5,"")))))</f>
        <v/>
      </c>
      <c r="I43" s="16"/>
      <c r="J43" s="67" t="str">
        <f>IF($E43="Q12027",COUNTIF($E$3:$E43,"Q12027"),"")</f>
        <v/>
      </c>
      <c r="K43" s="67" t="str">
        <f>IF($E43="Q22027",COUNTIF($E$3:$E43,"Q22027"),"")</f>
        <v/>
      </c>
      <c r="L43" s="67" t="str">
        <f>IF($E43="Q32027",COUNTIF($E$3:$E43,"Q32027"),"")</f>
        <v/>
      </c>
      <c r="M43" s="67" t="str">
        <f>IF($E43="Q42027",COUNTIF($E$3:$E43,"Q42027"),"")</f>
        <v/>
      </c>
      <c r="N43" s="67" t="str">
        <f>IF($E43="Backlog",COUNTIF($E$3:$E43,"Backlog"),"")</f>
        <v/>
      </c>
    </row>
    <row r="44" spans="1:14" ht="24.75" customHeight="1">
      <c r="A44" s="68">
        <v>42</v>
      </c>
      <c r="B44" s="18"/>
      <c r="C44" s="19"/>
      <c r="D44" s="19"/>
      <c r="E44" s="19"/>
      <c r="F44" s="19"/>
      <c r="G44" s="19"/>
      <c r="H44" s="69" t="str">
        <f>IF(C44="XXL (&gt;160h)",168,IF(C44="XL (&gt;40h)",48,IF(C44="L (20-40h)",30,IF(C44="M (10-20h)",15,IF(C44="S (&lt;10h)",5,"")))))</f>
        <v/>
      </c>
      <c r="I44" s="18"/>
      <c r="J44" s="67" t="str">
        <f>IF($E44="Q12027",COUNTIF($E$3:$E44,"Q12027"),"")</f>
        <v/>
      </c>
      <c r="K44" s="67" t="str">
        <f>IF($E44="Q22027",COUNTIF($E$3:$E44,"Q22027"),"")</f>
        <v/>
      </c>
      <c r="L44" s="67" t="str">
        <f>IF($E44="Q32027",COUNTIF($E$3:$E44,"Q32027"),"")</f>
        <v/>
      </c>
      <c r="M44" s="67" t="str">
        <f>IF($E44="Q42027",COUNTIF($E$3:$E44,"Q42027"),"")</f>
        <v/>
      </c>
      <c r="N44" s="67" t="str">
        <f>IF($E44="Backlog",COUNTIF($E$3:$E44,"Backlog"),"")</f>
        <v/>
      </c>
    </row>
    <row r="45" spans="1:14" ht="24.75" customHeight="1">
      <c r="A45" s="65">
        <v>43</v>
      </c>
      <c r="B45" s="16"/>
      <c r="C45" s="17"/>
      <c r="D45" s="17"/>
      <c r="E45" s="17"/>
      <c r="F45" s="17"/>
      <c r="G45" s="17"/>
      <c r="H45" s="66" t="str">
        <f>IF(C45="XXL (&gt;160h)",168,IF(C45="XL (&gt;40h)",48,IF(C45="L (20-40h)",30,IF(C45="M (10-20h)",15,IF(C45="S (&lt;10h)",5,"")))))</f>
        <v/>
      </c>
      <c r="I45" s="16"/>
      <c r="J45" s="67" t="str">
        <f>IF($E45="Q12027",COUNTIF($E$3:$E45,"Q12027"),"")</f>
        <v/>
      </c>
      <c r="K45" s="67" t="str">
        <f>IF($E45="Q22027",COUNTIF($E$3:$E45,"Q22027"),"")</f>
        <v/>
      </c>
      <c r="L45" s="67" t="str">
        <f>IF($E45="Q32027",COUNTIF($E$3:$E45,"Q32027"),"")</f>
        <v/>
      </c>
      <c r="M45" s="67" t="str">
        <f>IF($E45="Q42027",COUNTIF($E$3:$E45,"Q42027"),"")</f>
        <v/>
      </c>
      <c r="N45" s="67" t="str">
        <f>IF($E45="Backlog",COUNTIF($E$3:$E45,"Backlog"),"")</f>
        <v/>
      </c>
    </row>
    <row r="46" spans="1:14" ht="24.75" customHeight="1">
      <c r="A46" s="68">
        <v>44</v>
      </c>
      <c r="B46" s="18"/>
      <c r="C46" s="19"/>
      <c r="D46" s="19"/>
      <c r="E46" s="19"/>
      <c r="F46" s="19"/>
      <c r="G46" s="19"/>
      <c r="H46" s="69" t="str">
        <f>IF(C46="XXL (&gt;160h)",168,IF(C46="XL (&gt;40h)",48,IF(C46="L (20-40h)",30,IF(C46="M (10-20h)",15,IF(C46="S (&lt;10h)",5,"")))))</f>
        <v/>
      </c>
      <c r="I46" s="18"/>
      <c r="J46" s="67" t="str">
        <f>IF($E46="Q12027",COUNTIF($E$3:$E46,"Q12027"),"")</f>
        <v/>
      </c>
      <c r="K46" s="67" t="str">
        <f>IF($E46="Q22027",COUNTIF($E$3:$E46,"Q22027"),"")</f>
        <v/>
      </c>
      <c r="L46" s="67" t="str">
        <f>IF($E46="Q32027",COUNTIF($E$3:$E46,"Q32027"),"")</f>
        <v/>
      </c>
      <c r="M46" s="67" t="str">
        <f>IF($E46="Q42027",COUNTIF($E$3:$E46,"Q42027"),"")</f>
        <v/>
      </c>
      <c r="N46" s="67" t="str">
        <f>IF($E46="Backlog",COUNTIF($E$3:$E46,"Backlog"),"")</f>
        <v/>
      </c>
    </row>
    <row r="47" spans="1:14" ht="24.75" customHeight="1">
      <c r="A47" s="65">
        <v>45</v>
      </c>
      <c r="B47" s="16"/>
      <c r="C47" s="17"/>
      <c r="D47" s="17"/>
      <c r="E47" s="17"/>
      <c r="F47" s="17"/>
      <c r="G47" s="17"/>
      <c r="H47" s="66" t="str">
        <f>IF(C47="XXL (&gt;160h)",168,IF(C47="XL (&gt;40h)",48,IF(C47="L (20-40h)",30,IF(C47="M (10-20h)",15,IF(C47="S (&lt;10h)",5,"")))))</f>
        <v/>
      </c>
      <c r="I47" s="16"/>
      <c r="J47" s="67" t="str">
        <f>IF($E47="Q12027",COUNTIF($E$3:$E47,"Q12027"),"")</f>
        <v/>
      </c>
      <c r="K47" s="67" t="str">
        <f>IF($E47="Q22027",COUNTIF($E$3:$E47,"Q22027"),"")</f>
        <v/>
      </c>
      <c r="L47" s="67" t="str">
        <f>IF($E47="Q32027",COUNTIF($E$3:$E47,"Q32027"),"")</f>
        <v/>
      </c>
      <c r="M47" s="67" t="str">
        <f>IF($E47="Q42027",COUNTIF($E$3:$E47,"Q42027"),"")</f>
        <v/>
      </c>
      <c r="N47" s="67" t="str">
        <f>IF($E47="Backlog",COUNTIF($E$3:$E47,"Backlog"),"")</f>
        <v/>
      </c>
    </row>
    <row r="48" spans="1:14" ht="24.75" customHeight="1">
      <c r="A48" s="68">
        <v>46</v>
      </c>
      <c r="B48" s="18"/>
      <c r="C48" s="19"/>
      <c r="D48" s="19"/>
      <c r="E48" s="19"/>
      <c r="F48" s="19"/>
      <c r="G48" s="19"/>
      <c r="H48" s="69" t="str">
        <f>IF(C48="XXL (&gt;160h)",168,IF(C48="XL (&gt;40h)",48,IF(C48="L (20-40h)",30,IF(C48="M (10-20h)",15,IF(C48="S (&lt;10h)",5,"")))))</f>
        <v/>
      </c>
      <c r="I48" s="18"/>
      <c r="J48" s="67" t="str">
        <f>IF($E48="Q12027",COUNTIF($E$3:$E48,"Q12027"),"")</f>
        <v/>
      </c>
      <c r="K48" s="67" t="str">
        <f>IF($E48="Q22027",COUNTIF($E$3:$E48,"Q22027"),"")</f>
        <v/>
      </c>
      <c r="L48" s="67" t="str">
        <f>IF($E48="Q32027",COUNTIF($E$3:$E48,"Q32027"),"")</f>
        <v/>
      </c>
      <c r="M48" s="67" t="str">
        <f>IF($E48="Q42027",COUNTIF($E$3:$E48,"Q42027"),"")</f>
        <v/>
      </c>
      <c r="N48" s="67" t="str">
        <f>IF($E48="Backlog",COUNTIF($E$3:$E48,"Backlog"),"")</f>
        <v/>
      </c>
    </row>
    <row r="49" spans="1:14" ht="24.75" customHeight="1">
      <c r="A49" s="65">
        <v>47</v>
      </c>
      <c r="B49" s="16"/>
      <c r="C49" s="17"/>
      <c r="D49" s="17"/>
      <c r="E49" s="17"/>
      <c r="F49" s="17"/>
      <c r="G49" s="17"/>
      <c r="H49" s="66" t="str">
        <f>IF(C49="XXL (&gt;160h)",168,IF(C49="XL (&gt;40h)",48,IF(C49="L (20-40h)",30,IF(C49="M (10-20h)",15,IF(C49="S (&lt;10h)",5,"")))))</f>
        <v/>
      </c>
      <c r="I49" s="16"/>
      <c r="J49" s="67" t="str">
        <f>IF($E49="Q12027",COUNTIF($E$3:$E49,"Q12027"),"")</f>
        <v/>
      </c>
      <c r="K49" s="67" t="str">
        <f>IF($E49="Q22027",COUNTIF($E$3:$E49,"Q22027"),"")</f>
        <v/>
      </c>
      <c r="L49" s="67" t="str">
        <f>IF($E49="Q32027",COUNTIF($E$3:$E49,"Q32027"),"")</f>
        <v/>
      </c>
      <c r="M49" s="67" t="str">
        <f>IF($E49="Q42027",COUNTIF($E$3:$E49,"Q42027"),"")</f>
        <v/>
      </c>
      <c r="N49" s="67" t="str">
        <f>IF($E49="Backlog",COUNTIF($E$3:$E49,"Backlog"),"")</f>
        <v/>
      </c>
    </row>
    <row r="50" spans="1:14" ht="24.75" customHeight="1">
      <c r="A50" s="68">
        <v>48</v>
      </c>
      <c r="B50" s="18"/>
      <c r="C50" s="19"/>
      <c r="D50" s="19"/>
      <c r="E50" s="19"/>
      <c r="F50" s="19"/>
      <c r="G50" s="19"/>
      <c r="H50" s="69" t="str">
        <f>IF(C50="XXL (&gt;160h)",168,IF(C50="XL (&gt;40h)",48,IF(C50="L (20-40h)",30,IF(C50="M (10-20h)",15,IF(C50="S (&lt;10h)",5,"")))))</f>
        <v/>
      </c>
      <c r="I50" s="18"/>
      <c r="J50" s="67" t="str">
        <f>IF($E50="Q12027",COUNTIF($E$3:$E50,"Q12027"),"")</f>
        <v/>
      </c>
      <c r="K50" s="67" t="str">
        <f>IF($E50="Q22027",COUNTIF($E$3:$E50,"Q22027"),"")</f>
        <v/>
      </c>
      <c r="L50" s="67" t="str">
        <f>IF($E50="Q32027",COUNTIF($E$3:$E50,"Q32027"),"")</f>
        <v/>
      </c>
      <c r="M50" s="67" t="str">
        <f>IF($E50="Q42027",COUNTIF($E$3:$E50,"Q42027"),"")</f>
        <v/>
      </c>
      <c r="N50" s="67" t="str">
        <f>IF($E50="Backlog",COUNTIF($E$3:$E50,"Backlog"),"")</f>
        <v/>
      </c>
    </row>
    <row r="51" spans="1:14" ht="24.75" customHeight="1">
      <c r="A51" s="65">
        <v>49</v>
      </c>
      <c r="B51" s="16"/>
      <c r="C51" s="17"/>
      <c r="D51" s="17"/>
      <c r="E51" s="17"/>
      <c r="F51" s="17"/>
      <c r="G51" s="17"/>
      <c r="H51" s="66" t="str">
        <f>IF(C51="XXL (&gt;160h)",168,IF(C51="XL (&gt;40h)",48,IF(C51="L (20-40h)",30,IF(C51="M (10-20h)",15,IF(C51="S (&lt;10h)",5,"")))))</f>
        <v/>
      </c>
      <c r="I51" s="16"/>
      <c r="J51" s="67" t="str">
        <f>IF($E51="Q12027",COUNTIF($E$3:$E51,"Q12027"),"")</f>
        <v/>
      </c>
      <c r="K51" s="67" t="str">
        <f>IF($E51="Q22027",COUNTIF($E$3:$E51,"Q22027"),"")</f>
        <v/>
      </c>
      <c r="L51" s="67" t="str">
        <f>IF($E51="Q32027",COUNTIF($E$3:$E51,"Q32027"),"")</f>
        <v/>
      </c>
      <c r="M51" s="67" t="str">
        <f>IF($E51="Q42027",COUNTIF($E$3:$E51,"Q42027"),"")</f>
        <v/>
      </c>
      <c r="N51" s="67" t="str">
        <f>IF($E51="Backlog",COUNTIF($E$3:$E51,"Backlog"),"")</f>
        <v/>
      </c>
    </row>
    <row r="52" spans="1:14" ht="24.75" customHeight="1">
      <c r="A52" s="68">
        <v>50</v>
      </c>
      <c r="B52" s="18"/>
      <c r="C52" s="19"/>
      <c r="D52" s="19"/>
      <c r="E52" s="19"/>
      <c r="F52" s="19"/>
      <c r="G52" s="19"/>
      <c r="H52" s="69" t="str">
        <f>IF(C52="XXL (&gt;160h)",168,IF(C52="XL (&gt;40h)",48,IF(C52="L (20-40h)",30,IF(C52="M (10-20h)",15,IF(C52="S (&lt;10h)",5,"")))))</f>
        <v/>
      </c>
      <c r="I52" s="18"/>
      <c r="J52" s="67" t="str">
        <f>IF($E52="Q12027",COUNTIF($E$3:$E52,"Q12027"),"")</f>
        <v/>
      </c>
      <c r="K52" s="67" t="str">
        <f>IF($E52="Q22027",COUNTIF($E$3:$E52,"Q22027"),"")</f>
        <v/>
      </c>
      <c r="L52" s="67" t="str">
        <f>IF($E52="Q32027",COUNTIF($E$3:$E52,"Q32027"),"")</f>
        <v/>
      </c>
      <c r="M52" s="67" t="str">
        <f>IF($E52="Q42027",COUNTIF($E$3:$E52,"Q42027"),"")</f>
        <v/>
      </c>
      <c r="N52" s="67" t="str">
        <f>IF($E52="Backlog",COUNTIF($E$3:$E52,"Backlog"),"")</f>
        <v/>
      </c>
    </row>
    <row r="53" spans="1:14" ht="24.75" customHeight="1">
      <c r="A53" s="65">
        <v>51</v>
      </c>
      <c r="B53" s="16"/>
      <c r="C53" s="17"/>
      <c r="D53" s="17"/>
      <c r="E53" s="17"/>
      <c r="F53" s="17"/>
      <c r="G53" s="17"/>
      <c r="H53" s="66" t="str">
        <f>IF(C53="XXL (&gt;160h)",168,IF(C53="XL (&gt;40h)",48,IF(C53="L (20-40h)",30,IF(C53="M (10-20h)",15,IF(C53="S (&lt;10h)",5,"")))))</f>
        <v/>
      </c>
      <c r="I53" s="16"/>
      <c r="J53" s="67" t="str">
        <f>IF($E53="Q12027",COUNTIF($E$3:$E53,"Q12027"),"")</f>
        <v/>
      </c>
      <c r="K53" s="67" t="str">
        <f>IF($E53="Q22027",COUNTIF($E$3:$E53,"Q22027"),"")</f>
        <v/>
      </c>
      <c r="L53" s="67" t="str">
        <f>IF($E53="Q32027",COUNTIF($E$3:$E53,"Q32027"),"")</f>
        <v/>
      </c>
      <c r="M53" s="67" t="str">
        <f>IF($E53="Q42027",COUNTIF($E$3:$E53,"Q42027"),"")</f>
        <v/>
      </c>
      <c r="N53" s="67" t="str">
        <f>IF($E53="Backlog",COUNTIF($E$3:$E53,"Backlog"),"")</f>
        <v/>
      </c>
    </row>
    <row r="54" spans="1:14" ht="24.75" customHeight="1">
      <c r="A54" s="68">
        <v>52</v>
      </c>
      <c r="B54" s="18"/>
      <c r="C54" s="19"/>
      <c r="D54" s="19"/>
      <c r="E54" s="19"/>
      <c r="F54" s="19"/>
      <c r="G54" s="19"/>
      <c r="H54" s="69" t="str">
        <f>IF(C54="XXL (&gt;160h)",168,IF(C54="XL (&gt;40h)",48,IF(C54="L (20-40h)",30,IF(C54="M (10-20h)",15,IF(C54="S (&lt;10h)",5,"")))))</f>
        <v/>
      </c>
      <c r="I54" s="18"/>
      <c r="J54" s="67" t="str">
        <f>IF($E54="Q12027",COUNTIF($E$3:$E54,"Q12027"),"")</f>
        <v/>
      </c>
      <c r="K54" s="67" t="str">
        <f>IF($E54="Q22027",COUNTIF($E$3:$E54,"Q22027"),"")</f>
        <v/>
      </c>
      <c r="L54" s="67" t="str">
        <f>IF($E54="Q32027",COUNTIF($E$3:$E54,"Q32027"),"")</f>
        <v/>
      </c>
      <c r="M54" s="67" t="str">
        <f>IF($E54="Q42027",COUNTIF($E$3:$E54,"Q42027"),"")</f>
        <v/>
      </c>
      <c r="N54" s="67" t="str">
        <f>IF($E54="Backlog",COUNTIF($E$3:$E54,"Backlog"),"")</f>
        <v/>
      </c>
    </row>
    <row r="55" spans="1:14" ht="24.75" customHeight="1">
      <c r="A55" s="65">
        <v>53</v>
      </c>
      <c r="B55" s="16"/>
      <c r="C55" s="17"/>
      <c r="D55" s="17"/>
      <c r="E55" s="17"/>
      <c r="F55" s="17"/>
      <c r="G55" s="17"/>
      <c r="H55" s="66" t="str">
        <f>IF(C55="XXL (&gt;160h)",168,IF(C55="XL (&gt;40h)",48,IF(C55="L (20-40h)",30,IF(C55="M (10-20h)",15,IF(C55="S (&lt;10h)",5,"")))))</f>
        <v/>
      </c>
      <c r="I55" s="16"/>
      <c r="J55" s="67" t="str">
        <f>IF($E55="Q12027",COUNTIF($E$3:$E55,"Q12027"),"")</f>
        <v/>
      </c>
      <c r="K55" s="67" t="str">
        <f>IF($E55="Q22027",COUNTIF($E$3:$E55,"Q22027"),"")</f>
        <v/>
      </c>
      <c r="L55" s="67" t="str">
        <f>IF($E55="Q32027",COUNTIF($E$3:$E55,"Q32027"),"")</f>
        <v/>
      </c>
      <c r="M55" s="67" t="str">
        <f>IF($E55="Q42027",COUNTIF($E$3:$E55,"Q42027"),"")</f>
        <v/>
      </c>
      <c r="N55" s="67" t="str">
        <f>IF($E55="Backlog",COUNTIF($E$3:$E55,"Backlog"),"")</f>
        <v/>
      </c>
    </row>
    <row r="56" spans="1:14" ht="24.75" customHeight="1">
      <c r="A56" s="68">
        <v>54</v>
      </c>
      <c r="B56" s="18"/>
      <c r="C56" s="19"/>
      <c r="D56" s="19"/>
      <c r="E56" s="19"/>
      <c r="F56" s="19"/>
      <c r="G56" s="19"/>
      <c r="H56" s="69" t="str">
        <f>IF(C56="XXL (&gt;160h)",168,IF(C56="XL (&gt;40h)",48,IF(C56="L (20-40h)",30,IF(C56="M (10-20h)",15,IF(C56="S (&lt;10h)",5,"")))))</f>
        <v/>
      </c>
      <c r="I56" s="18"/>
      <c r="J56" s="67" t="str">
        <f>IF($E56="Q12027",COUNTIF($E$3:$E56,"Q12027"),"")</f>
        <v/>
      </c>
      <c r="K56" s="67" t="str">
        <f>IF($E56="Q22027",COUNTIF($E$3:$E56,"Q22027"),"")</f>
        <v/>
      </c>
      <c r="L56" s="67" t="str">
        <f>IF($E56="Q32027",COUNTIF($E$3:$E56,"Q32027"),"")</f>
        <v/>
      </c>
      <c r="M56" s="67" t="str">
        <f>IF($E56="Q42027",COUNTIF($E$3:$E56,"Q42027"),"")</f>
        <v/>
      </c>
      <c r="N56" s="67" t="str">
        <f>IF($E56="Backlog",COUNTIF($E$3:$E56,"Backlog"),"")</f>
        <v/>
      </c>
    </row>
    <row r="57" spans="1:14" ht="24.75" customHeight="1">
      <c r="A57" s="65">
        <v>55</v>
      </c>
      <c r="B57" s="16"/>
      <c r="C57" s="17"/>
      <c r="D57" s="17"/>
      <c r="E57" s="17"/>
      <c r="F57" s="17"/>
      <c r="G57" s="17"/>
      <c r="H57" s="66" t="str">
        <f>IF(C57="XXL (&gt;160h)",168,IF(C57="XL (&gt;40h)",48,IF(C57="L (20-40h)",30,IF(C57="M (10-20h)",15,IF(C57="S (&lt;10h)",5,"")))))</f>
        <v/>
      </c>
      <c r="I57" s="16"/>
      <c r="J57" s="67" t="str">
        <f>IF($E57="Q12027",COUNTIF($E$3:$E57,"Q12027"),"")</f>
        <v/>
      </c>
      <c r="K57" s="67" t="str">
        <f>IF($E57="Q22027",COUNTIF($E$3:$E57,"Q22027"),"")</f>
        <v/>
      </c>
      <c r="L57" s="67" t="str">
        <f>IF($E57="Q32027",COUNTIF($E$3:$E57,"Q32027"),"")</f>
        <v/>
      </c>
      <c r="M57" s="67" t="str">
        <f>IF($E57="Q42027",COUNTIF($E$3:$E57,"Q42027"),"")</f>
        <v/>
      </c>
      <c r="N57" s="67" t="str">
        <f>IF($E57="Backlog",COUNTIF($E$3:$E57,"Backlog"),"")</f>
        <v/>
      </c>
    </row>
    <row r="58" spans="1:14" ht="24.75" customHeight="1">
      <c r="A58" s="68">
        <v>56</v>
      </c>
      <c r="B58" s="18"/>
      <c r="C58" s="19"/>
      <c r="D58" s="19"/>
      <c r="E58" s="19"/>
      <c r="F58" s="19"/>
      <c r="G58" s="19"/>
      <c r="H58" s="69" t="str">
        <f>IF(C58="XXL (&gt;160h)",168,IF(C58="XL (&gt;40h)",48,IF(C58="L (20-40h)",30,IF(C58="M (10-20h)",15,IF(C58="S (&lt;10h)",5,"")))))</f>
        <v/>
      </c>
      <c r="I58" s="18"/>
      <c r="J58" s="67" t="str">
        <f>IF($E58="Q12027",COUNTIF($E$3:$E58,"Q12027"),"")</f>
        <v/>
      </c>
      <c r="K58" s="67" t="str">
        <f>IF($E58="Q22027",COUNTIF($E$3:$E58,"Q22027"),"")</f>
        <v/>
      </c>
      <c r="L58" s="67" t="str">
        <f>IF($E58="Q32027",COUNTIF($E$3:$E58,"Q32027"),"")</f>
        <v/>
      </c>
      <c r="M58" s="67" t="str">
        <f>IF($E58="Q42027",COUNTIF($E$3:$E58,"Q42027"),"")</f>
        <v/>
      </c>
      <c r="N58" s="67" t="str">
        <f>IF($E58="Backlog",COUNTIF($E$3:$E58,"Backlog"),"")</f>
        <v/>
      </c>
    </row>
    <row r="59" spans="1:14" ht="24.75" customHeight="1">
      <c r="A59" s="65">
        <v>57</v>
      </c>
      <c r="B59" s="16"/>
      <c r="C59" s="17"/>
      <c r="D59" s="17"/>
      <c r="E59" s="17"/>
      <c r="F59" s="17"/>
      <c r="G59" s="17"/>
      <c r="H59" s="66" t="str">
        <f>IF(C59="XXL (&gt;160h)",168,IF(C59="XL (&gt;40h)",48,IF(C59="L (20-40h)",30,IF(C59="M (10-20h)",15,IF(C59="S (&lt;10h)",5,"")))))</f>
        <v/>
      </c>
      <c r="I59" s="16"/>
      <c r="J59" s="67" t="str">
        <f>IF($E59="Q12027",COUNTIF($E$3:$E59,"Q12027"),"")</f>
        <v/>
      </c>
      <c r="K59" s="67" t="str">
        <f>IF($E59="Q22027",COUNTIF($E$3:$E59,"Q22027"),"")</f>
        <v/>
      </c>
      <c r="L59" s="67" t="str">
        <f>IF($E59="Q32027",COUNTIF($E$3:$E59,"Q32027"),"")</f>
        <v/>
      </c>
      <c r="M59" s="67" t="str">
        <f>IF($E59="Q42027",COUNTIF($E$3:$E59,"Q42027"),"")</f>
        <v/>
      </c>
      <c r="N59" s="67" t="str">
        <f>IF($E59="Backlog",COUNTIF($E$3:$E59,"Backlog"),"")</f>
        <v/>
      </c>
    </row>
    <row r="60" spans="1:14" ht="24.75" customHeight="1">
      <c r="A60" s="68">
        <v>58</v>
      </c>
      <c r="B60" s="18"/>
      <c r="C60" s="19"/>
      <c r="D60" s="19"/>
      <c r="E60" s="19"/>
      <c r="F60" s="19"/>
      <c r="G60" s="19"/>
      <c r="H60" s="69" t="str">
        <f>IF(C60="XXL (&gt;160h)",168,IF(C60="XL (&gt;40h)",48,IF(C60="L (20-40h)",30,IF(C60="M (10-20h)",15,IF(C60="S (&lt;10h)",5,"")))))</f>
        <v/>
      </c>
      <c r="I60" s="18"/>
      <c r="J60" s="67" t="str">
        <f>IF($E60="Q12027",COUNTIF($E$3:$E60,"Q12027"),"")</f>
        <v/>
      </c>
      <c r="K60" s="67" t="str">
        <f>IF($E60="Q22027",COUNTIF($E$3:$E60,"Q22027"),"")</f>
        <v/>
      </c>
      <c r="L60" s="67" t="str">
        <f>IF($E60="Q32027",COUNTIF($E$3:$E60,"Q32027"),"")</f>
        <v/>
      </c>
      <c r="M60" s="67" t="str">
        <f>IF($E60="Q42027",COUNTIF($E$3:$E60,"Q42027"),"")</f>
        <v/>
      </c>
      <c r="N60" s="67" t="str">
        <f>IF($E60="Backlog",COUNTIF($E$3:$E60,"Backlog"),"")</f>
        <v/>
      </c>
    </row>
    <row r="61" spans="1:14" ht="24.75" customHeight="1">
      <c r="A61" s="65">
        <v>59</v>
      </c>
      <c r="B61" s="16"/>
      <c r="C61" s="17"/>
      <c r="D61" s="17"/>
      <c r="E61" s="17"/>
      <c r="F61" s="17"/>
      <c r="G61" s="17"/>
      <c r="H61" s="66" t="str">
        <f>IF(C61="XXL (&gt;160h)",168,IF(C61="XL (&gt;40h)",48,IF(C61="L (20-40h)",30,IF(C61="M (10-20h)",15,IF(C61="S (&lt;10h)",5,"")))))</f>
        <v/>
      </c>
      <c r="I61" s="16"/>
      <c r="J61" s="67" t="str">
        <f>IF($E61="Q12027",COUNTIF($E$3:$E61,"Q12027"),"")</f>
        <v/>
      </c>
      <c r="K61" s="67" t="str">
        <f>IF($E61="Q22027",COUNTIF($E$3:$E61,"Q22027"),"")</f>
        <v/>
      </c>
      <c r="L61" s="67" t="str">
        <f>IF($E61="Q32027",COUNTIF($E$3:$E61,"Q32027"),"")</f>
        <v/>
      </c>
      <c r="M61" s="67" t="str">
        <f>IF($E61="Q42027",COUNTIF($E$3:$E61,"Q42027"),"")</f>
        <v/>
      </c>
      <c r="N61" s="67" t="str">
        <f>IF($E61="Backlog",COUNTIF($E$3:$E61,"Backlog"),"")</f>
        <v/>
      </c>
    </row>
    <row r="62" spans="1:14" ht="24.75" customHeight="1">
      <c r="A62" s="68">
        <v>60</v>
      </c>
      <c r="B62" s="18"/>
      <c r="C62" s="19"/>
      <c r="D62" s="19"/>
      <c r="E62" s="19"/>
      <c r="F62" s="19"/>
      <c r="G62" s="19"/>
      <c r="H62" s="69" t="str">
        <f>IF(C62="XXL (&gt;160h)",168,IF(C62="XL (&gt;40h)",48,IF(C62="L (20-40h)",30,IF(C62="M (10-20h)",15,IF(C62="S (&lt;10h)",5,"")))))</f>
        <v/>
      </c>
      <c r="I62" s="18"/>
      <c r="J62" s="67" t="str">
        <f>IF($E62="Q12027",COUNTIF($E$3:$E62,"Q12027"),"")</f>
        <v/>
      </c>
      <c r="K62" s="67" t="str">
        <f>IF($E62="Q22027",COUNTIF($E$3:$E62,"Q22027"),"")</f>
        <v/>
      </c>
      <c r="L62" s="67" t="str">
        <f>IF($E62="Q32027",COUNTIF($E$3:$E62,"Q32027"),"")</f>
        <v/>
      </c>
      <c r="M62" s="67" t="str">
        <f>IF($E62="Q42027",COUNTIF($E$3:$E62,"Q42027"),"")</f>
        <v/>
      </c>
      <c r="N62" s="67" t="str">
        <f>IF($E62="Backlog",COUNTIF($E$3:$E62,"Backlog"),"")</f>
        <v/>
      </c>
    </row>
    <row r="63" spans="1:14" ht="24.75" customHeight="1">
      <c r="A63" s="65">
        <v>61</v>
      </c>
      <c r="B63" s="16"/>
      <c r="C63" s="17"/>
      <c r="D63" s="17"/>
      <c r="E63" s="17"/>
      <c r="F63" s="17"/>
      <c r="G63" s="17"/>
      <c r="H63" s="66" t="str">
        <f>IF(C63="XXL (&gt;160h)",168,IF(C63="XL (&gt;40h)",48,IF(C63="L (20-40h)",30,IF(C63="M (10-20h)",15,IF(C63="S (&lt;10h)",5,"")))))</f>
        <v/>
      </c>
      <c r="I63" s="16"/>
      <c r="J63" s="67" t="str">
        <f>IF($E63="Q12027",COUNTIF($E$3:$E63,"Q12027"),"")</f>
        <v/>
      </c>
      <c r="K63" s="67" t="str">
        <f>IF($E63="Q22027",COUNTIF($E$3:$E63,"Q22027"),"")</f>
        <v/>
      </c>
      <c r="L63" s="67" t="str">
        <f>IF($E63="Q32027",COUNTIF($E$3:$E63,"Q32027"),"")</f>
        <v/>
      </c>
      <c r="M63" s="67" t="str">
        <f>IF($E63="Q42027",COUNTIF($E$3:$E63,"Q42027"),"")</f>
        <v/>
      </c>
      <c r="N63" s="67" t="str">
        <f>IF($E63="Backlog",COUNTIF($E$3:$E63,"Backlog"),"")</f>
        <v/>
      </c>
    </row>
    <row r="64" spans="1:14" ht="24.75" customHeight="1">
      <c r="A64" s="68">
        <v>62</v>
      </c>
      <c r="B64" s="18"/>
      <c r="C64" s="19"/>
      <c r="D64" s="19"/>
      <c r="E64" s="19"/>
      <c r="F64" s="19"/>
      <c r="G64" s="19"/>
      <c r="H64" s="69" t="str">
        <f>IF(C64="XXL (&gt;160h)",168,IF(C64="XL (&gt;40h)",48,IF(C64="L (20-40h)",30,IF(C64="M (10-20h)",15,IF(C64="S (&lt;10h)",5,"")))))</f>
        <v/>
      </c>
      <c r="I64" s="18"/>
      <c r="J64" s="67" t="str">
        <f>IF($E64="Q12027",COUNTIF($E$3:$E64,"Q12027"),"")</f>
        <v/>
      </c>
      <c r="K64" s="67" t="str">
        <f>IF($E64="Q22027",COUNTIF($E$3:$E64,"Q22027"),"")</f>
        <v/>
      </c>
      <c r="L64" s="67" t="str">
        <f>IF($E64="Q32027",COUNTIF($E$3:$E64,"Q32027"),"")</f>
        <v/>
      </c>
      <c r="M64" s="67" t="str">
        <f>IF($E64="Q42027",COUNTIF($E$3:$E64,"Q42027"),"")</f>
        <v/>
      </c>
      <c r="N64" s="67" t="str">
        <f>IF($E64="Backlog",COUNTIF($E$3:$E64,"Backlog"),"")</f>
        <v/>
      </c>
    </row>
    <row r="65" spans="1:14" ht="24.75" customHeight="1">
      <c r="A65" s="65">
        <v>63</v>
      </c>
      <c r="B65" s="16"/>
      <c r="C65" s="17"/>
      <c r="D65" s="17"/>
      <c r="E65" s="17"/>
      <c r="F65" s="17"/>
      <c r="G65" s="17"/>
      <c r="H65" s="66" t="str">
        <f>IF(C65="XXL (&gt;160h)",168,IF(C65="XL (&gt;40h)",48,IF(C65="L (20-40h)",30,IF(C65="M (10-20h)",15,IF(C65="S (&lt;10h)",5,"")))))</f>
        <v/>
      </c>
      <c r="I65" s="16"/>
      <c r="J65" s="67" t="str">
        <f>IF($E65="Q12027",COUNTIF($E$3:$E65,"Q12027"),"")</f>
        <v/>
      </c>
      <c r="K65" s="67" t="str">
        <f>IF($E65="Q22027",COUNTIF($E$3:$E65,"Q22027"),"")</f>
        <v/>
      </c>
      <c r="L65" s="67" t="str">
        <f>IF($E65="Q32027",COUNTIF($E$3:$E65,"Q32027"),"")</f>
        <v/>
      </c>
      <c r="M65" s="67" t="str">
        <f>IF($E65="Q42027",COUNTIF($E$3:$E65,"Q42027"),"")</f>
        <v/>
      </c>
      <c r="N65" s="67" t="str">
        <f>IF($E65="Backlog",COUNTIF($E$3:$E65,"Backlog"),"")</f>
        <v/>
      </c>
    </row>
    <row r="66" spans="1:14" ht="24.75" customHeight="1">
      <c r="A66" s="68">
        <v>64</v>
      </c>
      <c r="B66" s="18"/>
      <c r="C66" s="19"/>
      <c r="D66" s="19"/>
      <c r="E66" s="19"/>
      <c r="F66" s="19"/>
      <c r="G66" s="19"/>
      <c r="H66" s="69" t="str">
        <f>IF(C66="XXL (&gt;160h)",168,IF(C66="XL (&gt;40h)",48,IF(C66="L (20-40h)",30,IF(C66="M (10-20h)",15,IF(C66="S (&lt;10h)",5,"")))))</f>
        <v/>
      </c>
      <c r="I66" s="18"/>
      <c r="J66" s="67" t="str">
        <f>IF($E66="Q12027",COUNTIF($E$3:$E66,"Q12027"),"")</f>
        <v/>
      </c>
      <c r="K66" s="67" t="str">
        <f>IF($E66="Q22027",COUNTIF($E$3:$E66,"Q22027"),"")</f>
        <v/>
      </c>
      <c r="L66" s="67" t="str">
        <f>IF($E66="Q32027",COUNTIF($E$3:$E66,"Q32027"),"")</f>
        <v/>
      </c>
      <c r="M66" s="67" t="str">
        <f>IF($E66="Q42027",COUNTIF($E$3:$E66,"Q42027"),"")</f>
        <v/>
      </c>
      <c r="N66" s="67" t="str">
        <f>IF($E66="Backlog",COUNTIF($E$3:$E66,"Backlog"),"")</f>
        <v/>
      </c>
    </row>
    <row r="67" spans="1:14" ht="24.75" customHeight="1">
      <c r="A67" s="65">
        <v>65</v>
      </c>
      <c r="B67" s="16"/>
      <c r="C67" s="17"/>
      <c r="D67" s="17"/>
      <c r="E67" s="17"/>
      <c r="F67" s="17"/>
      <c r="G67" s="17"/>
      <c r="H67" s="66" t="str">
        <f>IF(C67="XXL (&gt;160h)",168,IF(C67="XL (&gt;40h)",48,IF(C67="L (20-40h)",30,IF(C67="M (10-20h)",15,IF(C67="S (&lt;10h)",5,"")))))</f>
        <v/>
      </c>
      <c r="I67" s="16"/>
      <c r="J67" s="67" t="str">
        <f>IF($E67="Q12027",COUNTIF($E$3:$E67,"Q12027"),"")</f>
        <v/>
      </c>
      <c r="K67" s="67" t="str">
        <f>IF($E67="Q22027",COUNTIF($E$3:$E67,"Q22027"),"")</f>
        <v/>
      </c>
      <c r="L67" s="67" t="str">
        <f>IF($E67="Q32027",COUNTIF($E$3:$E67,"Q32027"),"")</f>
        <v/>
      </c>
      <c r="M67" s="67" t="str">
        <f>IF($E67="Q42027",COUNTIF($E$3:$E67,"Q42027"),"")</f>
        <v/>
      </c>
      <c r="N67" s="67" t="str">
        <f>IF($E67="Backlog",COUNTIF($E$3:$E67,"Backlog"),"")</f>
        <v/>
      </c>
    </row>
    <row r="68" spans="1:14" ht="24.75" customHeight="1">
      <c r="A68" s="68">
        <v>66</v>
      </c>
      <c r="B68" s="18"/>
      <c r="C68" s="19"/>
      <c r="D68" s="19"/>
      <c r="E68" s="19"/>
      <c r="F68" s="19"/>
      <c r="G68" s="19"/>
      <c r="H68" s="69" t="str">
        <f>IF(C68="XXL (&gt;160h)",168,IF(C68="XL (&gt;40h)",48,IF(C68="L (20-40h)",30,IF(C68="M (10-20h)",15,IF(C68="S (&lt;10h)",5,"")))))</f>
        <v/>
      </c>
      <c r="I68" s="18"/>
      <c r="J68" s="67" t="str">
        <f>IF($E68="Q12027",COUNTIF($E$3:$E68,"Q12027"),"")</f>
        <v/>
      </c>
      <c r="K68" s="67" t="str">
        <f>IF($E68="Q22027",COUNTIF($E$3:$E68,"Q22027"),"")</f>
        <v/>
      </c>
      <c r="L68" s="67" t="str">
        <f>IF($E68="Q32027",COUNTIF($E$3:$E68,"Q32027"),"")</f>
        <v/>
      </c>
      <c r="M68" s="67" t="str">
        <f>IF($E68="Q42027",COUNTIF($E$3:$E68,"Q42027"),"")</f>
        <v/>
      </c>
      <c r="N68" s="67" t="str">
        <f>IF($E68="Backlog",COUNTIF($E$3:$E68,"Backlog"),"")</f>
        <v/>
      </c>
    </row>
    <row r="69" spans="1:14" ht="24.75" customHeight="1">
      <c r="A69" s="65">
        <v>67</v>
      </c>
      <c r="B69" s="16"/>
      <c r="C69" s="17"/>
      <c r="D69" s="17"/>
      <c r="E69" s="17"/>
      <c r="F69" s="17"/>
      <c r="G69" s="17"/>
      <c r="H69" s="66" t="str">
        <f>IF(C69="XXL (&gt;160h)",168,IF(C69="XL (&gt;40h)",48,IF(C69="L (20-40h)",30,IF(C69="M (10-20h)",15,IF(C69="S (&lt;10h)",5,"")))))</f>
        <v/>
      </c>
      <c r="I69" s="16"/>
      <c r="J69" s="67" t="str">
        <f>IF($E69="Q12027",COUNTIF($E$3:$E69,"Q12027"),"")</f>
        <v/>
      </c>
      <c r="K69" s="67" t="str">
        <f>IF($E69="Q22027",COUNTIF($E$3:$E69,"Q22027"),"")</f>
        <v/>
      </c>
      <c r="L69" s="67" t="str">
        <f>IF($E69="Q32027",COUNTIF($E$3:$E69,"Q32027"),"")</f>
        <v/>
      </c>
      <c r="M69" s="67" t="str">
        <f>IF($E69="Q42027",COUNTIF($E$3:$E69,"Q42027"),"")</f>
        <v/>
      </c>
      <c r="N69" s="67" t="str">
        <f>IF($E69="Backlog",COUNTIF($E$3:$E69,"Backlog"),"")</f>
        <v/>
      </c>
    </row>
    <row r="70" spans="1:14" ht="24.75" customHeight="1">
      <c r="A70" s="68">
        <v>68</v>
      </c>
      <c r="B70" s="18"/>
      <c r="C70" s="19"/>
      <c r="D70" s="19"/>
      <c r="E70" s="19"/>
      <c r="F70" s="19"/>
      <c r="G70" s="19"/>
      <c r="H70" s="69" t="str">
        <f>IF(C70="XXL (&gt;160h)",168,IF(C70="XL (&gt;40h)",48,IF(C70="L (20-40h)",30,IF(C70="M (10-20h)",15,IF(C70="S (&lt;10h)",5,"")))))</f>
        <v/>
      </c>
      <c r="I70" s="18"/>
      <c r="J70" s="67" t="str">
        <f>IF($E70="Q12027",COUNTIF($E$3:$E70,"Q12027"),"")</f>
        <v/>
      </c>
      <c r="K70" s="67" t="str">
        <f>IF($E70="Q22027",COUNTIF($E$3:$E70,"Q22027"),"")</f>
        <v/>
      </c>
      <c r="L70" s="67" t="str">
        <f>IF($E70="Q32027",COUNTIF($E$3:$E70,"Q32027"),"")</f>
        <v/>
      </c>
      <c r="M70" s="67" t="str">
        <f>IF($E70="Q42027",COUNTIF($E$3:$E70,"Q42027"),"")</f>
        <v/>
      </c>
      <c r="N70" s="67" t="str">
        <f>IF($E70="Backlog",COUNTIF($E$3:$E70,"Backlog"),"")</f>
        <v/>
      </c>
    </row>
    <row r="71" spans="1:14" ht="24.75" customHeight="1">
      <c r="A71" s="65">
        <v>69</v>
      </c>
      <c r="B71" s="16"/>
      <c r="C71" s="17"/>
      <c r="D71" s="17"/>
      <c r="E71" s="17"/>
      <c r="F71" s="17"/>
      <c r="G71" s="17"/>
      <c r="H71" s="66" t="str">
        <f>IF(C71="XXL (&gt;160h)",168,IF(C71="XL (&gt;40h)",48,IF(C71="L (20-40h)",30,IF(C71="M (10-20h)",15,IF(C71="S (&lt;10h)",5,"")))))</f>
        <v/>
      </c>
      <c r="I71" s="16"/>
      <c r="J71" s="67" t="str">
        <f>IF($E71="Q12027",COUNTIF($E$3:$E71,"Q12027"),"")</f>
        <v/>
      </c>
      <c r="K71" s="67" t="str">
        <f>IF($E71="Q22027",COUNTIF($E$3:$E71,"Q22027"),"")</f>
        <v/>
      </c>
      <c r="L71" s="67" t="str">
        <f>IF($E71="Q32027",COUNTIF($E$3:$E71,"Q32027"),"")</f>
        <v/>
      </c>
      <c r="M71" s="67" t="str">
        <f>IF($E71="Q42027",COUNTIF($E$3:$E71,"Q42027"),"")</f>
        <v/>
      </c>
      <c r="N71" s="67" t="str">
        <f>IF($E71="Backlog",COUNTIF($E$3:$E71,"Backlog"),"")</f>
        <v/>
      </c>
    </row>
    <row r="72" spans="1:14" ht="24.75" customHeight="1">
      <c r="A72" s="68">
        <v>70</v>
      </c>
      <c r="B72" s="18"/>
      <c r="C72" s="19"/>
      <c r="D72" s="19"/>
      <c r="E72" s="19"/>
      <c r="F72" s="19"/>
      <c r="G72" s="19"/>
      <c r="H72" s="69" t="str">
        <f>IF(C72="XXL (&gt;160h)",168,IF(C72="XL (&gt;40h)",48,IF(C72="L (20-40h)",30,IF(C72="M (10-20h)",15,IF(C72="S (&lt;10h)",5,"")))))</f>
        <v/>
      </c>
      <c r="I72" s="18"/>
      <c r="J72" s="67" t="str">
        <f>IF($E72="Q12027",COUNTIF($E$3:$E72,"Q12027"),"")</f>
        <v/>
      </c>
      <c r="K72" s="67" t="str">
        <f>IF($E72="Q22027",COUNTIF($E$3:$E72,"Q22027"),"")</f>
        <v/>
      </c>
      <c r="L72" s="67" t="str">
        <f>IF($E72="Q32027",COUNTIF($E$3:$E72,"Q32027"),"")</f>
        <v/>
      </c>
      <c r="M72" s="67" t="str">
        <f>IF($E72="Q42027",COUNTIF($E$3:$E72,"Q42027"),"")</f>
        <v/>
      </c>
      <c r="N72" s="67" t="str">
        <f>IF($E72="Backlog",COUNTIF($E$3:$E72,"Backlog"),"")</f>
        <v/>
      </c>
    </row>
    <row r="73" spans="1:14" ht="24.75" customHeight="1">
      <c r="A73" s="65">
        <v>71</v>
      </c>
      <c r="B73" s="16"/>
      <c r="C73" s="17"/>
      <c r="D73" s="17"/>
      <c r="E73" s="17"/>
      <c r="F73" s="17"/>
      <c r="G73" s="17"/>
      <c r="H73" s="66" t="str">
        <f>IF(C73="XXL (&gt;160h)",168,IF(C73="XL (&gt;40h)",48,IF(C73="L (20-40h)",30,IF(C73="M (10-20h)",15,IF(C73="S (&lt;10h)",5,"")))))</f>
        <v/>
      </c>
      <c r="I73" s="16"/>
      <c r="J73" s="67" t="str">
        <f>IF($E73="Q12027",COUNTIF($E$3:$E73,"Q12027"),"")</f>
        <v/>
      </c>
      <c r="K73" s="67" t="str">
        <f>IF($E73="Q22027",COUNTIF($E$3:$E73,"Q22027"),"")</f>
        <v/>
      </c>
      <c r="L73" s="67" t="str">
        <f>IF($E73="Q32027",COUNTIF($E$3:$E73,"Q32027"),"")</f>
        <v/>
      </c>
      <c r="M73" s="67" t="str">
        <f>IF($E73="Q42027",COUNTIF($E$3:$E73,"Q42027"),"")</f>
        <v/>
      </c>
      <c r="N73" s="67" t="str">
        <f>IF($E73="Backlog",COUNTIF($E$3:$E73,"Backlog"),"")</f>
        <v/>
      </c>
    </row>
    <row r="74" spans="1:14" ht="24.75" customHeight="1">
      <c r="A74" s="68">
        <v>72</v>
      </c>
      <c r="B74" s="18"/>
      <c r="C74" s="19"/>
      <c r="D74" s="19"/>
      <c r="E74" s="19"/>
      <c r="F74" s="19"/>
      <c r="G74" s="19"/>
      <c r="H74" s="69" t="str">
        <f>IF(C74="XXL (&gt;160h)",168,IF(C74="XL (&gt;40h)",48,IF(C74="L (20-40h)",30,IF(C74="M (10-20h)",15,IF(C74="S (&lt;10h)",5,"")))))</f>
        <v/>
      </c>
      <c r="I74" s="18"/>
      <c r="J74" s="67" t="str">
        <f>IF($E74="Q12027",COUNTIF($E$3:$E74,"Q12027"),"")</f>
        <v/>
      </c>
      <c r="K74" s="67" t="str">
        <f>IF($E74="Q22027",COUNTIF($E$3:$E74,"Q22027"),"")</f>
        <v/>
      </c>
      <c r="L74" s="67" t="str">
        <f>IF($E74="Q32027",COUNTIF($E$3:$E74,"Q32027"),"")</f>
        <v/>
      </c>
      <c r="M74" s="67" t="str">
        <f>IF($E74="Q42027",COUNTIF($E$3:$E74,"Q42027"),"")</f>
        <v/>
      </c>
      <c r="N74" s="67" t="str">
        <f>IF($E74="Backlog",COUNTIF($E$3:$E74,"Backlog"),"")</f>
        <v/>
      </c>
    </row>
    <row r="75" spans="1:14" ht="24.75" customHeight="1">
      <c r="A75" s="65">
        <v>73</v>
      </c>
      <c r="B75" s="16"/>
      <c r="C75" s="17"/>
      <c r="D75" s="17"/>
      <c r="E75" s="17"/>
      <c r="F75" s="17"/>
      <c r="G75" s="17"/>
      <c r="H75" s="66" t="str">
        <f>IF(C75="XXL (&gt;160h)",168,IF(C75="XL (&gt;40h)",48,IF(C75="L (20-40h)",30,IF(C75="M (10-20h)",15,IF(C75="S (&lt;10h)",5,"")))))</f>
        <v/>
      </c>
      <c r="I75" s="16"/>
      <c r="J75" s="67" t="str">
        <f>IF($E75="Q12027",COUNTIF($E$3:$E75,"Q12027"),"")</f>
        <v/>
      </c>
      <c r="K75" s="67" t="str">
        <f>IF($E75="Q22027",COUNTIF($E$3:$E75,"Q22027"),"")</f>
        <v/>
      </c>
      <c r="L75" s="67" t="str">
        <f>IF($E75="Q32027",COUNTIF($E$3:$E75,"Q32027"),"")</f>
        <v/>
      </c>
      <c r="M75" s="67" t="str">
        <f>IF($E75="Q42027",COUNTIF($E$3:$E75,"Q42027"),"")</f>
        <v/>
      </c>
      <c r="N75" s="67" t="str">
        <f>IF($E75="Backlog",COUNTIF($E$3:$E75,"Backlog"),"")</f>
        <v/>
      </c>
    </row>
    <row r="76" spans="1:14" ht="24.75" customHeight="1">
      <c r="A76" s="68">
        <v>74</v>
      </c>
      <c r="B76" s="18"/>
      <c r="C76" s="19"/>
      <c r="D76" s="19"/>
      <c r="E76" s="19"/>
      <c r="F76" s="19"/>
      <c r="G76" s="19"/>
      <c r="H76" s="69" t="str">
        <f>IF(C76="XXL (&gt;160h)",168,IF(C76="XL (&gt;40h)",48,IF(C76="L (20-40h)",30,IF(C76="M (10-20h)",15,IF(C76="S (&lt;10h)",5,"")))))</f>
        <v/>
      </c>
      <c r="I76" s="18"/>
      <c r="J76" s="67" t="str">
        <f>IF($E76="Q12027",COUNTIF($E$3:$E76,"Q12027"),"")</f>
        <v/>
      </c>
      <c r="K76" s="67" t="str">
        <f>IF($E76="Q22027",COUNTIF($E$3:$E76,"Q22027"),"")</f>
        <v/>
      </c>
      <c r="L76" s="67" t="str">
        <f>IF($E76="Q32027",COUNTIF($E$3:$E76,"Q32027"),"")</f>
        <v/>
      </c>
      <c r="M76" s="67" t="str">
        <f>IF($E76="Q42027",COUNTIF($E$3:$E76,"Q42027"),"")</f>
        <v/>
      </c>
      <c r="N76" s="67" t="str">
        <f>IF($E76="Backlog",COUNTIF($E$3:$E76,"Backlog"),"")</f>
        <v/>
      </c>
    </row>
    <row r="77" spans="1:14" ht="24.75" customHeight="1">
      <c r="A77" s="65">
        <v>75</v>
      </c>
      <c r="B77" s="16"/>
      <c r="C77" s="17"/>
      <c r="D77" s="17"/>
      <c r="E77" s="17"/>
      <c r="F77" s="17"/>
      <c r="G77" s="17"/>
      <c r="H77" s="66" t="str">
        <f>IF(C77="XXL (&gt;160h)",168,IF(C77="XL (&gt;40h)",48,IF(C77="L (20-40h)",30,IF(C77="M (10-20h)",15,IF(C77="S (&lt;10h)",5,"")))))</f>
        <v/>
      </c>
      <c r="I77" s="16"/>
      <c r="J77" s="67" t="str">
        <f>IF($E77="Q12027",COUNTIF($E$3:$E77,"Q12027"),"")</f>
        <v/>
      </c>
      <c r="K77" s="67" t="str">
        <f>IF($E77="Q22027",COUNTIF($E$3:$E77,"Q22027"),"")</f>
        <v/>
      </c>
      <c r="L77" s="67" t="str">
        <f>IF($E77="Q32027",COUNTIF($E$3:$E77,"Q32027"),"")</f>
        <v/>
      </c>
      <c r="M77" s="67" t="str">
        <f>IF($E77="Q42027",COUNTIF($E$3:$E77,"Q42027"),"")</f>
        <v/>
      </c>
      <c r="N77" s="67" t="str">
        <f>IF($E77="Backlog",COUNTIF($E$3:$E77,"Backlog"),"")</f>
        <v/>
      </c>
    </row>
    <row r="78" spans="1:14" ht="24.75" customHeight="1">
      <c r="A78" s="68">
        <v>76</v>
      </c>
      <c r="B78" s="18"/>
      <c r="C78" s="19"/>
      <c r="D78" s="19"/>
      <c r="E78" s="19"/>
      <c r="F78" s="19"/>
      <c r="G78" s="19"/>
      <c r="H78" s="69" t="str">
        <f>IF(C78="XXL (&gt;160h)",168,IF(C78="XL (&gt;40h)",48,IF(C78="L (20-40h)",30,IF(C78="M (10-20h)",15,IF(C78="S (&lt;10h)",5,"")))))</f>
        <v/>
      </c>
      <c r="I78" s="18"/>
      <c r="J78" s="67" t="str">
        <f>IF($E78="Q12027",COUNTIF($E$3:$E78,"Q12027"),"")</f>
        <v/>
      </c>
      <c r="K78" s="67" t="str">
        <f>IF($E78="Q22027",COUNTIF($E$3:$E78,"Q22027"),"")</f>
        <v/>
      </c>
      <c r="L78" s="67" t="str">
        <f>IF($E78="Q32027",COUNTIF($E$3:$E78,"Q32027"),"")</f>
        <v/>
      </c>
      <c r="M78" s="67" t="str">
        <f>IF($E78="Q42027",COUNTIF($E$3:$E78,"Q42027"),"")</f>
        <v/>
      </c>
      <c r="N78" s="67" t="str">
        <f>IF($E78="Backlog",COUNTIF($E$3:$E78,"Backlog"),"")</f>
        <v/>
      </c>
    </row>
    <row r="79" spans="1:14" ht="24.75" customHeight="1">
      <c r="A79" s="65">
        <v>77</v>
      </c>
      <c r="B79" s="16"/>
      <c r="C79" s="17"/>
      <c r="D79" s="17"/>
      <c r="E79" s="17"/>
      <c r="F79" s="17"/>
      <c r="G79" s="17"/>
      <c r="H79" s="66" t="str">
        <f>IF(C79="XXL (&gt;160h)",168,IF(C79="XL (&gt;40h)",48,IF(C79="L (20-40h)",30,IF(C79="M (10-20h)",15,IF(C79="S (&lt;10h)",5,"")))))</f>
        <v/>
      </c>
      <c r="I79" s="16"/>
      <c r="J79" s="67" t="str">
        <f>IF($E79="Q12027",COUNTIF($E$3:$E79,"Q12027"),"")</f>
        <v/>
      </c>
      <c r="K79" s="67" t="str">
        <f>IF($E79="Q22027",COUNTIF($E$3:$E79,"Q22027"),"")</f>
        <v/>
      </c>
      <c r="L79" s="67" t="str">
        <f>IF($E79="Q32027",COUNTIF($E$3:$E79,"Q32027"),"")</f>
        <v/>
      </c>
      <c r="M79" s="67" t="str">
        <f>IF($E79="Q42027",COUNTIF($E$3:$E79,"Q42027"),"")</f>
        <v/>
      </c>
      <c r="N79" s="67" t="str">
        <f>IF($E79="Backlog",COUNTIF($E$3:$E79,"Backlog"),"")</f>
        <v/>
      </c>
    </row>
    <row r="80" spans="1:14" ht="24.75" customHeight="1">
      <c r="A80" s="68">
        <v>78</v>
      </c>
      <c r="B80" s="18"/>
      <c r="C80" s="19"/>
      <c r="D80" s="19"/>
      <c r="E80" s="19"/>
      <c r="F80" s="19"/>
      <c r="G80" s="19"/>
      <c r="H80" s="69" t="str">
        <f>IF(C80="XXL (&gt;160h)",168,IF(C80="XL (&gt;40h)",48,IF(C80="L (20-40h)",30,IF(C80="M (10-20h)",15,IF(C80="S (&lt;10h)",5,"")))))</f>
        <v/>
      </c>
      <c r="I80" s="18"/>
      <c r="J80" s="67" t="str">
        <f>IF($E80="Q12027",COUNTIF($E$3:$E80,"Q12027"),"")</f>
        <v/>
      </c>
      <c r="K80" s="67" t="str">
        <f>IF($E80="Q22027",COUNTIF($E$3:$E80,"Q22027"),"")</f>
        <v/>
      </c>
      <c r="L80" s="67" t="str">
        <f>IF($E80="Q32027",COUNTIF($E$3:$E80,"Q32027"),"")</f>
        <v/>
      </c>
      <c r="M80" s="67" t="str">
        <f>IF($E80="Q42027",COUNTIF($E$3:$E80,"Q42027"),"")</f>
        <v/>
      </c>
      <c r="N80" s="67" t="str">
        <f>IF($E80="Backlog",COUNTIF($E$3:$E80,"Backlog"),"")</f>
        <v/>
      </c>
    </row>
    <row r="81" spans="1:14" ht="24.75" customHeight="1">
      <c r="A81" s="65">
        <v>79</v>
      </c>
      <c r="B81" s="16"/>
      <c r="C81" s="17"/>
      <c r="D81" s="17"/>
      <c r="E81" s="17"/>
      <c r="F81" s="17"/>
      <c r="G81" s="17"/>
      <c r="H81" s="66" t="str">
        <f>IF(C81="XXL (&gt;160h)",168,IF(C81="XL (&gt;40h)",48,IF(C81="L (20-40h)",30,IF(C81="M (10-20h)",15,IF(C81="S (&lt;10h)",5,"")))))</f>
        <v/>
      </c>
      <c r="I81" s="16"/>
      <c r="J81" s="67" t="str">
        <f>IF($E81="Q12027",COUNTIF($E$3:$E81,"Q12027"),"")</f>
        <v/>
      </c>
      <c r="K81" s="67" t="str">
        <f>IF($E81="Q22027",COUNTIF($E$3:$E81,"Q22027"),"")</f>
        <v/>
      </c>
      <c r="L81" s="67" t="str">
        <f>IF($E81="Q32027",COUNTIF($E$3:$E81,"Q32027"),"")</f>
        <v/>
      </c>
      <c r="M81" s="67" t="str">
        <f>IF($E81="Q42027",COUNTIF($E$3:$E81,"Q42027"),"")</f>
        <v/>
      </c>
      <c r="N81" s="67" t="str">
        <f>IF($E81="Backlog",COUNTIF($E$3:$E81,"Backlog"),"")</f>
        <v/>
      </c>
    </row>
    <row r="82" spans="1:14" ht="24.75" customHeight="1">
      <c r="A82" s="68">
        <v>80</v>
      </c>
      <c r="B82" s="18"/>
      <c r="C82" s="19"/>
      <c r="D82" s="19"/>
      <c r="E82" s="19"/>
      <c r="F82" s="19"/>
      <c r="G82" s="19"/>
      <c r="H82" s="69" t="str">
        <f>IF(C82="XXL (&gt;160h)",168,IF(C82="XL (&gt;40h)",48,IF(C82="L (20-40h)",30,IF(C82="M (10-20h)",15,IF(C82="S (&lt;10h)",5,"")))))</f>
        <v/>
      </c>
      <c r="I82" s="18"/>
      <c r="J82" s="67" t="str">
        <f>IF($E82="Q12027",COUNTIF($E$3:$E82,"Q12027"),"")</f>
        <v/>
      </c>
      <c r="K82" s="67" t="str">
        <f>IF($E82="Q22027",COUNTIF($E$3:$E82,"Q22027"),"")</f>
        <v/>
      </c>
      <c r="L82" s="67" t="str">
        <f>IF($E82="Q32027",COUNTIF($E$3:$E82,"Q32027"),"")</f>
        <v/>
      </c>
      <c r="M82" s="67" t="str">
        <f>IF($E82="Q42027",COUNTIF($E$3:$E82,"Q42027"),"")</f>
        <v/>
      </c>
      <c r="N82" s="67" t="str">
        <f>IF($E82="Backlog",COUNTIF($E$3:$E82,"Backlog"),"")</f>
        <v/>
      </c>
    </row>
    <row r="83" spans="1:14" ht="21.75" customHeight="1">
      <c r="A83" s="113" t="s">
        <v>56</v>
      </c>
      <c r="B83" s="113"/>
      <c r="C83" s="113"/>
      <c r="D83" s="113"/>
      <c r="E83" s="113"/>
      <c r="F83" s="113"/>
      <c r="G83" s="113"/>
      <c r="H83" s="20">
        <f>SUM(H3:H82)</f>
        <v>168</v>
      </c>
      <c r="I83" s="70"/>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42" priority="2" operator="equal">
      <formula>"Strengthen"</formula>
    </cfRule>
    <cfRule type="cellIs" dxfId="41" priority="3" operator="equal">
      <formula>"Innovation"</formula>
    </cfRule>
    <cfRule type="cellIs" dxfId="40" priority="4" operator="equal">
      <formula>"Repair"</formula>
    </cfRule>
  </conditionalFormatting>
  <dataValidations count="5">
    <dataValidation type="list" allowBlank="1" sqref="D3:D82" xr:uid="{00000000-0002-0000-0A00-000000000000}">
      <formula1>"Strengthen,Innovation,Repair"</formula1>
      <formula2>0</formula2>
    </dataValidation>
    <dataValidation type="list" allowBlank="1" sqref="C3:C82" xr:uid="{00000000-0002-0000-0A00-000001000000}">
      <formula1>"XXL (&gt;160h),XL (&gt;40h),L (20-40h),M (10-20h),S (&lt;10h)"</formula1>
      <formula2>0</formula2>
    </dataValidation>
    <dataValidation type="list" allowBlank="1" sqref="E3:E82" xr:uid="{00000000-0002-0000-0A00-000002000000}">
      <formula1>"Q12027,Q22027,Q32027,Q42027,Backlog"</formula1>
      <formula2>0</formula2>
    </dataValidation>
    <dataValidation type="list" allowBlank="1" sqref="F3:F82" xr:uid="{00000000-0002-0000-0A00-000003000000}">
      <formula1>"Must,Should,Could,Won't"</formula1>
      <formula2>0</formula2>
    </dataValidation>
    <dataValidation type="list" allowBlank="1" sqref="G3:G82" xr:uid="{00000000-0002-0000-0A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P87"/>
  <sheetViews>
    <sheetView showGridLines="0" zoomScaleNormal="100" workbookViewId="0">
      <pane xSplit="1" ySplit="2" topLeftCell="B3" activePane="bottomRight" state="frozen"/>
      <selection pane="bottomRight"/>
      <selection pane="bottomLeft" activeCell="A3" sqref="A3"/>
      <selection pane="topRight" activeCell="B1" sqref="B1"/>
    </sheetView>
  </sheetViews>
  <sheetFormatPr defaultColWidth="8.7109375" defaultRowHeight="15"/>
  <cols>
    <col min="1" max="1" width="5" customWidth="1"/>
    <col min="2" max="2" width="42.85546875" customWidth="1"/>
    <col min="3" max="3" width="16" customWidth="1"/>
    <col min="4" max="4" width="14" customWidth="1"/>
    <col min="5" max="5" width="16" customWidth="1"/>
    <col min="6" max="7" width="12" customWidth="1"/>
    <col min="8" max="8" width="11" customWidth="1"/>
    <col min="9" max="9" width="30" customWidth="1"/>
    <col min="10" max="16" width="0.140625" hidden="1" customWidth="1"/>
  </cols>
  <sheetData>
    <row r="1" spans="1:14" ht="43.5" customHeight="1">
      <c r="A1" s="127" t="s">
        <v>246</v>
      </c>
      <c r="B1" s="127"/>
      <c r="C1" s="127"/>
      <c r="D1" s="127"/>
      <c r="E1" s="127"/>
      <c r="F1" s="127"/>
      <c r="G1" s="127"/>
      <c r="H1" s="127"/>
      <c r="I1" s="127"/>
    </row>
    <row r="2" spans="1:14" ht="24" customHeight="1">
      <c r="A2" s="24" t="s">
        <v>1</v>
      </c>
      <c r="B2" s="24" t="s">
        <v>2</v>
      </c>
      <c r="C2" s="24" t="s">
        <v>3</v>
      </c>
      <c r="D2" s="24" t="s">
        <v>4</v>
      </c>
      <c r="E2" s="24" t="s">
        <v>5</v>
      </c>
      <c r="F2" s="24" t="s">
        <v>6</v>
      </c>
      <c r="G2" s="24" t="s">
        <v>7</v>
      </c>
      <c r="H2" s="24" t="s">
        <v>8</v>
      </c>
      <c r="I2" s="24" t="s">
        <v>9</v>
      </c>
    </row>
    <row r="3" spans="1:14" ht="19.5" customHeight="1">
      <c r="A3" s="65">
        <v>1</v>
      </c>
      <c r="B3" s="16"/>
      <c r="C3" s="17"/>
      <c r="D3" s="17"/>
      <c r="E3" s="17"/>
      <c r="F3" s="17"/>
      <c r="G3" s="17"/>
      <c r="H3" s="66" t="str">
        <f>IF(C3="XXL (&gt;160h)",168,IF(C3="XL (&gt;40h)",48,IF(C3="L (20-40h)",30,IF(C3="M (10-20h)",15,IF(C3="S (&lt;10h)",5,"")))))</f>
        <v/>
      </c>
      <c r="I3" s="16"/>
      <c r="J3" s="67" t="str">
        <f>IF($E3="Q12027",COUNTIF($E$3:$E3,"Q12027"),"")</f>
        <v/>
      </c>
      <c r="K3" s="67" t="str">
        <f>IF($E3="Q22027",COUNTIF($E$3:$E3,"Q22027"),"")</f>
        <v/>
      </c>
      <c r="L3" s="67" t="str">
        <f>IF($E3="Q32027",COUNTIF($E$3:$E3,"Q32027"),"")</f>
        <v/>
      </c>
      <c r="M3" s="67" t="str">
        <f>IF($E3="Q42027",COUNTIF($E$3:$E3,"Q42027"),"")</f>
        <v/>
      </c>
      <c r="N3" s="67" t="str">
        <f>IF($E3="Backlog",COUNTIF($E$3:$E3,"Backlog"),"")</f>
        <v/>
      </c>
    </row>
    <row r="4" spans="1:14" ht="19.5" customHeight="1">
      <c r="A4" s="68">
        <v>2</v>
      </c>
      <c r="B4" s="18"/>
      <c r="C4" s="19"/>
      <c r="D4" s="19"/>
      <c r="E4" s="19"/>
      <c r="F4" s="19"/>
      <c r="G4" s="19"/>
      <c r="H4" s="69" t="str">
        <f>IF(C4="XXL (&gt;160h)",168,IF(C4="XL (&gt;40h)",48,IF(C4="L (20-40h)",30,IF(C4="M (10-20h)",15,IF(C4="S (&lt;10h)",5,"")))))</f>
        <v/>
      </c>
      <c r="I4" s="18"/>
      <c r="J4" s="67" t="str">
        <f>IF($E4="Q12027",COUNTIF($E$3:$E4,"Q12027"),"")</f>
        <v/>
      </c>
      <c r="K4" s="67" t="str">
        <f>IF($E4="Q22027",COUNTIF($E$3:$E4,"Q22027"),"")</f>
        <v/>
      </c>
      <c r="L4" s="67" t="str">
        <f>IF($E4="Q32027",COUNTIF($E$3:$E4,"Q32027"),"")</f>
        <v/>
      </c>
      <c r="M4" s="67" t="str">
        <f>IF($E4="Q42027",COUNTIF($E$3:$E4,"Q42027"),"")</f>
        <v/>
      </c>
      <c r="N4" s="67" t="str">
        <f>IF($E4="Backlog",COUNTIF($E$3:$E4,"Backlog"),"")</f>
        <v/>
      </c>
    </row>
    <row r="5" spans="1:14" ht="19.5" customHeight="1">
      <c r="A5" s="65">
        <v>3</v>
      </c>
      <c r="B5" s="16"/>
      <c r="C5" s="17"/>
      <c r="D5" s="17"/>
      <c r="E5" s="17"/>
      <c r="F5" s="17"/>
      <c r="G5" s="17"/>
      <c r="H5" s="66" t="str">
        <f>IF(C5="XXL (&gt;160h)",168,IF(C5="XL (&gt;40h)",48,IF(C5="L (20-40h)",30,IF(C5="M (10-20h)",15,IF(C5="S (&lt;10h)",5,"")))))</f>
        <v/>
      </c>
      <c r="I5" s="16"/>
      <c r="J5" s="67" t="str">
        <f>IF($E5="Q12027",COUNTIF($E$3:$E5,"Q12027"),"")</f>
        <v/>
      </c>
      <c r="K5" s="67" t="str">
        <f>IF($E5="Q22027",COUNTIF($E$3:$E5,"Q22027"),"")</f>
        <v/>
      </c>
      <c r="L5" s="67" t="str">
        <f>IF($E5="Q32027",COUNTIF($E$3:$E5,"Q32027"),"")</f>
        <v/>
      </c>
      <c r="M5" s="67" t="str">
        <f>IF($E5="Q42027",COUNTIF($E$3:$E5,"Q42027"),"")</f>
        <v/>
      </c>
      <c r="N5" s="67" t="str">
        <f>IF($E5="Backlog",COUNTIF($E$3:$E5,"Backlog"),"")</f>
        <v/>
      </c>
    </row>
    <row r="6" spans="1:14" ht="19.5" customHeight="1">
      <c r="A6" s="68">
        <v>4</v>
      </c>
      <c r="B6" s="18"/>
      <c r="C6" s="19"/>
      <c r="D6" s="19"/>
      <c r="E6" s="19"/>
      <c r="F6" s="19"/>
      <c r="G6" s="19"/>
      <c r="H6" s="69" t="str">
        <f>IF(C6="XXL (&gt;160h)",168,IF(C6="XL (&gt;40h)",48,IF(C6="L (20-40h)",30,IF(C6="M (10-20h)",15,IF(C6="S (&lt;10h)",5,"")))))</f>
        <v/>
      </c>
      <c r="I6" s="18"/>
      <c r="J6" s="67" t="str">
        <f>IF($E6="Q12027",COUNTIF($E$3:$E6,"Q12027"),"")</f>
        <v/>
      </c>
      <c r="K6" s="67" t="str">
        <f>IF($E6="Q22027",COUNTIF($E$3:$E6,"Q22027"),"")</f>
        <v/>
      </c>
      <c r="L6" s="67" t="str">
        <f>IF($E6="Q32027",COUNTIF($E$3:$E6,"Q32027"),"")</f>
        <v/>
      </c>
      <c r="M6" s="67" t="str">
        <f>IF($E6="Q42027",COUNTIF($E$3:$E6,"Q42027"),"")</f>
        <v/>
      </c>
      <c r="N6" s="67" t="str">
        <f>IF($E6="Backlog",COUNTIF($E$3:$E6,"Backlog"),"")</f>
        <v/>
      </c>
    </row>
    <row r="7" spans="1:14" ht="19.5" customHeight="1">
      <c r="A7" s="65">
        <v>5</v>
      </c>
      <c r="B7" s="16"/>
      <c r="C7" s="17"/>
      <c r="D7" s="17"/>
      <c r="E7" s="17"/>
      <c r="F7" s="17"/>
      <c r="G7" s="17"/>
      <c r="H7" s="66" t="str">
        <f>IF(C7="XXL (&gt;160h)",168,IF(C7="XL (&gt;40h)",48,IF(C7="L (20-40h)",30,IF(C7="M (10-20h)",15,IF(C7="S (&lt;10h)",5,"")))))</f>
        <v/>
      </c>
      <c r="I7" s="16"/>
      <c r="J7" s="67" t="str">
        <f>IF($E7="Q12027",COUNTIF($E$3:$E7,"Q12027"),"")</f>
        <v/>
      </c>
      <c r="K7" s="67" t="str">
        <f>IF($E7="Q22027",COUNTIF($E$3:$E7,"Q22027"),"")</f>
        <v/>
      </c>
      <c r="L7" s="67" t="str">
        <f>IF($E7="Q32027",COUNTIF($E$3:$E7,"Q32027"),"")</f>
        <v/>
      </c>
      <c r="M7" s="67" t="str">
        <f>IF($E7="Q42027",COUNTIF($E$3:$E7,"Q42027"),"")</f>
        <v/>
      </c>
      <c r="N7" s="67" t="str">
        <f>IF($E7="Backlog",COUNTIF($E$3:$E7,"Backlog"),"")</f>
        <v/>
      </c>
    </row>
    <row r="8" spans="1:14" ht="19.5" customHeight="1">
      <c r="A8" s="68">
        <v>6</v>
      </c>
      <c r="B8" s="18"/>
      <c r="C8" s="19"/>
      <c r="D8" s="19"/>
      <c r="E8" s="19"/>
      <c r="F8" s="19"/>
      <c r="G8" s="19"/>
      <c r="H8" s="69" t="str">
        <f>IF(C8="XXL (&gt;160h)",168,IF(C8="XL (&gt;40h)",48,IF(C8="L (20-40h)",30,IF(C8="M (10-20h)",15,IF(C8="S (&lt;10h)",5,"")))))</f>
        <v/>
      </c>
      <c r="I8" s="18"/>
      <c r="J8" s="67" t="str">
        <f>IF($E8="Q12027",COUNTIF($E$3:$E8,"Q12027"),"")</f>
        <v/>
      </c>
      <c r="K8" s="67" t="str">
        <f>IF($E8="Q22027",COUNTIF($E$3:$E8,"Q22027"),"")</f>
        <v/>
      </c>
      <c r="L8" s="67" t="str">
        <f>IF($E8="Q32027",COUNTIF($E$3:$E8,"Q32027"),"")</f>
        <v/>
      </c>
      <c r="M8" s="67" t="str">
        <f>IF($E8="Q42027",COUNTIF($E$3:$E8,"Q42027"),"")</f>
        <v/>
      </c>
      <c r="N8" s="67" t="str">
        <f>IF($E8="Backlog",COUNTIF($E$3:$E8,"Backlog"),"")</f>
        <v/>
      </c>
    </row>
    <row r="9" spans="1:14" ht="19.5" customHeight="1">
      <c r="A9" s="65">
        <v>7</v>
      </c>
      <c r="B9" s="16"/>
      <c r="C9" s="17"/>
      <c r="D9" s="17"/>
      <c r="E9" s="17"/>
      <c r="F9" s="17"/>
      <c r="G9" s="17"/>
      <c r="H9" s="66" t="str">
        <f>IF(C9="XXL (&gt;160h)",168,IF(C9="XL (&gt;40h)",48,IF(C9="L (20-40h)",30,IF(C9="M (10-20h)",15,IF(C9="S (&lt;10h)",5,"")))))</f>
        <v/>
      </c>
      <c r="I9" s="16"/>
      <c r="J9" s="67" t="str">
        <f>IF($E9="Q12027",COUNTIF($E$3:$E9,"Q12027"),"")</f>
        <v/>
      </c>
      <c r="K9" s="67" t="str">
        <f>IF($E9="Q22027",COUNTIF($E$3:$E9,"Q22027"),"")</f>
        <v/>
      </c>
      <c r="L9" s="67" t="str">
        <f>IF($E9="Q32027",COUNTIF($E$3:$E9,"Q32027"),"")</f>
        <v/>
      </c>
      <c r="M9" s="67" t="str">
        <f>IF($E9="Q42027",COUNTIF($E$3:$E9,"Q42027"),"")</f>
        <v/>
      </c>
      <c r="N9" s="67" t="str">
        <f>IF($E9="Backlog",COUNTIF($E$3:$E9,"Backlog"),"")</f>
        <v/>
      </c>
    </row>
    <row r="10" spans="1:14" ht="19.5" customHeight="1">
      <c r="A10" s="68">
        <v>8</v>
      </c>
      <c r="B10" s="18"/>
      <c r="C10" s="19"/>
      <c r="D10" s="19"/>
      <c r="E10" s="19"/>
      <c r="F10" s="19"/>
      <c r="G10" s="19"/>
      <c r="H10" s="69" t="str">
        <f>IF(C10="XXL (&gt;160h)",168,IF(C10="XL (&gt;40h)",48,IF(C10="L (20-40h)",30,IF(C10="M (10-20h)",15,IF(C10="S (&lt;10h)",5,"")))))</f>
        <v/>
      </c>
      <c r="I10" s="18"/>
      <c r="J10" s="67" t="str">
        <f>IF($E10="Q12027",COUNTIF($E$3:$E10,"Q12027"),"")</f>
        <v/>
      </c>
      <c r="K10" s="67" t="str">
        <f>IF($E10="Q22027",COUNTIF($E$3:$E10,"Q22027"),"")</f>
        <v/>
      </c>
      <c r="L10" s="67" t="str">
        <f>IF($E10="Q32027",COUNTIF($E$3:$E10,"Q32027"),"")</f>
        <v/>
      </c>
      <c r="M10" s="67" t="str">
        <f>IF($E10="Q42027",COUNTIF($E$3:$E10,"Q42027"),"")</f>
        <v/>
      </c>
      <c r="N10" s="67" t="str">
        <f>IF($E10="Backlog",COUNTIF($E$3:$E10,"Backlog"),"")</f>
        <v/>
      </c>
    </row>
    <row r="11" spans="1:14" ht="19.5" customHeight="1">
      <c r="A11" s="65">
        <v>9</v>
      </c>
      <c r="B11" s="16"/>
      <c r="C11" s="17"/>
      <c r="D11" s="17"/>
      <c r="E11" s="17"/>
      <c r="F11" s="17"/>
      <c r="G11" s="17"/>
      <c r="H11" s="66" t="str">
        <f>IF(C11="XXL (&gt;160h)",168,IF(C11="XL (&gt;40h)",48,IF(C11="L (20-40h)",30,IF(C11="M (10-20h)",15,IF(C11="S (&lt;10h)",5,"")))))</f>
        <v/>
      </c>
      <c r="I11" s="16"/>
      <c r="J11" s="67" t="str">
        <f>IF($E11="Q12027",COUNTIF($E$3:$E11,"Q12027"),"")</f>
        <v/>
      </c>
      <c r="K11" s="67" t="str">
        <f>IF($E11="Q22027",COUNTIF($E$3:$E11,"Q22027"),"")</f>
        <v/>
      </c>
      <c r="L11" s="67" t="str">
        <f>IF($E11="Q32027",COUNTIF($E$3:$E11,"Q32027"),"")</f>
        <v/>
      </c>
      <c r="M11" s="67" t="str">
        <f>IF($E11="Q42027",COUNTIF($E$3:$E11,"Q42027"),"")</f>
        <v/>
      </c>
      <c r="N11" s="67" t="str">
        <f>IF($E11="Backlog",COUNTIF($E$3:$E11,"Backlog"),"")</f>
        <v/>
      </c>
    </row>
    <row r="12" spans="1:14" ht="19.5" customHeight="1">
      <c r="A12" s="68">
        <v>10</v>
      </c>
      <c r="B12" s="18"/>
      <c r="C12" s="19"/>
      <c r="D12" s="19"/>
      <c r="E12" s="19"/>
      <c r="F12" s="19"/>
      <c r="G12" s="19"/>
      <c r="H12" s="69" t="str">
        <f>IF(C12="XXL (&gt;160h)",168,IF(C12="XL (&gt;40h)",48,IF(C12="L (20-40h)",30,IF(C12="M (10-20h)",15,IF(C12="S (&lt;10h)",5,"")))))</f>
        <v/>
      </c>
      <c r="I12" s="18"/>
      <c r="J12" s="67" t="str">
        <f>IF($E12="Q12027",COUNTIF($E$3:$E12,"Q12027"),"")</f>
        <v/>
      </c>
      <c r="K12" s="67" t="str">
        <f>IF($E12="Q22027",COUNTIF($E$3:$E12,"Q22027"),"")</f>
        <v/>
      </c>
      <c r="L12" s="67" t="str">
        <f>IF($E12="Q32027",COUNTIF($E$3:$E12,"Q32027"),"")</f>
        <v/>
      </c>
      <c r="M12" s="67" t="str">
        <f>IF($E12="Q42027",COUNTIF($E$3:$E12,"Q42027"),"")</f>
        <v/>
      </c>
      <c r="N12" s="67" t="str">
        <f>IF($E12="Backlog",COUNTIF($E$3:$E12,"Backlog"),"")</f>
        <v/>
      </c>
    </row>
    <row r="13" spans="1:14" ht="19.5" customHeight="1">
      <c r="A13" s="65">
        <v>11</v>
      </c>
      <c r="B13" s="16"/>
      <c r="C13" s="17"/>
      <c r="D13" s="17"/>
      <c r="E13" s="17"/>
      <c r="F13" s="17"/>
      <c r="G13" s="17"/>
      <c r="H13" s="66" t="str">
        <f>IF(C13="XXL (&gt;160h)",168,IF(C13="XL (&gt;40h)",48,IF(C13="L (20-40h)",30,IF(C13="M (10-20h)",15,IF(C13="S (&lt;10h)",5,"")))))</f>
        <v/>
      </c>
      <c r="I13" s="16"/>
      <c r="J13" s="67" t="str">
        <f>IF($E13="Q12027",COUNTIF($E$3:$E13,"Q12027"),"")</f>
        <v/>
      </c>
      <c r="K13" s="67" t="str">
        <f>IF($E13="Q22027",COUNTIF($E$3:$E13,"Q22027"),"")</f>
        <v/>
      </c>
      <c r="L13" s="67" t="str">
        <f>IF($E13="Q32027",COUNTIF($E$3:$E13,"Q32027"),"")</f>
        <v/>
      </c>
      <c r="M13" s="67" t="str">
        <f>IF($E13="Q42027",COUNTIF($E$3:$E13,"Q42027"),"")</f>
        <v/>
      </c>
      <c r="N13" s="67" t="str">
        <f>IF($E13="Backlog",COUNTIF($E$3:$E13,"Backlog"),"")</f>
        <v/>
      </c>
    </row>
    <row r="14" spans="1:14" ht="19.5" customHeight="1">
      <c r="A14" s="68">
        <v>12</v>
      </c>
      <c r="B14" s="18"/>
      <c r="C14" s="19"/>
      <c r="D14" s="19"/>
      <c r="E14" s="19"/>
      <c r="F14" s="19"/>
      <c r="G14" s="19"/>
      <c r="H14" s="69" t="str">
        <f>IF(C14="XXL (&gt;160h)",168,IF(C14="XL (&gt;40h)",48,IF(C14="L (20-40h)",30,IF(C14="M (10-20h)",15,IF(C14="S (&lt;10h)",5,"")))))</f>
        <v/>
      </c>
      <c r="I14" s="18"/>
      <c r="J14" s="67" t="str">
        <f>IF($E14="Q12027",COUNTIF($E$3:$E14,"Q12027"),"")</f>
        <v/>
      </c>
      <c r="K14" s="67" t="str">
        <f>IF($E14="Q22027",COUNTIF($E$3:$E14,"Q22027"),"")</f>
        <v/>
      </c>
      <c r="L14" s="67" t="str">
        <f>IF($E14="Q32027",COUNTIF($E$3:$E14,"Q32027"),"")</f>
        <v/>
      </c>
      <c r="M14" s="67" t="str">
        <f>IF($E14="Q42027",COUNTIF($E$3:$E14,"Q42027"),"")</f>
        <v/>
      </c>
      <c r="N14" s="67" t="str">
        <f>IF($E14="Backlog",COUNTIF($E$3:$E14,"Backlog"),"")</f>
        <v/>
      </c>
    </row>
    <row r="15" spans="1:14" ht="19.5" customHeight="1">
      <c r="A15" s="65">
        <v>13</v>
      </c>
      <c r="B15" s="16"/>
      <c r="C15" s="17"/>
      <c r="D15" s="17"/>
      <c r="E15" s="17"/>
      <c r="F15" s="17"/>
      <c r="G15" s="17"/>
      <c r="H15" s="66" t="str">
        <f>IF(C15="XXL (&gt;160h)",168,IF(C15="XL (&gt;40h)",48,IF(C15="L (20-40h)",30,IF(C15="M (10-20h)",15,IF(C15="S (&lt;10h)",5,"")))))</f>
        <v/>
      </c>
      <c r="I15" s="16"/>
      <c r="J15" s="67" t="str">
        <f>IF($E15="Q12027",COUNTIF($E$3:$E15,"Q12027"),"")</f>
        <v/>
      </c>
      <c r="K15" s="67" t="str">
        <f>IF($E15="Q22027",COUNTIF($E$3:$E15,"Q22027"),"")</f>
        <v/>
      </c>
      <c r="L15" s="67" t="str">
        <f>IF($E15="Q32027",COUNTIF($E$3:$E15,"Q32027"),"")</f>
        <v/>
      </c>
      <c r="M15" s="67" t="str">
        <f>IF($E15="Q42027",COUNTIF($E$3:$E15,"Q42027"),"")</f>
        <v/>
      </c>
      <c r="N15" s="67" t="str">
        <f>IF($E15="Backlog",COUNTIF($E$3:$E15,"Backlog"),"")</f>
        <v/>
      </c>
    </row>
    <row r="16" spans="1:14" ht="19.5" customHeight="1">
      <c r="A16" s="68">
        <v>14</v>
      </c>
      <c r="B16" s="18"/>
      <c r="C16" s="19"/>
      <c r="D16" s="19"/>
      <c r="E16" s="19"/>
      <c r="F16" s="19"/>
      <c r="G16" s="19"/>
      <c r="H16" s="69" t="str">
        <f>IF(C16="XXL (&gt;160h)",168,IF(C16="XL (&gt;40h)",48,IF(C16="L (20-40h)",30,IF(C16="M (10-20h)",15,IF(C16="S (&lt;10h)",5,"")))))</f>
        <v/>
      </c>
      <c r="I16" s="18"/>
      <c r="J16" s="67" t="str">
        <f>IF($E16="Q12027",COUNTIF($E$3:$E16,"Q12027"),"")</f>
        <v/>
      </c>
      <c r="K16" s="67" t="str">
        <f>IF($E16="Q22027",COUNTIF($E$3:$E16,"Q22027"),"")</f>
        <v/>
      </c>
      <c r="L16" s="67" t="str">
        <f>IF($E16="Q32027",COUNTIF($E$3:$E16,"Q32027"),"")</f>
        <v/>
      </c>
      <c r="M16" s="67" t="str">
        <f>IF($E16="Q42027",COUNTIF($E$3:$E16,"Q42027"),"")</f>
        <v/>
      </c>
      <c r="N16" s="67" t="str">
        <f>IF($E16="Backlog",COUNTIF($E$3:$E16,"Backlog"),"")</f>
        <v/>
      </c>
    </row>
    <row r="17" spans="1:14" ht="19.5" customHeight="1">
      <c r="A17" s="65">
        <v>15</v>
      </c>
      <c r="B17" s="16"/>
      <c r="C17" s="17"/>
      <c r="D17" s="17"/>
      <c r="E17" s="17"/>
      <c r="F17" s="17"/>
      <c r="G17" s="17"/>
      <c r="H17" s="66" t="str">
        <f>IF(C17="XXL (&gt;160h)",168,IF(C17="XL (&gt;40h)",48,IF(C17="L (20-40h)",30,IF(C17="M (10-20h)",15,IF(C17="S (&lt;10h)",5,"")))))</f>
        <v/>
      </c>
      <c r="I17" s="16"/>
      <c r="J17" s="67" t="str">
        <f>IF($E17="Q12027",COUNTIF($E$3:$E17,"Q12027"),"")</f>
        <v/>
      </c>
      <c r="K17" s="67" t="str">
        <f>IF($E17="Q22027",COUNTIF($E$3:$E17,"Q22027"),"")</f>
        <v/>
      </c>
      <c r="L17" s="67" t="str">
        <f>IF($E17="Q32027",COUNTIF($E$3:$E17,"Q32027"),"")</f>
        <v/>
      </c>
      <c r="M17" s="67" t="str">
        <f>IF($E17="Q42027",COUNTIF($E$3:$E17,"Q42027"),"")</f>
        <v/>
      </c>
      <c r="N17" s="67" t="str">
        <f>IF($E17="Backlog",COUNTIF($E$3:$E17,"Backlog"),"")</f>
        <v/>
      </c>
    </row>
    <row r="18" spans="1:14" ht="19.5" customHeight="1">
      <c r="A18" s="68">
        <v>16</v>
      </c>
      <c r="B18" s="18"/>
      <c r="C18" s="19"/>
      <c r="D18" s="19"/>
      <c r="E18" s="19"/>
      <c r="F18" s="19"/>
      <c r="G18" s="19"/>
      <c r="H18" s="69" t="str">
        <f>IF(C18="XXL (&gt;160h)",168,IF(C18="XL (&gt;40h)",48,IF(C18="L (20-40h)",30,IF(C18="M (10-20h)",15,IF(C18="S (&lt;10h)",5,"")))))</f>
        <v/>
      </c>
      <c r="I18" s="18"/>
      <c r="J18" s="67" t="str">
        <f>IF($E18="Q12027",COUNTIF($E$3:$E18,"Q12027"),"")</f>
        <v/>
      </c>
      <c r="K18" s="67" t="str">
        <f>IF($E18="Q22027",COUNTIF($E$3:$E18,"Q22027"),"")</f>
        <v/>
      </c>
      <c r="L18" s="67" t="str">
        <f>IF($E18="Q32027",COUNTIF($E$3:$E18,"Q32027"),"")</f>
        <v/>
      </c>
      <c r="M18" s="67" t="str">
        <f>IF($E18="Q42027",COUNTIF($E$3:$E18,"Q42027"),"")</f>
        <v/>
      </c>
      <c r="N18" s="67" t="str">
        <f>IF($E18="Backlog",COUNTIF($E$3:$E18,"Backlog"),"")</f>
        <v/>
      </c>
    </row>
    <row r="19" spans="1:14" ht="19.5" customHeight="1">
      <c r="A19" s="65">
        <v>17</v>
      </c>
      <c r="B19" s="16"/>
      <c r="C19" s="17"/>
      <c r="D19" s="17"/>
      <c r="E19" s="17"/>
      <c r="F19" s="17"/>
      <c r="G19" s="17"/>
      <c r="H19" s="66" t="str">
        <f>IF(C19="XXL (&gt;160h)",168,IF(C19="XL (&gt;40h)",48,IF(C19="L (20-40h)",30,IF(C19="M (10-20h)",15,IF(C19="S (&lt;10h)",5,"")))))</f>
        <v/>
      </c>
      <c r="I19" s="16"/>
      <c r="J19" s="67" t="str">
        <f>IF($E19="Q12027",COUNTIF($E$3:$E19,"Q12027"),"")</f>
        <v/>
      </c>
      <c r="K19" s="67" t="str">
        <f>IF($E19="Q22027",COUNTIF($E$3:$E19,"Q22027"),"")</f>
        <v/>
      </c>
      <c r="L19" s="67" t="str">
        <f>IF($E19="Q32027",COUNTIF($E$3:$E19,"Q32027"),"")</f>
        <v/>
      </c>
      <c r="M19" s="67" t="str">
        <f>IF($E19="Q42027",COUNTIF($E$3:$E19,"Q42027"),"")</f>
        <v/>
      </c>
      <c r="N19" s="67" t="str">
        <f>IF($E19="Backlog",COUNTIF($E$3:$E19,"Backlog"),"")</f>
        <v/>
      </c>
    </row>
    <row r="20" spans="1:14" ht="19.5" customHeight="1">
      <c r="A20" s="68">
        <v>18</v>
      </c>
      <c r="B20" s="18"/>
      <c r="C20" s="19"/>
      <c r="D20" s="19"/>
      <c r="E20" s="19"/>
      <c r="F20" s="19"/>
      <c r="G20" s="19"/>
      <c r="H20" s="69" t="str">
        <f>IF(C20="XXL (&gt;160h)",168,IF(C20="XL (&gt;40h)",48,IF(C20="L (20-40h)",30,IF(C20="M (10-20h)",15,IF(C20="S (&lt;10h)",5,"")))))</f>
        <v/>
      </c>
      <c r="I20" s="18"/>
      <c r="J20" s="67" t="str">
        <f>IF($E20="Q12027",COUNTIF($E$3:$E20,"Q12027"),"")</f>
        <v/>
      </c>
      <c r="K20" s="67" t="str">
        <f>IF($E20="Q22027",COUNTIF($E$3:$E20,"Q22027"),"")</f>
        <v/>
      </c>
      <c r="L20" s="67" t="str">
        <f>IF($E20="Q32027",COUNTIF($E$3:$E20,"Q32027"),"")</f>
        <v/>
      </c>
      <c r="M20" s="67" t="str">
        <f>IF($E20="Q42027",COUNTIF($E$3:$E20,"Q42027"),"")</f>
        <v/>
      </c>
      <c r="N20" s="67" t="str">
        <f>IF($E20="Backlog",COUNTIF($E$3:$E20,"Backlog"),"")</f>
        <v/>
      </c>
    </row>
    <row r="21" spans="1:14" ht="19.5" customHeight="1">
      <c r="A21" s="65">
        <v>19</v>
      </c>
      <c r="B21" s="16"/>
      <c r="C21" s="17"/>
      <c r="D21" s="17"/>
      <c r="E21" s="17"/>
      <c r="F21" s="17"/>
      <c r="G21" s="17"/>
      <c r="H21" s="66" t="str">
        <f>IF(C21="XXL (&gt;160h)",168,IF(C21="XL (&gt;40h)",48,IF(C21="L (20-40h)",30,IF(C21="M (10-20h)",15,IF(C21="S (&lt;10h)",5,"")))))</f>
        <v/>
      </c>
      <c r="I21" s="16"/>
      <c r="J21" s="67" t="str">
        <f>IF($E21="Q12027",COUNTIF($E$3:$E21,"Q12027"),"")</f>
        <v/>
      </c>
      <c r="K21" s="67" t="str">
        <f>IF($E21="Q22027",COUNTIF($E$3:$E21,"Q22027"),"")</f>
        <v/>
      </c>
      <c r="L21" s="67" t="str">
        <f>IF($E21="Q32027",COUNTIF($E$3:$E21,"Q32027"),"")</f>
        <v/>
      </c>
      <c r="M21" s="67" t="str">
        <f>IF($E21="Q42027",COUNTIF($E$3:$E21,"Q42027"),"")</f>
        <v/>
      </c>
      <c r="N21" s="67" t="str">
        <f>IF($E21="Backlog",COUNTIF($E$3:$E21,"Backlog"),"")</f>
        <v/>
      </c>
    </row>
    <row r="22" spans="1:14" ht="19.5" customHeight="1">
      <c r="A22" s="68">
        <v>20</v>
      </c>
      <c r="B22" s="18"/>
      <c r="C22" s="19"/>
      <c r="D22" s="19"/>
      <c r="E22" s="19"/>
      <c r="F22" s="19"/>
      <c r="G22" s="19"/>
      <c r="H22" s="69" t="str">
        <f>IF(C22="XXL (&gt;160h)",168,IF(C22="XL (&gt;40h)",48,IF(C22="L (20-40h)",30,IF(C22="M (10-20h)",15,IF(C22="S (&lt;10h)",5,"")))))</f>
        <v/>
      </c>
      <c r="I22" s="18"/>
      <c r="J22" s="67" t="str">
        <f>IF($E22="Q12027",COUNTIF($E$3:$E22,"Q12027"),"")</f>
        <v/>
      </c>
      <c r="K22" s="67" t="str">
        <f>IF($E22="Q22027",COUNTIF($E$3:$E22,"Q22027"),"")</f>
        <v/>
      </c>
      <c r="L22" s="67" t="str">
        <f>IF($E22="Q32027",COUNTIF($E$3:$E22,"Q32027"),"")</f>
        <v/>
      </c>
      <c r="M22" s="67" t="str">
        <f>IF($E22="Q42027",COUNTIF($E$3:$E22,"Q42027"),"")</f>
        <v/>
      </c>
      <c r="N22" s="67" t="str">
        <f>IF($E22="Backlog",COUNTIF($E$3:$E22,"Backlog"),"")</f>
        <v/>
      </c>
    </row>
    <row r="23" spans="1:14" ht="19.5" customHeight="1">
      <c r="A23" s="65">
        <v>21</v>
      </c>
      <c r="B23" s="16"/>
      <c r="C23" s="17"/>
      <c r="D23" s="17"/>
      <c r="E23" s="17"/>
      <c r="F23" s="17"/>
      <c r="G23" s="17"/>
      <c r="H23" s="66" t="str">
        <f>IF(C23="XXL (&gt;160h)",168,IF(C23="XL (&gt;40h)",48,IF(C23="L (20-40h)",30,IF(C23="M (10-20h)",15,IF(C23="S (&lt;10h)",5,"")))))</f>
        <v/>
      </c>
      <c r="I23" s="16"/>
      <c r="J23" s="67" t="str">
        <f>IF($E23="Q12027",COUNTIF($E$3:$E23,"Q12027"),"")</f>
        <v/>
      </c>
      <c r="K23" s="67" t="str">
        <f>IF($E23="Q22027",COUNTIF($E$3:$E23,"Q22027"),"")</f>
        <v/>
      </c>
      <c r="L23" s="67" t="str">
        <f>IF($E23="Q32027",COUNTIF($E$3:$E23,"Q32027"),"")</f>
        <v/>
      </c>
      <c r="M23" s="67" t="str">
        <f>IF($E23="Q42027",COUNTIF($E$3:$E23,"Q42027"),"")</f>
        <v/>
      </c>
      <c r="N23" s="67" t="str">
        <f>IF($E23="Backlog",COUNTIF($E$3:$E23,"Backlog"),"")</f>
        <v/>
      </c>
    </row>
    <row r="24" spans="1:14" ht="19.5" customHeight="1">
      <c r="A24" s="68">
        <v>22</v>
      </c>
      <c r="B24" s="18"/>
      <c r="C24" s="19"/>
      <c r="D24" s="19"/>
      <c r="E24" s="19"/>
      <c r="F24" s="19"/>
      <c r="G24" s="19"/>
      <c r="H24" s="69" t="str">
        <f>IF(C24="XXL (&gt;160h)",168,IF(C24="XL (&gt;40h)",48,IF(C24="L (20-40h)",30,IF(C24="M (10-20h)",15,IF(C24="S (&lt;10h)",5,"")))))</f>
        <v/>
      </c>
      <c r="I24" s="18"/>
      <c r="J24" s="67" t="str">
        <f>IF($E24="Q12027",COUNTIF($E$3:$E24,"Q12027"),"")</f>
        <v/>
      </c>
      <c r="K24" s="67" t="str">
        <f>IF($E24="Q22027",COUNTIF($E$3:$E24,"Q22027"),"")</f>
        <v/>
      </c>
      <c r="L24" s="67" t="str">
        <f>IF($E24="Q32027",COUNTIF($E$3:$E24,"Q32027"),"")</f>
        <v/>
      </c>
      <c r="M24" s="67" t="str">
        <f>IF($E24="Q42027",COUNTIF($E$3:$E24,"Q42027"),"")</f>
        <v/>
      </c>
      <c r="N24" s="67" t="str">
        <f>IF($E24="Backlog",COUNTIF($E$3:$E24,"Backlog"),"")</f>
        <v/>
      </c>
    </row>
    <row r="25" spans="1:14" ht="19.5" customHeight="1">
      <c r="A25" s="65">
        <v>23</v>
      </c>
      <c r="B25" s="16"/>
      <c r="C25" s="17"/>
      <c r="D25" s="17"/>
      <c r="E25" s="17"/>
      <c r="F25" s="17"/>
      <c r="G25" s="17"/>
      <c r="H25" s="66" t="str">
        <f>IF(C25="XXL (&gt;160h)",168,IF(C25="XL (&gt;40h)",48,IF(C25="L (20-40h)",30,IF(C25="M (10-20h)",15,IF(C25="S (&lt;10h)",5,"")))))</f>
        <v/>
      </c>
      <c r="I25" s="16"/>
      <c r="J25" s="67" t="str">
        <f>IF($E25="Q12027",COUNTIF($E$3:$E25,"Q12027"),"")</f>
        <v/>
      </c>
      <c r="K25" s="67" t="str">
        <f>IF($E25="Q22027",COUNTIF($E$3:$E25,"Q22027"),"")</f>
        <v/>
      </c>
      <c r="L25" s="67" t="str">
        <f>IF($E25="Q32027",COUNTIF($E$3:$E25,"Q32027"),"")</f>
        <v/>
      </c>
      <c r="M25" s="67" t="str">
        <f>IF($E25="Q42027",COUNTIF($E$3:$E25,"Q42027"),"")</f>
        <v/>
      </c>
      <c r="N25" s="67" t="str">
        <f>IF($E25="Backlog",COUNTIF($E$3:$E25,"Backlog"),"")</f>
        <v/>
      </c>
    </row>
    <row r="26" spans="1:14" ht="19.5" customHeight="1">
      <c r="A26" s="68">
        <v>24</v>
      </c>
      <c r="B26" s="18"/>
      <c r="C26" s="19"/>
      <c r="D26" s="19"/>
      <c r="E26" s="19"/>
      <c r="F26" s="19"/>
      <c r="G26" s="19"/>
      <c r="H26" s="69" t="str">
        <f>IF(C26="XXL (&gt;160h)",168,IF(C26="XL (&gt;40h)",48,IF(C26="L (20-40h)",30,IF(C26="M (10-20h)",15,IF(C26="S (&lt;10h)",5,"")))))</f>
        <v/>
      </c>
      <c r="I26" s="18"/>
      <c r="J26" s="67" t="str">
        <f>IF($E26="Q12027",COUNTIF($E$3:$E26,"Q12027"),"")</f>
        <v/>
      </c>
      <c r="K26" s="67" t="str">
        <f>IF($E26="Q22027",COUNTIF($E$3:$E26,"Q22027"),"")</f>
        <v/>
      </c>
      <c r="L26" s="67" t="str">
        <f>IF($E26="Q32027",COUNTIF($E$3:$E26,"Q32027"),"")</f>
        <v/>
      </c>
      <c r="M26" s="67" t="str">
        <f>IF($E26="Q42027",COUNTIF($E$3:$E26,"Q42027"),"")</f>
        <v/>
      </c>
      <c r="N26" s="67" t="str">
        <f>IF($E26="Backlog",COUNTIF($E$3:$E26,"Backlog"),"")</f>
        <v/>
      </c>
    </row>
    <row r="27" spans="1:14" ht="19.5" customHeight="1">
      <c r="A27" s="65">
        <v>25</v>
      </c>
      <c r="B27" s="16"/>
      <c r="C27" s="17"/>
      <c r="D27" s="17"/>
      <c r="E27" s="17"/>
      <c r="F27" s="17"/>
      <c r="G27" s="17"/>
      <c r="H27" s="66" t="str">
        <f>IF(C27="XXL (&gt;160h)",168,IF(C27="XL (&gt;40h)",48,IF(C27="L (20-40h)",30,IF(C27="M (10-20h)",15,IF(C27="S (&lt;10h)",5,"")))))</f>
        <v/>
      </c>
      <c r="I27" s="16"/>
      <c r="J27" s="67" t="str">
        <f>IF($E27="Q12027",COUNTIF($E$3:$E27,"Q12027"),"")</f>
        <v/>
      </c>
      <c r="K27" s="67" t="str">
        <f>IF($E27="Q22027",COUNTIF($E$3:$E27,"Q22027"),"")</f>
        <v/>
      </c>
      <c r="L27" s="67" t="str">
        <f>IF($E27="Q32027",COUNTIF($E$3:$E27,"Q32027"),"")</f>
        <v/>
      </c>
      <c r="M27" s="67" t="str">
        <f>IF($E27="Q42027",COUNTIF($E$3:$E27,"Q42027"),"")</f>
        <v/>
      </c>
      <c r="N27" s="67" t="str">
        <f>IF($E27="Backlog",COUNTIF($E$3:$E27,"Backlog"),"")</f>
        <v/>
      </c>
    </row>
    <row r="28" spans="1:14" ht="19.5" customHeight="1">
      <c r="A28" s="68">
        <v>26</v>
      </c>
      <c r="B28" s="18"/>
      <c r="C28" s="19"/>
      <c r="D28" s="19"/>
      <c r="E28" s="19"/>
      <c r="F28" s="19"/>
      <c r="G28" s="19"/>
      <c r="H28" s="69" t="str">
        <f>IF(C28="XXL (&gt;160h)",168,IF(C28="XL (&gt;40h)",48,IF(C28="L (20-40h)",30,IF(C28="M (10-20h)",15,IF(C28="S (&lt;10h)",5,"")))))</f>
        <v/>
      </c>
      <c r="I28" s="18"/>
      <c r="J28" s="67" t="str">
        <f>IF($E28="Q12027",COUNTIF($E$3:$E28,"Q12027"),"")</f>
        <v/>
      </c>
      <c r="K28" s="67" t="str">
        <f>IF($E28="Q22027",COUNTIF($E$3:$E28,"Q22027"),"")</f>
        <v/>
      </c>
      <c r="L28" s="67" t="str">
        <f>IF($E28="Q32027",COUNTIF($E$3:$E28,"Q32027"),"")</f>
        <v/>
      </c>
      <c r="M28" s="67" t="str">
        <f>IF($E28="Q42027",COUNTIF($E$3:$E28,"Q42027"),"")</f>
        <v/>
      </c>
      <c r="N28" s="67" t="str">
        <f>IF($E28="Backlog",COUNTIF($E$3:$E28,"Backlog"),"")</f>
        <v/>
      </c>
    </row>
    <row r="29" spans="1:14" ht="19.5" customHeight="1">
      <c r="A29" s="65">
        <v>27</v>
      </c>
      <c r="B29" s="16"/>
      <c r="C29" s="17"/>
      <c r="D29" s="17"/>
      <c r="E29" s="17"/>
      <c r="F29" s="17"/>
      <c r="G29" s="17"/>
      <c r="H29" s="66" t="str">
        <f>IF(C29="XXL (&gt;160h)",168,IF(C29="XL (&gt;40h)",48,IF(C29="L (20-40h)",30,IF(C29="M (10-20h)",15,IF(C29="S (&lt;10h)",5,"")))))</f>
        <v/>
      </c>
      <c r="I29" s="16"/>
      <c r="J29" s="67" t="str">
        <f>IF($E29="Q12027",COUNTIF($E$3:$E29,"Q12027"),"")</f>
        <v/>
      </c>
      <c r="K29" s="67" t="str">
        <f>IF($E29="Q22027",COUNTIF($E$3:$E29,"Q22027"),"")</f>
        <v/>
      </c>
      <c r="L29" s="67" t="str">
        <f>IF($E29="Q32027",COUNTIF($E$3:$E29,"Q32027"),"")</f>
        <v/>
      </c>
      <c r="M29" s="67" t="str">
        <f>IF($E29="Q42027",COUNTIF($E$3:$E29,"Q42027"),"")</f>
        <v/>
      </c>
      <c r="N29" s="67" t="str">
        <f>IF($E29="Backlog",COUNTIF($E$3:$E29,"Backlog"),"")</f>
        <v/>
      </c>
    </row>
    <row r="30" spans="1:14" ht="19.5" customHeight="1">
      <c r="A30" s="68">
        <v>28</v>
      </c>
      <c r="B30" s="18"/>
      <c r="C30" s="19"/>
      <c r="D30" s="19"/>
      <c r="E30" s="19"/>
      <c r="F30" s="19"/>
      <c r="G30" s="19"/>
      <c r="H30" s="69" t="str">
        <f>IF(C30="XXL (&gt;160h)",168,IF(C30="XL (&gt;40h)",48,IF(C30="L (20-40h)",30,IF(C30="M (10-20h)",15,IF(C30="S (&lt;10h)",5,"")))))</f>
        <v/>
      </c>
      <c r="I30" s="18"/>
      <c r="J30" s="67" t="str">
        <f>IF($E30="Q12027",COUNTIF($E$3:$E30,"Q12027"),"")</f>
        <v/>
      </c>
      <c r="K30" s="67" t="str">
        <f>IF($E30="Q22027",COUNTIF($E$3:$E30,"Q22027"),"")</f>
        <v/>
      </c>
      <c r="L30" s="67" t="str">
        <f>IF($E30="Q32027",COUNTIF($E$3:$E30,"Q32027"),"")</f>
        <v/>
      </c>
      <c r="M30" s="67" t="str">
        <f>IF($E30="Q42027",COUNTIF($E$3:$E30,"Q42027"),"")</f>
        <v/>
      </c>
      <c r="N30" s="67" t="str">
        <f>IF($E30="Backlog",COUNTIF($E$3:$E30,"Backlog"),"")</f>
        <v/>
      </c>
    </row>
    <row r="31" spans="1:14" ht="19.5" customHeight="1">
      <c r="A31" s="65">
        <v>29</v>
      </c>
      <c r="B31" s="16"/>
      <c r="C31" s="17"/>
      <c r="D31" s="17"/>
      <c r="E31" s="17"/>
      <c r="F31" s="17"/>
      <c r="G31" s="17"/>
      <c r="H31" s="66" t="str">
        <f>IF(C31="XXL (&gt;160h)",168,IF(C31="XL (&gt;40h)",48,IF(C31="L (20-40h)",30,IF(C31="M (10-20h)",15,IF(C31="S (&lt;10h)",5,"")))))</f>
        <v/>
      </c>
      <c r="I31" s="16"/>
      <c r="J31" s="67" t="str">
        <f>IF($E31="Q12027",COUNTIF($E$3:$E31,"Q12027"),"")</f>
        <v/>
      </c>
      <c r="K31" s="67" t="str">
        <f>IF($E31="Q22027",COUNTIF($E$3:$E31,"Q22027"),"")</f>
        <v/>
      </c>
      <c r="L31" s="67" t="str">
        <f>IF($E31="Q32027",COUNTIF($E$3:$E31,"Q32027"),"")</f>
        <v/>
      </c>
      <c r="M31" s="67" t="str">
        <f>IF($E31="Q42027",COUNTIF($E$3:$E31,"Q42027"),"")</f>
        <v/>
      </c>
      <c r="N31" s="67" t="str">
        <f>IF($E31="Backlog",COUNTIF($E$3:$E31,"Backlog"),"")</f>
        <v/>
      </c>
    </row>
    <row r="32" spans="1:14" ht="19.5" customHeight="1">
      <c r="A32" s="68">
        <v>30</v>
      </c>
      <c r="B32" s="18"/>
      <c r="C32" s="19"/>
      <c r="D32" s="19"/>
      <c r="E32" s="19"/>
      <c r="F32" s="19"/>
      <c r="G32" s="19"/>
      <c r="H32" s="69" t="str">
        <f>IF(C32="XXL (&gt;160h)",168,IF(C32="XL (&gt;40h)",48,IF(C32="L (20-40h)",30,IF(C32="M (10-20h)",15,IF(C32="S (&lt;10h)",5,"")))))</f>
        <v/>
      </c>
      <c r="I32" s="18"/>
      <c r="J32" s="67" t="str">
        <f>IF($E32="Q12027",COUNTIF($E$3:$E32,"Q12027"),"")</f>
        <v/>
      </c>
      <c r="K32" s="67" t="str">
        <f>IF($E32="Q22027",COUNTIF($E$3:$E32,"Q22027"),"")</f>
        <v/>
      </c>
      <c r="L32" s="67" t="str">
        <f>IF($E32="Q32027",COUNTIF($E$3:$E32,"Q32027"),"")</f>
        <v/>
      </c>
      <c r="M32" s="67" t="str">
        <f>IF($E32="Q42027",COUNTIF($E$3:$E32,"Q42027"),"")</f>
        <v/>
      </c>
      <c r="N32" s="67" t="str">
        <f>IF($E32="Backlog",COUNTIF($E$3:$E32,"Backlog"),"")</f>
        <v/>
      </c>
    </row>
    <row r="33" spans="1:14" ht="19.5" customHeight="1">
      <c r="A33" s="65">
        <v>31</v>
      </c>
      <c r="B33" s="16"/>
      <c r="C33" s="17"/>
      <c r="D33" s="17"/>
      <c r="E33" s="17"/>
      <c r="F33" s="17"/>
      <c r="G33" s="17"/>
      <c r="H33" s="66" t="str">
        <f>IF(C33="XXL (&gt;160h)",168,IF(C33="XL (&gt;40h)",48,IF(C33="L (20-40h)",30,IF(C33="M (10-20h)",15,IF(C33="S (&lt;10h)",5,"")))))</f>
        <v/>
      </c>
      <c r="I33" s="16"/>
      <c r="J33" s="67" t="str">
        <f>IF($E33="Q12027",COUNTIF($E$3:$E33,"Q12027"),"")</f>
        <v/>
      </c>
      <c r="K33" s="67" t="str">
        <f>IF($E33="Q22027",COUNTIF($E$3:$E33,"Q22027"),"")</f>
        <v/>
      </c>
      <c r="L33" s="67" t="str">
        <f>IF($E33="Q32027",COUNTIF($E$3:$E33,"Q32027"),"")</f>
        <v/>
      </c>
      <c r="M33" s="67" t="str">
        <f>IF($E33="Q42027",COUNTIF($E$3:$E33,"Q42027"),"")</f>
        <v/>
      </c>
      <c r="N33" s="67" t="str">
        <f>IF($E33="Backlog",COUNTIF($E$3:$E33,"Backlog"),"")</f>
        <v/>
      </c>
    </row>
    <row r="34" spans="1:14" ht="19.5" customHeight="1">
      <c r="A34" s="68">
        <v>32</v>
      </c>
      <c r="B34" s="18"/>
      <c r="C34" s="19"/>
      <c r="D34" s="19"/>
      <c r="E34" s="19"/>
      <c r="F34" s="19"/>
      <c r="G34" s="19"/>
      <c r="H34" s="69" t="str">
        <f>IF(C34="XXL (&gt;160h)",168,IF(C34="XL (&gt;40h)",48,IF(C34="L (20-40h)",30,IF(C34="M (10-20h)",15,IF(C34="S (&lt;10h)",5,"")))))</f>
        <v/>
      </c>
      <c r="I34" s="18"/>
      <c r="J34" s="67" t="str">
        <f>IF($E34="Q12027",COUNTIF($E$3:$E34,"Q12027"),"")</f>
        <v/>
      </c>
      <c r="K34" s="67" t="str">
        <f>IF($E34="Q22027",COUNTIF($E$3:$E34,"Q22027"),"")</f>
        <v/>
      </c>
      <c r="L34" s="67" t="str">
        <f>IF($E34="Q32027",COUNTIF($E$3:$E34,"Q32027"),"")</f>
        <v/>
      </c>
      <c r="M34" s="67" t="str">
        <f>IF($E34="Q42027",COUNTIF($E$3:$E34,"Q42027"),"")</f>
        <v/>
      </c>
      <c r="N34" s="67" t="str">
        <f>IF($E34="Backlog",COUNTIF($E$3:$E34,"Backlog"),"")</f>
        <v/>
      </c>
    </row>
    <row r="35" spans="1:14" ht="19.5" customHeight="1">
      <c r="A35" s="65">
        <v>33</v>
      </c>
      <c r="B35" s="16"/>
      <c r="C35" s="17"/>
      <c r="D35" s="17"/>
      <c r="E35" s="17"/>
      <c r="F35" s="17"/>
      <c r="G35" s="17"/>
      <c r="H35" s="66" t="str">
        <f>IF(C35="XXL (&gt;160h)",168,IF(C35="XL (&gt;40h)",48,IF(C35="L (20-40h)",30,IF(C35="M (10-20h)",15,IF(C35="S (&lt;10h)",5,"")))))</f>
        <v/>
      </c>
      <c r="I35" s="16"/>
      <c r="J35" s="67" t="str">
        <f>IF($E35="Q12027",COUNTIF($E$3:$E35,"Q12027"),"")</f>
        <v/>
      </c>
      <c r="K35" s="67" t="str">
        <f>IF($E35="Q22027",COUNTIF($E$3:$E35,"Q22027"),"")</f>
        <v/>
      </c>
      <c r="L35" s="67" t="str">
        <f>IF($E35="Q32027",COUNTIF($E$3:$E35,"Q32027"),"")</f>
        <v/>
      </c>
      <c r="M35" s="67" t="str">
        <f>IF($E35="Q42027",COUNTIF($E$3:$E35,"Q42027"),"")</f>
        <v/>
      </c>
      <c r="N35" s="67" t="str">
        <f>IF($E35="Backlog",COUNTIF($E$3:$E35,"Backlog"),"")</f>
        <v/>
      </c>
    </row>
    <row r="36" spans="1:14" ht="19.5" customHeight="1">
      <c r="A36" s="68">
        <v>34</v>
      </c>
      <c r="B36" s="18"/>
      <c r="C36" s="19"/>
      <c r="D36" s="19"/>
      <c r="E36" s="19"/>
      <c r="F36" s="19"/>
      <c r="G36" s="19"/>
      <c r="H36" s="69" t="str">
        <f>IF(C36="XXL (&gt;160h)",168,IF(C36="XL (&gt;40h)",48,IF(C36="L (20-40h)",30,IF(C36="M (10-20h)",15,IF(C36="S (&lt;10h)",5,"")))))</f>
        <v/>
      </c>
      <c r="I36" s="18"/>
      <c r="J36" s="67" t="str">
        <f>IF($E36="Q12027",COUNTIF($E$3:$E36,"Q12027"),"")</f>
        <v/>
      </c>
      <c r="K36" s="67" t="str">
        <f>IF($E36="Q22027",COUNTIF($E$3:$E36,"Q22027"),"")</f>
        <v/>
      </c>
      <c r="L36" s="67" t="str">
        <f>IF($E36="Q32027",COUNTIF($E$3:$E36,"Q32027"),"")</f>
        <v/>
      </c>
      <c r="M36" s="67" t="str">
        <f>IF($E36="Q42027",COUNTIF($E$3:$E36,"Q42027"),"")</f>
        <v/>
      </c>
      <c r="N36" s="67" t="str">
        <f>IF($E36="Backlog",COUNTIF($E$3:$E36,"Backlog"),"")</f>
        <v/>
      </c>
    </row>
    <row r="37" spans="1:14" ht="19.5" customHeight="1">
      <c r="A37" s="65">
        <v>35</v>
      </c>
      <c r="B37" s="16"/>
      <c r="C37" s="17"/>
      <c r="D37" s="17"/>
      <c r="E37" s="17"/>
      <c r="F37" s="17"/>
      <c r="G37" s="17"/>
      <c r="H37" s="66" t="str">
        <f>IF(C37="XXL (&gt;160h)",168,IF(C37="XL (&gt;40h)",48,IF(C37="L (20-40h)",30,IF(C37="M (10-20h)",15,IF(C37="S (&lt;10h)",5,"")))))</f>
        <v/>
      </c>
      <c r="I37" s="16"/>
      <c r="J37" s="67" t="str">
        <f>IF($E37="Q12027",COUNTIF($E$3:$E37,"Q12027"),"")</f>
        <v/>
      </c>
      <c r="K37" s="67" t="str">
        <f>IF($E37="Q22027",COUNTIF($E$3:$E37,"Q22027"),"")</f>
        <v/>
      </c>
      <c r="L37" s="67" t="str">
        <f>IF($E37="Q32027",COUNTIF($E$3:$E37,"Q32027"),"")</f>
        <v/>
      </c>
      <c r="M37" s="67" t="str">
        <f>IF($E37="Q42027",COUNTIF($E$3:$E37,"Q42027"),"")</f>
        <v/>
      </c>
      <c r="N37" s="67" t="str">
        <f>IF($E37="Backlog",COUNTIF($E$3:$E37,"Backlog"),"")</f>
        <v/>
      </c>
    </row>
    <row r="38" spans="1:14" ht="19.5" customHeight="1">
      <c r="A38" s="68">
        <v>36</v>
      </c>
      <c r="B38" s="18"/>
      <c r="C38" s="19"/>
      <c r="D38" s="19"/>
      <c r="E38" s="19"/>
      <c r="F38" s="19"/>
      <c r="G38" s="19"/>
      <c r="H38" s="69" t="str">
        <f>IF(C38="XXL (&gt;160h)",168,IF(C38="XL (&gt;40h)",48,IF(C38="L (20-40h)",30,IF(C38="M (10-20h)",15,IF(C38="S (&lt;10h)",5,"")))))</f>
        <v/>
      </c>
      <c r="I38" s="18"/>
      <c r="J38" s="67" t="str">
        <f>IF($E38="Q12027",COUNTIF($E$3:$E38,"Q12027"),"")</f>
        <v/>
      </c>
      <c r="K38" s="67" t="str">
        <f>IF($E38="Q22027",COUNTIF($E$3:$E38,"Q22027"),"")</f>
        <v/>
      </c>
      <c r="L38" s="67" t="str">
        <f>IF($E38="Q32027",COUNTIF($E$3:$E38,"Q32027"),"")</f>
        <v/>
      </c>
      <c r="M38" s="67" t="str">
        <f>IF($E38="Q42027",COUNTIF($E$3:$E38,"Q42027"),"")</f>
        <v/>
      </c>
      <c r="N38" s="67" t="str">
        <f>IF($E38="Backlog",COUNTIF($E$3:$E38,"Backlog"),"")</f>
        <v/>
      </c>
    </row>
    <row r="39" spans="1:14" ht="19.5" customHeight="1">
      <c r="A39" s="65">
        <v>37</v>
      </c>
      <c r="B39" s="16"/>
      <c r="C39" s="17"/>
      <c r="D39" s="17"/>
      <c r="E39" s="17"/>
      <c r="F39" s="17"/>
      <c r="G39" s="17"/>
      <c r="H39" s="66" t="str">
        <f>IF(C39="XXL (&gt;160h)",168,IF(C39="XL (&gt;40h)",48,IF(C39="L (20-40h)",30,IF(C39="M (10-20h)",15,IF(C39="S (&lt;10h)",5,"")))))</f>
        <v/>
      </c>
      <c r="I39" s="16"/>
      <c r="J39" s="67" t="str">
        <f>IF($E39="Q12027",COUNTIF($E$3:$E39,"Q12027"),"")</f>
        <v/>
      </c>
      <c r="K39" s="67" t="str">
        <f>IF($E39="Q22027",COUNTIF($E$3:$E39,"Q22027"),"")</f>
        <v/>
      </c>
      <c r="L39" s="67" t="str">
        <f>IF($E39="Q32027",COUNTIF($E$3:$E39,"Q32027"),"")</f>
        <v/>
      </c>
      <c r="M39" s="67" t="str">
        <f>IF($E39="Q42027",COUNTIF($E$3:$E39,"Q42027"),"")</f>
        <v/>
      </c>
      <c r="N39" s="67" t="str">
        <f>IF($E39="Backlog",COUNTIF($E$3:$E39,"Backlog"),"")</f>
        <v/>
      </c>
    </row>
    <row r="40" spans="1:14" ht="19.5" customHeight="1">
      <c r="A40" s="68">
        <v>38</v>
      </c>
      <c r="B40" s="18"/>
      <c r="C40" s="19"/>
      <c r="D40" s="19"/>
      <c r="E40" s="19"/>
      <c r="F40" s="19"/>
      <c r="G40" s="19"/>
      <c r="H40" s="69" t="str">
        <f>IF(C40="XXL (&gt;160h)",168,IF(C40="XL (&gt;40h)",48,IF(C40="L (20-40h)",30,IF(C40="M (10-20h)",15,IF(C40="S (&lt;10h)",5,"")))))</f>
        <v/>
      </c>
      <c r="I40" s="18"/>
      <c r="J40" s="67" t="str">
        <f>IF($E40="Q12027",COUNTIF($E$3:$E40,"Q12027"),"")</f>
        <v/>
      </c>
      <c r="K40" s="67" t="str">
        <f>IF($E40="Q22027",COUNTIF($E$3:$E40,"Q22027"),"")</f>
        <v/>
      </c>
      <c r="L40" s="67" t="str">
        <f>IF($E40="Q32027",COUNTIF($E$3:$E40,"Q32027"),"")</f>
        <v/>
      </c>
      <c r="M40" s="67" t="str">
        <f>IF($E40="Q42027",COUNTIF($E$3:$E40,"Q42027"),"")</f>
        <v/>
      </c>
      <c r="N40" s="67" t="str">
        <f>IF($E40="Backlog",COUNTIF($E$3:$E40,"Backlog"),"")</f>
        <v/>
      </c>
    </row>
    <row r="41" spans="1:14" ht="19.5" customHeight="1">
      <c r="A41" s="65">
        <v>39</v>
      </c>
      <c r="B41" s="16"/>
      <c r="C41" s="17"/>
      <c r="D41" s="17"/>
      <c r="E41" s="17"/>
      <c r="F41" s="17"/>
      <c r="G41" s="17"/>
      <c r="H41" s="66" t="str">
        <f>IF(C41="XXL (&gt;160h)",168,IF(C41="XL (&gt;40h)",48,IF(C41="L (20-40h)",30,IF(C41="M (10-20h)",15,IF(C41="S (&lt;10h)",5,"")))))</f>
        <v/>
      </c>
      <c r="I41" s="16"/>
      <c r="J41" s="67" t="str">
        <f>IF($E41="Q12027",COUNTIF($E$3:$E41,"Q12027"),"")</f>
        <v/>
      </c>
      <c r="K41" s="67" t="str">
        <f>IF($E41="Q22027",COUNTIF($E$3:$E41,"Q22027"),"")</f>
        <v/>
      </c>
      <c r="L41" s="67" t="str">
        <f>IF($E41="Q32027",COUNTIF($E$3:$E41,"Q32027"),"")</f>
        <v/>
      </c>
      <c r="M41" s="67" t="str">
        <f>IF($E41="Q42027",COUNTIF($E$3:$E41,"Q42027"),"")</f>
        <v/>
      </c>
      <c r="N41" s="67" t="str">
        <f>IF($E41="Backlog",COUNTIF($E$3:$E41,"Backlog"),"")</f>
        <v/>
      </c>
    </row>
    <row r="42" spans="1:14" ht="19.5" customHeight="1">
      <c r="A42" s="68">
        <v>40</v>
      </c>
      <c r="B42" s="18"/>
      <c r="C42" s="19"/>
      <c r="D42" s="19"/>
      <c r="E42" s="19"/>
      <c r="F42" s="19"/>
      <c r="G42" s="19"/>
      <c r="H42" s="69" t="str">
        <f>IF(C42="XXL (&gt;160h)",168,IF(C42="XL (&gt;40h)",48,IF(C42="L (20-40h)",30,IF(C42="M (10-20h)",15,IF(C42="S (&lt;10h)",5,"")))))</f>
        <v/>
      </c>
      <c r="I42" s="18"/>
      <c r="J42" s="67" t="str">
        <f>IF($E42="Q12027",COUNTIF($E$3:$E42,"Q12027"),"")</f>
        <v/>
      </c>
      <c r="K42" s="67" t="str">
        <f>IF($E42="Q22027",COUNTIF($E$3:$E42,"Q22027"),"")</f>
        <v/>
      </c>
      <c r="L42" s="67" t="str">
        <f>IF($E42="Q32027",COUNTIF($E$3:$E42,"Q32027"),"")</f>
        <v/>
      </c>
      <c r="M42" s="67" t="str">
        <f>IF($E42="Q42027",COUNTIF($E$3:$E42,"Q42027"),"")</f>
        <v/>
      </c>
      <c r="N42" s="67" t="str">
        <f>IF($E42="Backlog",COUNTIF($E$3:$E42,"Backlog"),"")</f>
        <v/>
      </c>
    </row>
    <row r="43" spans="1:14" ht="19.5" customHeight="1">
      <c r="A43" s="65">
        <v>41</v>
      </c>
      <c r="B43" s="16"/>
      <c r="C43" s="17"/>
      <c r="D43" s="17"/>
      <c r="E43" s="17"/>
      <c r="F43" s="17"/>
      <c r="G43" s="17"/>
      <c r="H43" s="66" t="str">
        <f>IF(C43="XXL (&gt;160h)",168,IF(C43="XL (&gt;40h)",48,IF(C43="L (20-40h)",30,IF(C43="M (10-20h)",15,IF(C43="S (&lt;10h)",5,"")))))</f>
        <v/>
      </c>
      <c r="I43" s="16"/>
      <c r="J43" s="67" t="str">
        <f>IF($E43="Q12027",COUNTIF($E$3:$E43,"Q12027"),"")</f>
        <v/>
      </c>
      <c r="K43" s="67" t="str">
        <f>IF($E43="Q22027",COUNTIF($E$3:$E43,"Q22027"),"")</f>
        <v/>
      </c>
      <c r="L43" s="67" t="str">
        <f>IF($E43="Q32027",COUNTIF($E$3:$E43,"Q32027"),"")</f>
        <v/>
      </c>
      <c r="M43" s="67" t="str">
        <f>IF($E43="Q42027",COUNTIF($E$3:$E43,"Q42027"),"")</f>
        <v/>
      </c>
      <c r="N43" s="67" t="str">
        <f>IF($E43="Backlog",COUNTIF($E$3:$E43,"Backlog"),"")</f>
        <v/>
      </c>
    </row>
    <row r="44" spans="1:14" ht="19.5" customHeight="1">
      <c r="A44" s="68">
        <v>42</v>
      </c>
      <c r="B44" s="18"/>
      <c r="C44" s="19"/>
      <c r="D44" s="19"/>
      <c r="E44" s="19"/>
      <c r="F44" s="19"/>
      <c r="G44" s="19"/>
      <c r="H44" s="69" t="str">
        <f>IF(C44="XXL (&gt;160h)",168,IF(C44="XL (&gt;40h)",48,IF(C44="L (20-40h)",30,IF(C44="M (10-20h)",15,IF(C44="S (&lt;10h)",5,"")))))</f>
        <v/>
      </c>
      <c r="I44" s="18"/>
      <c r="J44" s="67" t="str">
        <f>IF($E44="Q12027",COUNTIF($E$3:$E44,"Q12027"),"")</f>
        <v/>
      </c>
      <c r="K44" s="67" t="str">
        <f>IF($E44="Q22027",COUNTIF($E$3:$E44,"Q22027"),"")</f>
        <v/>
      </c>
      <c r="L44" s="67" t="str">
        <f>IF($E44="Q32027",COUNTIF($E$3:$E44,"Q32027"),"")</f>
        <v/>
      </c>
      <c r="M44" s="67" t="str">
        <f>IF($E44="Q42027",COUNTIF($E$3:$E44,"Q42027"),"")</f>
        <v/>
      </c>
      <c r="N44" s="67" t="str">
        <f>IF($E44="Backlog",COUNTIF($E$3:$E44,"Backlog"),"")</f>
        <v/>
      </c>
    </row>
    <row r="45" spans="1:14" ht="19.5" customHeight="1">
      <c r="A45" s="65">
        <v>43</v>
      </c>
      <c r="B45" s="16"/>
      <c r="C45" s="17"/>
      <c r="D45" s="17"/>
      <c r="E45" s="17"/>
      <c r="F45" s="17"/>
      <c r="G45" s="17"/>
      <c r="H45" s="66" t="str">
        <f>IF(C45="XXL (&gt;160h)",168,IF(C45="XL (&gt;40h)",48,IF(C45="L (20-40h)",30,IF(C45="M (10-20h)",15,IF(C45="S (&lt;10h)",5,"")))))</f>
        <v/>
      </c>
      <c r="I45" s="16"/>
      <c r="J45" s="67" t="str">
        <f>IF($E45="Q12027",COUNTIF($E$3:$E45,"Q12027"),"")</f>
        <v/>
      </c>
      <c r="K45" s="67" t="str">
        <f>IF($E45="Q22027",COUNTIF($E$3:$E45,"Q22027"),"")</f>
        <v/>
      </c>
      <c r="L45" s="67" t="str">
        <f>IF($E45="Q32027",COUNTIF($E$3:$E45,"Q32027"),"")</f>
        <v/>
      </c>
      <c r="M45" s="67" t="str">
        <f>IF($E45="Q42027",COUNTIF($E$3:$E45,"Q42027"),"")</f>
        <v/>
      </c>
      <c r="N45" s="67" t="str">
        <f>IF($E45="Backlog",COUNTIF($E$3:$E45,"Backlog"),"")</f>
        <v/>
      </c>
    </row>
    <row r="46" spans="1:14" ht="19.5" customHeight="1">
      <c r="A46" s="68">
        <v>44</v>
      </c>
      <c r="B46" s="18"/>
      <c r="C46" s="19"/>
      <c r="D46" s="19"/>
      <c r="E46" s="19"/>
      <c r="F46" s="19"/>
      <c r="G46" s="19"/>
      <c r="H46" s="69" t="str">
        <f>IF(C46="XXL (&gt;160h)",168,IF(C46="XL (&gt;40h)",48,IF(C46="L (20-40h)",30,IF(C46="M (10-20h)",15,IF(C46="S (&lt;10h)",5,"")))))</f>
        <v/>
      </c>
      <c r="I46" s="18"/>
      <c r="J46" s="67" t="str">
        <f>IF($E46="Q12027",COUNTIF($E$3:$E46,"Q12027"),"")</f>
        <v/>
      </c>
      <c r="K46" s="67" t="str">
        <f>IF($E46="Q22027",COUNTIF($E$3:$E46,"Q22027"),"")</f>
        <v/>
      </c>
      <c r="L46" s="67" t="str">
        <f>IF($E46="Q32027",COUNTIF($E$3:$E46,"Q32027"),"")</f>
        <v/>
      </c>
      <c r="M46" s="67" t="str">
        <f>IF($E46="Q42027",COUNTIF($E$3:$E46,"Q42027"),"")</f>
        <v/>
      </c>
      <c r="N46" s="67" t="str">
        <f>IF($E46="Backlog",COUNTIF($E$3:$E46,"Backlog"),"")</f>
        <v/>
      </c>
    </row>
    <row r="47" spans="1:14" ht="19.5" customHeight="1">
      <c r="A47" s="65">
        <v>45</v>
      </c>
      <c r="B47" s="16"/>
      <c r="C47" s="17"/>
      <c r="D47" s="17"/>
      <c r="E47" s="17"/>
      <c r="F47" s="17"/>
      <c r="G47" s="17"/>
      <c r="H47" s="66" t="str">
        <f>IF(C47="XXL (&gt;160h)",168,IF(C47="XL (&gt;40h)",48,IF(C47="L (20-40h)",30,IF(C47="M (10-20h)",15,IF(C47="S (&lt;10h)",5,"")))))</f>
        <v/>
      </c>
      <c r="I47" s="16"/>
      <c r="J47" s="67" t="str">
        <f>IF($E47="Q12027",COUNTIF($E$3:$E47,"Q12027"),"")</f>
        <v/>
      </c>
      <c r="K47" s="67" t="str">
        <f>IF($E47="Q22027",COUNTIF($E$3:$E47,"Q22027"),"")</f>
        <v/>
      </c>
      <c r="L47" s="67" t="str">
        <f>IF($E47="Q32027",COUNTIF($E$3:$E47,"Q32027"),"")</f>
        <v/>
      </c>
      <c r="M47" s="67" t="str">
        <f>IF($E47="Q42027",COUNTIF($E$3:$E47,"Q42027"),"")</f>
        <v/>
      </c>
      <c r="N47" s="67" t="str">
        <f>IF($E47="Backlog",COUNTIF($E$3:$E47,"Backlog"),"")</f>
        <v/>
      </c>
    </row>
    <row r="48" spans="1:14" ht="19.5" customHeight="1">
      <c r="A48" s="68">
        <v>46</v>
      </c>
      <c r="B48" s="18"/>
      <c r="C48" s="19"/>
      <c r="D48" s="19"/>
      <c r="E48" s="19"/>
      <c r="F48" s="19"/>
      <c r="G48" s="19"/>
      <c r="H48" s="69" t="str">
        <f>IF(C48="XXL (&gt;160h)",168,IF(C48="XL (&gt;40h)",48,IF(C48="L (20-40h)",30,IF(C48="M (10-20h)",15,IF(C48="S (&lt;10h)",5,"")))))</f>
        <v/>
      </c>
      <c r="I48" s="18"/>
      <c r="J48" s="67" t="str">
        <f>IF($E48="Q12027",COUNTIF($E$3:$E48,"Q12027"),"")</f>
        <v/>
      </c>
      <c r="K48" s="67" t="str">
        <f>IF($E48="Q22027",COUNTIF($E$3:$E48,"Q22027"),"")</f>
        <v/>
      </c>
      <c r="L48" s="67" t="str">
        <f>IF($E48="Q32027",COUNTIF($E$3:$E48,"Q32027"),"")</f>
        <v/>
      </c>
      <c r="M48" s="67" t="str">
        <f>IF($E48="Q42027",COUNTIF($E$3:$E48,"Q42027"),"")</f>
        <v/>
      </c>
      <c r="N48" s="67" t="str">
        <f>IF($E48="Backlog",COUNTIF($E$3:$E48,"Backlog"),"")</f>
        <v/>
      </c>
    </row>
    <row r="49" spans="1:14" ht="19.5" customHeight="1">
      <c r="A49" s="65">
        <v>47</v>
      </c>
      <c r="B49" s="16"/>
      <c r="C49" s="17"/>
      <c r="D49" s="17"/>
      <c r="E49" s="17"/>
      <c r="F49" s="17"/>
      <c r="G49" s="17"/>
      <c r="H49" s="66" t="str">
        <f>IF(C49="XXL (&gt;160h)",168,IF(C49="XL (&gt;40h)",48,IF(C49="L (20-40h)",30,IF(C49="M (10-20h)",15,IF(C49="S (&lt;10h)",5,"")))))</f>
        <v/>
      </c>
      <c r="I49" s="16"/>
      <c r="J49" s="67" t="str">
        <f>IF($E49="Q12027",COUNTIF($E$3:$E49,"Q12027"),"")</f>
        <v/>
      </c>
      <c r="K49" s="67" t="str">
        <f>IF($E49="Q22027",COUNTIF($E$3:$E49,"Q22027"),"")</f>
        <v/>
      </c>
      <c r="L49" s="67" t="str">
        <f>IF($E49="Q32027",COUNTIF($E$3:$E49,"Q32027"),"")</f>
        <v/>
      </c>
      <c r="M49" s="67" t="str">
        <f>IF($E49="Q42027",COUNTIF($E$3:$E49,"Q42027"),"")</f>
        <v/>
      </c>
      <c r="N49" s="67" t="str">
        <f>IF($E49="Backlog",COUNTIF($E$3:$E49,"Backlog"),"")</f>
        <v/>
      </c>
    </row>
    <row r="50" spans="1:14" ht="19.5" customHeight="1">
      <c r="A50" s="68">
        <v>48</v>
      </c>
      <c r="B50" s="18"/>
      <c r="C50" s="19"/>
      <c r="D50" s="19"/>
      <c r="E50" s="19"/>
      <c r="F50" s="19"/>
      <c r="G50" s="19"/>
      <c r="H50" s="69" t="str">
        <f>IF(C50="XXL (&gt;160h)",168,IF(C50="XL (&gt;40h)",48,IF(C50="L (20-40h)",30,IF(C50="M (10-20h)",15,IF(C50="S (&lt;10h)",5,"")))))</f>
        <v/>
      </c>
      <c r="I50" s="18"/>
      <c r="J50" s="67" t="str">
        <f>IF($E50="Q12027",COUNTIF($E$3:$E50,"Q12027"),"")</f>
        <v/>
      </c>
      <c r="K50" s="67" t="str">
        <f>IF($E50="Q22027",COUNTIF($E$3:$E50,"Q22027"),"")</f>
        <v/>
      </c>
      <c r="L50" s="67" t="str">
        <f>IF($E50="Q32027",COUNTIF($E$3:$E50,"Q32027"),"")</f>
        <v/>
      </c>
      <c r="M50" s="67" t="str">
        <f>IF($E50="Q42027",COUNTIF($E$3:$E50,"Q42027"),"")</f>
        <v/>
      </c>
      <c r="N50" s="67" t="str">
        <f>IF($E50="Backlog",COUNTIF($E$3:$E50,"Backlog"),"")</f>
        <v/>
      </c>
    </row>
    <row r="51" spans="1:14" ht="19.5" customHeight="1">
      <c r="A51" s="65">
        <v>49</v>
      </c>
      <c r="B51" s="16"/>
      <c r="C51" s="17"/>
      <c r="D51" s="17"/>
      <c r="E51" s="17"/>
      <c r="F51" s="17"/>
      <c r="G51" s="17"/>
      <c r="H51" s="66" t="str">
        <f>IF(C51="XXL (&gt;160h)",168,IF(C51="XL (&gt;40h)",48,IF(C51="L (20-40h)",30,IF(C51="M (10-20h)",15,IF(C51="S (&lt;10h)",5,"")))))</f>
        <v/>
      </c>
      <c r="I51" s="16"/>
      <c r="J51" s="67" t="str">
        <f>IF($E51="Q12027",COUNTIF($E$3:$E51,"Q12027"),"")</f>
        <v/>
      </c>
      <c r="K51" s="67" t="str">
        <f>IF($E51="Q22027",COUNTIF($E$3:$E51,"Q22027"),"")</f>
        <v/>
      </c>
      <c r="L51" s="67" t="str">
        <f>IF($E51="Q32027",COUNTIF($E$3:$E51,"Q32027"),"")</f>
        <v/>
      </c>
      <c r="M51" s="67" t="str">
        <f>IF($E51="Q42027",COUNTIF($E$3:$E51,"Q42027"),"")</f>
        <v/>
      </c>
      <c r="N51" s="67" t="str">
        <f>IF($E51="Backlog",COUNTIF($E$3:$E51,"Backlog"),"")</f>
        <v/>
      </c>
    </row>
    <row r="52" spans="1:14" ht="19.5" customHeight="1">
      <c r="A52" s="68">
        <v>50</v>
      </c>
      <c r="B52" s="18"/>
      <c r="C52" s="19"/>
      <c r="D52" s="19"/>
      <c r="E52" s="19"/>
      <c r="F52" s="19"/>
      <c r="G52" s="19"/>
      <c r="H52" s="69" t="str">
        <f>IF(C52="XXL (&gt;160h)",168,IF(C52="XL (&gt;40h)",48,IF(C52="L (20-40h)",30,IF(C52="M (10-20h)",15,IF(C52="S (&lt;10h)",5,"")))))</f>
        <v/>
      </c>
      <c r="I52" s="18"/>
      <c r="J52" s="67" t="str">
        <f>IF($E52="Q12027",COUNTIF($E$3:$E52,"Q12027"),"")</f>
        <v/>
      </c>
      <c r="K52" s="67" t="str">
        <f>IF($E52="Q22027",COUNTIF($E$3:$E52,"Q22027"),"")</f>
        <v/>
      </c>
      <c r="L52" s="67" t="str">
        <f>IF($E52="Q32027",COUNTIF($E$3:$E52,"Q32027"),"")</f>
        <v/>
      </c>
      <c r="M52" s="67" t="str">
        <f>IF($E52="Q42027",COUNTIF($E$3:$E52,"Q42027"),"")</f>
        <v/>
      </c>
      <c r="N52" s="67" t="str">
        <f>IF($E52="Backlog",COUNTIF($E$3:$E52,"Backlog"),"")</f>
        <v/>
      </c>
    </row>
    <row r="53" spans="1:14" ht="19.5" customHeight="1">
      <c r="A53" s="65">
        <v>51</v>
      </c>
      <c r="B53" s="16"/>
      <c r="C53" s="17"/>
      <c r="D53" s="17"/>
      <c r="E53" s="17"/>
      <c r="F53" s="17"/>
      <c r="G53" s="17"/>
      <c r="H53" s="66" t="str">
        <f>IF(C53="XXL (&gt;160h)",168,IF(C53="XL (&gt;40h)",48,IF(C53="L (20-40h)",30,IF(C53="M (10-20h)",15,IF(C53="S (&lt;10h)",5,"")))))</f>
        <v/>
      </c>
      <c r="I53" s="16"/>
      <c r="J53" s="67" t="str">
        <f>IF($E53="Q12027",COUNTIF($E$3:$E53,"Q12027"),"")</f>
        <v/>
      </c>
      <c r="K53" s="67" t="str">
        <f>IF($E53="Q22027",COUNTIF($E$3:$E53,"Q22027"),"")</f>
        <v/>
      </c>
      <c r="L53" s="67" t="str">
        <f>IF($E53="Q32027",COUNTIF($E$3:$E53,"Q32027"),"")</f>
        <v/>
      </c>
      <c r="M53" s="67" t="str">
        <f>IF($E53="Q42027",COUNTIF($E$3:$E53,"Q42027"),"")</f>
        <v/>
      </c>
      <c r="N53" s="67" t="str">
        <f>IF($E53="Backlog",COUNTIF($E$3:$E53,"Backlog"),"")</f>
        <v/>
      </c>
    </row>
    <row r="54" spans="1:14" ht="19.5" customHeight="1">
      <c r="A54" s="68">
        <v>52</v>
      </c>
      <c r="B54" s="18"/>
      <c r="C54" s="19"/>
      <c r="D54" s="19"/>
      <c r="E54" s="19"/>
      <c r="F54" s="19"/>
      <c r="G54" s="19"/>
      <c r="H54" s="69" t="str">
        <f>IF(C54="XXL (&gt;160h)",168,IF(C54="XL (&gt;40h)",48,IF(C54="L (20-40h)",30,IF(C54="M (10-20h)",15,IF(C54="S (&lt;10h)",5,"")))))</f>
        <v/>
      </c>
      <c r="I54" s="18"/>
      <c r="J54" s="67" t="str">
        <f>IF($E54="Q12027",COUNTIF($E$3:$E54,"Q12027"),"")</f>
        <v/>
      </c>
      <c r="K54" s="67" t="str">
        <f>IF($E54="Q22027",COUNTIF($E$3:$E54,"Q22027"),"")</f>
        <v/>
      </c>
      <c r="L54" s="67" t="str">
        <f>IF($E54="Q32027",COUNTIF($E$3:$E54,"Q32027"),"")</f>
        <v/>
      </c>
      <c r="M54" s="67" t="str">
        <f>IF($E54="Q42027",COUNTIF($E$3:$E54,"Q42027"),"")</f>
        <v/>
      </c>
      <c r="N54" s="67" t="str">
        <f>IF($E54="Backlog",COUNTIF($E$3:$E54,"Backlog"),"")</f>
        <v/>
      </c>
    </row>
    <row r="55" spans="1:14" ht="19.5" customHeight="1">
      <c r="A55" s="65">
        <v>53</v>
      </c>
      <c r="B55" s="16"/>
      <c r="C55" s="17"/>
      <c r="D55" s="17"/>
      <c r="E55" s="17"/>
      <c r="F55" s="17"/>
      <c r="G55" s="17"/>
      <c r="H55" s="66" t="str">
        <f>IF(C55="XXL (&gt;160h)",168,IF(C55="XL (&gt;40h)",48,IF(C55="L (20-40h)",30,IF(C55="M (10-20h)",15,IF(C55="S (&lt;10h)",5,"")))))</f>
        <v/>
      </c>
      <c r="I55" s="16"/>
      <c r="J55" s="67" t="str">
        <f>IF($E55="Q12027",COUNTIF($E$3:$E55,"Q12027"),"")</f>
        <v/>
      </c>
      <c r="K55" s="67" t="str">
        <f>IF($E55="Q22027",COUNTIF($E$3:$E55,"Q22027"),"")</f>
        <v/>
      </c>
      <c r="L55" s="67" t="str">
        <f>IF($E55="Q32027",COUNTIF($E$3:$E55,"Q32027"),"")</f>
        <v/>
      </c>
      <c r="M55" s="67" t="str">
        <f>IF($E55="Q42027",COUNTIF($E$3:$E55,"Q42027"),"")</f>
        <v/>
      </c>
      <c r="N55" s="67" t="str">
        <f>IF($E55="Backlog",COUNTIF($E$3:$E55,"Backlog"),"")</f>
        <v/>
      </c>
    </row>
    <row r="56" spans="1:14" ht="19.5" customHeight="1">
      <c r="A56" s="68">
        <v>54</v>
      </c>
      <c r="B56" s="18"/>
      <c r="C56" s="19"/>
      <c r="D56" s="19"/>
      <c r="E56" s="19"/>
      <c r="F56" s="19"/>
      <c r="G56" s="19"/>
      <c r="H56" s="69" t="str">
        <f>IF(C56="XXL (&gt;160h)",168,IF(C56="XL (&gt;40h)",48,IF(C56="L (20-40h)",30,IF(C56="M (10-20h)",15,IF(C56="S (&lt;10h)",5,"")))))</f>
        <v/>
      </c>
      <c r="I56" s="18"/>
      <c r="J56" s="67" t="str">
        <f>IF($E56="Q12027",COUNTIF($E$3:$E56,"Q12027"),"")</f>
        <v/>
      </c>
      <c r="K56" s="67" t="str">
        <f>IF($E56="Q22027",COUNTIF($E$3:$E56,"Q22027"),"")</f>
        <v/>
      </c>
      <c r="L56" s="67" t="str">
        <f>IF($E56="Q32027",COUNTIF($E$3:$E56,"Q32027"),"")</f>
        <v/>
      </c>
      <c r="M56" s="67" t="str">
        <f>IF($E56="Q42027",COUNTIF($E$3:$E56,"Q42027"),"")</f>
        <v/>
      </c>
      <c r="N56" s="67" t="str">
        <f>IF($E56="Backlog",COUNTIF($E$3:$E56,"Backlog"),"")</f>
        <v/>
      </c>
    </row>
    <row r="57" spans="1:14" ht="19.5" customHeight="1">
      <c r="A57" s="65">
        <v>55</v>
      </c>
      <c r="B57" s="16"/>
      <c r="C57" s="17"/>
      <c r="D57" s="17"/>
      <c r="E57" s="17"/>
      <c r="F57" s="17"/>
      <c r="G57" s="17"/>
      <c r="H57" s="66" t="str">
        <f>IF(C57="XXL (&gt;160h)",168,IF(C57="XL (&gt;40h)",48,IF(C57="L (20-40h)",30,IF(C57="M (10-20h)",15,IF(C57="S (&lt;10h)",5,"")))))</f>
        <v/>
      </c>
      <c r="I57" s="16"/>
      <c r="J57" s="67" t="str">
        <f>IF($E57="Q12027",COUNTIF($E$3:$E57,"Q12027"),"")</f>
        <v/>
      </c>
      <c r="K57" s="67" t="str">
        <f>IF($E57="Q22027",COUNTIF($E$3:$E57,"Q22027"),"")</f>
        <v/>
      </c>
      <c r="L57" s="67" t="str">
        <f>IF($E57="Q32027",COUNTIF($E$3:$E57,"Q32027"),"")</f>
        <v/>
      </c>
      <c r="M57" s="67" t="str">
        <f>IF($E57="Q42027",COUNTIF($E$3:$E57,"Q42027"),"")</f>
        <v/>
      </c>
      <c r="N57" s="67" t="str">
        <f>IF($E57="Backlog",COUNTIF($E$3:$E57,"Backlog"),"")</f>
        <v/>
      </c>
    </row>
    <row r="58" spans="1:14" ht="19.5" customHeight="1">
      <c r="A58" s="68">
        <v>56</v>
      </c>
      <c r="B58" s="18"/>
      <c r="C58" s="19"/>
      <c r="D58" s="19"/>
      <c r="E58" s="19"/>
      <c r="F58" s="19"/>
      <c r="G58" s="19"/>
      <c r="H58" s="69" t="str">
        <f>IF(C58="XXL (&gt;160h)",168,IF(C58="XL (&gt;40h)",48,IF(C58="L (20-40h)",30,IF(C58="M (10-20h)",15,IF(C58="S (&lt;10h)",5,"")))))</f>
        <v/>
      </c>
      <c r="I58" s="18"/>
      <c r="J58" s="67" t="str">
        <f>IF($E58="Q12027",COUNTIF($E$3:$E58,"Q12027"),"")</f>
        <v/>
      </c>
      <c r="K58" s="67" t="str">
        <f>IF($E58="Q22027",COUNTIF($E$3:$E58,"Q22027"),"")</f>
        <v/>
      </c>
      <c r="L58" s="67" t="str">
        <f>IF($E58="Q32027",COUNTIF($E$3:$E58,"Q32027"),"")</f>
        <v/>
      </c>
      <c r="M58" s="67" t="str">
        <f>IF($E58="Q42027",COUNTIF($E$3:$E58,"Q42027"),"")</f>
        <v/>
      </c>
      <c r="N58" s="67" t="str">
        <f>IF($E58="Backlog",COUNTIF($E$3:$E58,"Backlog"),"")</f>
        <v/>
      </c>
    </row>
    <row r="59" spans="1:14" ht="19.5" customHeight="1">
      <c r="A59" s="65">
        <v>57</v>
      </c>
      <c r="B59" s="16"/>
      <c r="C59" s="17"/>
      <c r="D59" s="17"/>
      <c r="E59" s="17"/>
      <c r="F59" s="17"/>
      <c r="G59" s="17"/>
      <c r="H59" s="66" t="str">
        <f>IF(C59="XXL (&gt;160h)",168,IF(C59="XL (&gt;40h)",48,IF(C59="L (20-40h)",30,IF(C59="M (10-20h)",15,IF(C59="S (&lt;10h)",5,"")))))</f>
        <v/>
      </c>
      <c r="I59" s="16"/>
      <c r="J59" s="67" t="str">
        <f>IF($E59="Q12027",COUNTIF($E$3:$E59,"Q12027"),"")</f>
        <v/>
      </c>
      <c r="K59" s="67" t="str">
        <f>IF($E59="Q22027",COUNTIF($E$3:$E59,"Q22027"),"")</f>
        <v/>
      </c>
      <c r="L59" s="67" t="str">
        <f>IF($E59="Q32027",COUNTIF($E$3:$E59,"Q32027"),"")</f>
        <v/>
      </c>
      <c r="M59" s="67" t="str">
        <f>IF($E59="Q42027",COUNTIF($E$3:$E59,"Q42027"),"")</f>
        <v/>
      </c>
      <c r="N59" s="67" t="str">
        <f>IF($E59="Backlog",COUNTIF($E$3:$E59,"Backlog"),"")</f>
        <v/>
      </c>
    </row>
    <row r="60" spans="1:14" ht="19.5" customHeight="1">
      <c r="A60" s="68">
        <v>58</v>
      </c>
      <c r="B60" s="18"/>
      <c r="C60" s="19"/>
      <c r="D60" s="19"/>
      <c r="E60" s="19"/>
      <c r="F60" s="19"/>
      <c r="G60" s="19"/>
      <c r="H60" s="69" t="str">
        <f>IF(C60="XXL (&gt;160h)",168,IF(C60="XL (&gt;40h)",48,IF(C60="L (20-40h)",30,IF(C60="M (10-20h)",15,IF(C60="S (&lt;10h)",5,"")))))</f>
        <v/>
      </c>
      <c r="I60" s="18"/>
      <c r="J60" s="67" t="str">
        <f>IF($E60="Q12027",COUNTIF($E$3:$E60,"Q12027"),"")</f>
        <v/>
      </c>
      <c r="K60" s="67" t="str">
        <f>IF($E60="Q22027",COUNTIF($E$3:$E60,"Q22027"),"")</f>
        <v/>
      </c>
      <c r="L60" s="67" t="str">
        <f>IF($E60="Q32027",COUNTIF($E$3:$E60,"Q32027"),"")</f>
        <v/>
      </c>
      <c r="M60" s="67" t="str">
        <f>IF($E60="Q42027",COUNTIF($E$3:$E60,"Q42027"),"")</f>
        <v/>
      </c>
      <c r="N60" s="67" t="str">
        <f>IF($E60="Backlog",COUNTIF($E$3:$E60,"Backlog"),"")</f>
        <v/>
      </c>
    </row>
    <row r="61" spans="1:14" ht="19.5" customHeight="1">
      <c r="A61" s="65">
        <v>59</v>
      </c>
      <c r="B61" s="16"/>
      <c r="C61" s="17"/>
      <c r="D61" s="17"/>
      <c r="E61" s="17"/>
      <c r="F61" s="17"/>
      <c r="G61" s="17"/>
      <c r="H61" s="66" t="str">
        <f>IF(C61="XXL (&gt;160h)",168,IF(C61="XL (&gt;40h)",48,IF(C61="L (20-40h)",30,IF(C61="M (10-20h)",15,IF(C61="S (&lt;10h)",5,"")))))</f>
        <v/>
      </c>
      <c r="I61" s="16"/>
      <c r="J61" s="67" t="str">
        <f>IF($E61="Q12027",COUNTIF($E$3:$E61,"Q12027"),"")</f>
        <v/>
      </c>
      <c r="K61" s="67" t="str">
        <f>IF($E61="Q22027",COUNTIF($E$3:$E61,"Q22027"),"")</f>
        <v/>
      </c>
      <c r="L61" s="67" t="str">
        <f>IF($E61="Q32027",COUNTIF($E$3:$E61,"Q32027"),"")</f>
        <v/>
      </c>
      <c r="M61" s="67" t="str">
        <f>IF($E61="Q42027",COUNTIF($E$3:$E61,"Q42027"),"")</f>
        <v/>
      </c>
      <c r="N61" s="67" t="str">
        <f>IF($E61="Backlog",COUNTIF($E$3:$E61,"Backlog"),"")</f>
        <v/>
      </c>
    </row>
    <row r="62" spans="1:14" ht="19.5" customHeight="1">
      <c r="A62" s="68">
        <v>60</v>
      </c>
      <c r="B62" s="18"/>
      <c r="C62" s="19"/>
      <c r="D62" s="19"/>
      <c r="E62" s="19"/>
      <c r="F62" s="19"/>
      <c r="G62" s="19"/>
      <c r="H62" s="69" t="str">
        <f>IF(C62="XXL (&gt;160h)",168,IF(C62="XL (&gt;40h)",48,IF(C62="L (20-40h)",30,IF(C62="M (10-20h)",15,IF(C62="S (&lt;10h)",5,"")))))</f>
        <v/>
      </c>
      <c r="I62" s="18"/>
      <c r="J62" s="67" t="str">
        <f>IF($E62="Q12027",COUNTIF($E$3:$E62,"Q12027"),"")</f>
        <v/>
      </c>
      <c r="K62" s="67" t="str">
        <f>IF($E62="Q22027",COUNTIF($E$3:$E62,"Q22027"),"")</f>
        <v/>
      </c>
      <c r="L62" s="67" t="str">
        <f>IF($E62="Q32027",COUNTIF($E$3:$E62,"Q32027"),"")</f>
        <v/>
      </c>
      <c r="M62" s="67" t="str">
        <f>IF($E62="Q42027",COUNTIF($E$3:$E62,"Q42027"),"")</f>
        <v/>
      </c>
      <c r="N62" s="67" t="str">
        <f>IF($E62="Backlog",COUNTIF($E$3:$E62,"Backlog"),"")</f>
        <v/>
      </c>
    </row>
    <row r="63" spans="1:14" ht="19.5" customHeight="1">
      <c r="A63" s="65">
        <v>61</v>
      </c>
      <c r="B63" s="16"/>
      <c r="C63" s="17"/>
      <c r="D63" s="17"/>
      <c r="E63" s="17"/>
      <c r="F63" s="17"/>
      <c r="G63" s="17"/>
      <c r="H63" s="66" t="str">
        <f>IF(C63="XXL (&gt;160h)",168,IF(C63="XL (&gt;40h)",48,IF(C63="L (20-40h)",30,IF(C63="M (10-20h)",15,IF(C63="S (&lt;10h)",5,"")))))</f>
        <v/>
      </c>
      <c r="I63" s="16"/>
      <c r="J63" s="67" t="str">
        <f>IF($E63="Q12027",COUNTIF($E$3:$E63,"Q12027"),"")</f>
        <v/>
      </c>
      <c r="K63" s="67" t="str">
        <f>IF($E63="Q22027",COUNTIF($E$3:$E63,"Q22027"),"")</f>
        <v/>
      </c>
      <c r="L63" s="67" t="str">
        <f>IF($E63="Q32027",COUNTIF($E$3:$E63,"Q32027"),"")</f>
        <v/>
      </c>
      <c r="M63" s="67" t="str">
        <f>IF($E63="Q42027",COUNTIF($E$3:$E63,"Q42027"),"")</f>
        <v/>
      </c>
      <c r="N63" s="67" t="str">
        <f>IF($E63="Backlog",COUNTIF($E$3:$E63,"Backlog"),"")</f>
        <v/>
      </c>
    </row>
    <row r="64" spans="1:14" ht="19.5" customHeight="1">
      <c r="A64" s="68">
        <v>62</v>
      </c>
      <c r="B64" s="18"/>
      <c r="C64" s="19"/>
      <c r="D64" s="19"/>
      <c r="E64" s="19"/>
      <c r="F64" s="19"/>
      <c r="G64" s="19"/>
      <c r="H64" s="69" t="str">
        <f>IF(C64="XXL (&gt;160h)",168,IF(C64="XL (&gt;40h)",48,IF(C64="L (20-40h)",30,IF(C64="M (10-20h)",15,IF(C64="S (&lt;10h)",5,"")))))</f>
        <v/>
      </c>
      <c r="I64" s="18"/>
      <c r="J64" s="67" t="str">
        <f>IF($E64="Q12027",COUNTIF($E$3:$E64,"Q12027"),"")</f>
        <v/>
      </c>
      <c r="K64" s="67" t="str">
        <f>IF($E64="Q22027",COUNTIF($E$3:$E64,"Q22027"),"")</f>
        <v/>
      </c>
      <c r="L64" s="67" t="str">
        <f>IF($E64="Q32027",COUNTIF($E$3:$E64,"Q32027"),"")</f>
        <v/>
      </c>
      <c r="M64" s="67" t="str">
        <f>IF($E64="Q42027",COUNTIF($E$3:$E64,"Q42027"),"")</f>
        <v/>
      </c>
      <c r="N64" s="67" t="str">
        <f>IF($E64="Backlog",COUNTIF($E$3:$E64,"Backlog"),"")</f>
        <v/>
      </c>
    </row>
    <row r="65" spans="1:14" ht="19.5" customHeight="1">
      <c r="A65" s="65">
        <v>63</v>
      </c>
      <c r="B65" s="16"/>
      <c r="C65" s="17"/>
      <c r="D65" s="17"/>
      <c r="E65" s="17"/>
      <c r="F65" s="17"/>
      <c r="G65" s="17"/>
      <c r="H65" s="66" t="str">
        <f>IF(C65="XXL (&gt;160h)",168,IF(C65="XL (&gt;40h)",48,IF(C65="L (20-40h)",30,IF(C65="M (10-20h)",15,IF(C65="S (&lt;10h)",5,"")))))</f>
        <v/>
      </c>
      <c r="I65" s="16"/>
      <c r="J65" s="67" t="str">
        <f>IF($E65="Q12027",COUNTIF($E$3:$E65,"Q12027"),"")</f>
        <v/>
      </c>
      <c r="K65" s="67" t="str">
        <f>IF($E65="Q22027",COUNTIF($E$3:$E65,"Q22027"),"")</f>
        <v/>
      </c>
      <c r="L65" s="67" t="str">
        <f>IF($E65="Q32027",COUNTIF($E$3:$E65,"Q32027"),"")</f>
        <v/>
      </c>
      <c r="M65" s="67" t="str">
        <f>IF($E65="Q42027",COUNTIF($E$3:$E65,"Q42027"),"")</f>
        <v/>
      </c>
      <c r="N65" s="67" t="str">
        <f>IF($E65="Backlog",COUNTIF($E$3:$E65,"Backlog"),"")</f>
        <v/>
      </c>
    </row>
    <row r="66" spans="1:14" ht="19.5" customHeight="1">
      <c r="A66" s="68">
        <v>64</v>
      </c>
      <c r="B66" s="18"/>
      <c r="C66" s="19"/>
      <c r="D66" s="19"/>
      <c r="E66" s="19"/>
      <c r="F66" s="19"/>
      <c r="G66" s="19"/>
      <c r="H66" s="69" t="str">
        <f>IF(C66="XXL (&gt;160h)",168,IF(C66="XL (&gt;40h)",48,IF(C66="L (20-40h)",30,IF(C66="M (10-20h)",15,IF(C66="S (&lt;10h)",5,"")))))</f>
        <v/>
      </c>
      <c r="I66" s="18"/>
      <c r="J66" s="67" t="str">
        <f>IF($E66="Q12027",COUNTIF($E$3:$E66,"Q12027"),"")</f>
        <v/>
      </c>
      <c r="K66" s="67" t="str">
        <f>IF($E66="Q22027",COUNTIF($E$3:$E66,"Q22027"),"")</f>
        <v/>
      </c>
      <c r="L66" s="67" t="str">
        <f>IF($E66="Q32027",COUNTIF($E$3:$E66,"Q32027"),"")</f>
        <v/>
      </c>
      <c r="M66" s="67" t="str">
        <f>IF($E66="Q42027",COUNTIF($E$3:$E66,"Q42027"),"")</f>
        <v/>
      </c>
      <c r="N66" s="67" t="str">
        <f>IF($E66="Backlog",COUNTIF($E$3:$E66,"Backlog"),"")</f>
        <v/>
      </c>
    </row>
    <row r="67" spans="1:14" ht="19.5" customHeight="1">
      <c r="A67" s="65">
        <v>65</v>
      </c>
      <c r="B67" s="16"/>
      <c r="C67" s="17"/>
      <c r="D67" s="17"/>
      <c r="E67" s="17"/>
      <c r="F67" s="17"/>
      <c r="G67" s="17"/>
      <c r="H67" s="66" t="str">
        <f>IF(C67="XXL (&gt;160h)",168,IF(C67="XL (&gt;40h)",48,IF(C67="L (20-40h)",30,IF(C67="M (10-20h)",15,IF(C67="S (&lt;10h)",5,"")))))</f>
        <v/>
      </c>
      <c r="I67" s="16"/>
      <c r="J67" s="67" t="str">
        <f>IF($E67="Q12027",COUNTIF($E$3:$E67,"Q12027"),"")</f>
        <v/>
      </c>
      <c r="K67" s="67" t="str">
        <f>IF($E67="Q22027",COUNTIF($E$3:$E67,"Q22027"),"")</f>
        <v/>
      </c>
      <c r="L67" s="67" t="str">
        <f>IF($E67="Q32027",COUNTIF($E$3:$E67,"Q32027"),"")</f>
        <v/>
      </c>
      <c r="M67" s="67" t="str">
        <f>IF($E67="Q42027",COUNTIF($E$3:$E67,"Q42027"),"")</f>
        <v/>
      </c>
      <c r="N67" s="67" t="str">
        <f>IF($E67="Backlog",COUNTIF($E$3:$E67,"Backlog"),"")</f>
        <v/>
      </c>
    </row>
    <row r="68" spans="1:14" ht="19.5" customHeight="1">
      <c r="A68" s="68">
        <v>66</v>
      </c>
      <c r="B68" s="18"/>
      <c r="C68" s="19"/>
      <c r="D68" s="19"/>
      <c r="E68" s="19"/>
      <c r="F68" s="19"/>
      <c r="G68" s="19"/>
      <c r="H68" s="69" t="str">
        <f>IF(C68="XXL (&gt;160h)",168,IF(C68="XL (&gt;40h)",48,IF(C68="L (20-40h)",30,IF(C68="M (10-20h)",15,IF(C68="S (&lt;10h)",5,"")))))</f>
        <v/>
      </c>
      <c r="I68" s="18"/>
      <c r="J68" s="67" t="str">
        <f>IF($E68="Q12027",COUNTIF($E$3:$E68,"Q12027"),"")</f>
        <v/>
      </c>
      <c r="K68" s="67" t="str">
        <f>IF($E68="Q22027",COUNTIF($E$3:$E68,"Q22027"),"")</f>
        <v/>
      </c>
      <c r="L68" s="67" t="str">
        <f>IF($E68="Q32027",COUNTIF($E$3:$E68,"Q32027"),"")</f>
        <v/>
      </c>
      <c r="M68" s="67" t="str">
        <f>IF($E68="Q42027",COUNTIF($E$3:$E68,"Q42027"),"")</f>
        <v/>
      </c>
      <c r="N68" s="67" t="str">
        <f>IF($E68="Backlog",COUNTIF($E$3:$E68,"Backlog"),"")</f>
        <v/>
      </c>
    </row>
    <row r="69" spans="1:14" ht="19.5" customHeight="1">
      <c r="A69" s="65">
        <v>67</v>
      </c>
      <c r="B69" s="16"/>
      <c r="C69" s="17"/>
      <c r="D69" s="17"/>
      <c r="E69" s="17"/>
      <c r="F69" s="17"/>
      <c r="G69" s="17"/>
      <c r="H69" s="66" t="str">
        <f>IF(C69="XXL (&gt;160h)",168,IF(C69="XL (&gt;40h)",48,IF(C69="L (20-40h)",30,IF(C69="M (10-20h)",15,IF(C69="S (&lt;10h)",5,"")))))</f>
        <v/>
      </c>
      <c r="I69" s="16"/>
      <c r="J69" s="67" t="str">
        <f>IF($E69="Q12027",COUNTIF($E$3:$E69,"Q12027"),"")</f>
        <v/>
      </c>
      <c r="K69" s="67" t="str">
        <f>IF($E69="Q22027",COUNTIF($E$3:$E69,"Q22027"),"")</f>
        <v/>
      </c>
      <c r="L69" s="67" t="str">
        <f>IF($E69="Q32027",COUNTIF($E$3:$E69,"Q32027"),"")</f>
        <v/>
      </c>
      <c r="M69" s="67" t="str">
        <f>IF($E69="Q42027",COUNTIF($E$3:$E69,"Q42027"),"")</f>
        <v/>
      </c>
      <c r="N69" s="67" t="str">
        <f>IF($E69="Backlog",COUNTIF($E$3:$E69,"Backlog"),"")</f>
        <v/>
      </c>
    </row>
    <row r="70" spans="1:14" ht="19.5" customHeight="1">
      <c r="A70" s="68">
        <v>68</v>
      </c>
      <c r="B70" s="18"/>
      <c r="C70" s="19"/>
      <c r="D70" s="19"/>
      <c r="E70" s="19"/>
      <c r="F70" s="19"/>
      <c r="G70" s="19"/>
      <c r="H70" s="69" t="str">
        <f>IF(C70="XXL (&gt;160h)",168,IF(C70="XL (&gt;40h)",48,IF(C70="L (20-40h)",30,IF(C70="M (10-20h)",15,IF(C70="S (&lt;10h)",5,"")))))</f>
        <v/>
      </c>
      <c r="I70" s="18"/>
      <c r="J70" s="67" t="str">
        <f>IF($E70="Q12027",COUNTIF($E$3:$E70,"Q12027"),"")</f>
        <v/>
      </c>
      <c r="K70" s="67" t="str">
        <f>IF($E70="Q22027",COUNTIF($E$3:$E70,"Q22027"),"")</f>
        <v/>
      </c>
      <c r="L70" s="67" t="str">
        <f>IF($E70="Q32027",COUNTIF($E$3:$E70,"Q32027"),"")</f>
        <v/>
      </c>
      <c r="M70" s="67" t="str">
        <f>IF($E70="Q42027",COUNTIF($E$3:$E70,"Q42027"),"")</f>
        <v/>
      </c>
      <c r="N70" s="67" t="str">
        <f>IF($E70="Backlog",COUNTIF($E$3:$E70,"Backlog"),"")</f>
        <v/>
      </c>
    </row>
    <row r="71" spans="1:14" ht="19.5" customHeight="1">
      <c r="A71" s="65">
        <v>69</v>
      </c>
      <c r="B71" s="16"/>
      <c r="C71" s="17"/>
      <c r="D71" s="17"/>
      <c r="E71" s="17"/>
      <c r="F71" s="17"/>
      <c r="G71" s="17"/>
      <c r="H71" s="66" t="str">
        <f>IF(C71="XXL (&gt;160h)",168,IF(C71="XL (&gt;40h)",48,IF(C71="L (20-40h)",30,IF(C71="M (10-20h)",15,IF(C71="S (&lt;10h)",5,"")))))</f>
        <v/>
      </c>
      <c r="I71" s="16"/>
      <c r="J71" s="67" t="str">
        <f>IF($E71="Q12027",COUNTIF($E$3:$E71,"Q12027"),"")</f>
        <v/>
      </c>
      <c r="K71" s="67" t="str">
        <f>IF($E71="Q22027",COUNTIF($E$3:$E71,"Q22027"),"")</f>
        <v/>
      </c>
      <c r="L71" s="67" t="str">
        <f>IF($E71="Q32027",COUNTIF($E$3:$E71,"Q32027"),"")</f>
        <v/>
      </c>
      <c r="M71" s="67" t="str">
        <f>IF($E71="Q42027",COUNTIF($E$3:$E71,"Q42027"),"")</f>
        <v/>
      </c>
      <c r="N71" s="67" t="str">
        <f>IF($E71="Backlog",COUNTIF($E$3:$E71,"Backlog"),"")</f>
        <v/>
      </c>
    </row>
    <row r="72" spans="1:14" ht="19.5" customHeight="1">
      <c r="A72" s="68">
        <v>70</v>
      </c>
      <c r="B72" s="18"/>
      <c r="C72" s="19"/>
      <c r="D72" s="19"/>
      <c r="E72" s="19"/>
      <c r="F72" s="19"/>
      <c r="G72" s="19"/>
      <c r="H72" s="69" t="str">
        <f>IF(C72="XXL (&gt;160h)",168,IF(C72="XL (&gt;40h)",48,IF(C72="L (20-40h)",30,IF(C72="M (10-20h)",15,IF(C72="S (&lt;10h)",5,"")))))</f>
        <v/>
      </c>
      <c r="I72" s="18"/>
      <c r="J72" s="67" t="str">
        <f>IF($E72="Q12027",COUNTIF($E$3:$E72,"Q12027"),"")</f>
        <v/>
      </c>
      <c r="K72" s="67" t="str">
        <f>IF($E72="Q22027",COUNTIF($E$3:$E72,"Q22027"),"")</f>
        <v/>
      </c>
      <c r="L72" s="67" t="str">
        <f>IF($E72="Q32027",COUNTIF($E$3:$E72,"Q32027"),"")</f>
        <v/>
      </c>
      <c r="M72" s="67" t="str">
        <f>IF($E72="Q42027",COUNTIF($E$3:$E72,"Q42027"),"")</f>
        <v/>
      </c>
      <c r="N72" s="67" t="str">
        <f>IF($E72="Backlog",COUNTIF($E$3:$E72,"Backlog"),"")</f>
        <v/>
      </c>
    </row>
    <row r="73" spans="1:14" ht="19.5" customHeight="1">
      <c r="A73" s="65">
        <v>71</v>
      </c>
      <c r="B73" s="16"/>
      <c r="C73" s="17"/>
      <c r="D73" s="17"/>
      <c r="E73" s="17"/>
      <c r="F73" s="17"/>
      <c r="G73" s="17"/>
      <c r="H73" s="66" t="str">
        <f>IF(C73="XXL (&gt;160h)",168,IF(C73="XL (&gt;40h)",48,IF(C73="L (20-40h)",30,IF(C73="M (10-20h)",15,IF(C73="S (&lt;10h)",5,"")))))</f>
        <v/>
      </c>
      <c r="I73" s="16"/>
      <c r="J73" s="67" t="str">
        <f>IF($E73="Q12027",COUNTIF($E$3:$E73,"Q12027"),"")</f>
        <v/>
      </c>
      <c r="K73" s="67" t="str">
        <f>IF($E73="Q22027",COUNTIF($E$3:$E73,"Q22027"),"")</f>
        <v/>
      </c>
      <c r="L73" s="67" t="str">
        <f>IF($E73="Q32027",COUNTIF($E$3:$E73,"Q32027"),"")</f>
        <v/>
      </c>
      <c r="M73" s="67" t="str">
        <f>IF($E73="Q42027",COUNTIF($E$3:$E73,"Q42027"),"")</f>
        <v/>
      </c>
      <c r="N73" s="67" t="str">
        <f>IF($E73="Backlog",COUNTIF($E$3:$E73,"Backlog"),"")</f>
        <v/>
      </c>
    </row>
    <row r="74" spans="1:14" ht="19.5" customHeight="1">
      <c r="A74" s="68">
        <v>72</v>
      </c>
      <c r="B74" s="18"/>
      <c r="C74" s="19"/>
      <c r="D74" s="19"/>
      <c r="E74" s="19"/>
      <c r="F74" s="19"/>
      <c r="G74" s="19"/>
      <c r="H74" s="69" t="str">
        <f>IF(C74="XXL (&gt;160h)",168,IF(C74="XL (&gt;40h)",48,IF(C74="L (20-40h)",30,IF(C74="M (10-20h)",15,IF(C74="S (&lt;10h)",5,"")))))</f>
        <v/>
      </c>
      <c r="I74" s="18"/>
      <c r="J74" s="67" t="str">
        <f>IF($E74="Q12027",COUNTIF($E$3:$E74,"Q12027"),"")</f>
        <v/>
      </c>
      <c r="K74" s="67" t="str">
        <f>IF($E74="Q22027",COUNTIF($E$3:$E74,"Q22027"),"")</f>
        <v/>
      </c>
      <c r="L74" s="67" t="str">
        <f>IF($E74="Q32027",COUNTIF($E$3:$E74,"Q32027"),"")</f>
        <v/>
      </c>
      <c r="M74" s="67" t="str">
        <f>IF($E74="Q42027",COUNTIF($E$3:$E74,"Q42027"),"")</f>
        <v/>
      </c>
      <c r="N74" s="67" t="str">
        <f>IF($E74="Backlog",COUNTIF($E$3:$E74,"Backlog"),"")</f>
        <v/>
      </c>
    </row>
    <row r="75" spans="1:14" ht="19.5" customHeight="1">
      <c r="A75" s="65">
        <v>73</v>
      </c>
      <c r="B75" s="16"/>
      <c r="C75" s="17"/>
      <c r="D75" s="17"/>
      <c r="E75" s="17"/>
      <c r="F75" s="17"/>
      <c r="G75" s="17"/>
      <c r="H75" s="66" t="str">
        <f>IF(C75="XXL (&gt;160h)",168,IF(C75="XL (&gt;40h)",48,IF(C75="L (20-40h)",30,IF(C75="M (10-20h)",15,IF(C75="S (&lt;10h)",5,"")))))</f>
        <v/>
      </c>
      <c r="I75" s="16"/>
      <c r="J75" s="67" t="str">
        <f>IF($E75="Q12027",COUNTIF($E$3:$E75,"Q12027"),"")</f>
        <v/>
      </c>
      <c r="K75" s="67" t="str">
        <f>IF($E75="Q22027",COUNTIF($E$3:$E75,"Q22027"),"")</f>
        <v/>
      </c>
      <c r="L75" s="67" t="str">
        <f>IF($E75="Q32027",COUNTIF($E$3:$E75,"Q32027"),"")</f>
        <v/>
      </c>
      <c r="M75" s="67" t="str">
        <f>IF($E75="Q42027",COUNTIF($E$3:$E75,"Q42027"),"")</f>
        <v/>
      </c>
      <c r="N75" s="67" t="str">
        <f>IF($E75="Backlog",COUNTIF($E$3:$E75,"Backlog"),"")</f>
        <v/>
      </c>
    </row>
    <row r="76" spans="1:14" ht="19.5" customHeight="1">
      <c r="A76" s="68">
        <v>74</v>
      </c>
      <c r="B76" s="18"/>
      <c r="C76" s="19"/>
      <c r="D76" s="19"/>
      <c r="E76" s="19"/>
      <c r="F76" s="19"/>
      <c r="G76" s="19"/>
      <c r="H76" s="69" t="str">
        <f>IF(C76="XXL (&gt;160h)",168,IF(C76="XL (&gt;40h)",48,IF(C76="L (20-40h)",30,IF(C76="M (10-20h)",15,IF(C76="S (&lt;10h)",5,"")))))</f>
        <v/>
      </c>
      <c r="I76" s="18"/>
      <c r="J76" s="67" t="str">
        <f>IF($E76="Q12027",COUNTIF($E$3:$E76,"Q12027"),"")</f>
        <v/>
      </c>
      <c r="K76" s="67" t="str">
        <f>IF($E76="Q22027",COUNTIF($E$3:$E76,"Q22027"),"")</f>
        <v/>
      </c>
      <c r="L76" s="67" t="str">
        <f>IF($E76="Q32027",COUNTIF($E$3:$E76,"Q32027"),"")</f>
        <v/>
      </c>
      <c r="M76" s="67" t="str">
        <f>IF($E76="Q42027",COUNTIF($E$3:$E76,"Q42027"),"")</f>
        <v/>
      </c>
      <c r="N76" s="67" t="str">
        <f>IF($E76="Backlog",COUNTIF($E$3:$E76,"Backlog"),"")</f>
        <v/>
      </c>
    </row>
    <row r="77" spans="1:14" ht="19.5" customHeight="1">
      <c r="A77" s="65">
        <v>75</v>
      </c>
      <c r="B77" s="16"/>
      <c r="C77" s="17"/>
      <c r="D77" s="17"/>
      <c r="E77" s="17"/>
      <c r="F77" s="17"/>
      <c r="G77" s="17"/>
      <c r="H77" s="66" t="str">
        <f>IF(C77="XXL (&gt;160h)",168,IF(C77="XL (&gt;40h)",48,IF(C77="L (20-40h)",30,IF(C77="M (10-20h)",15,IF(C77="S (&lt;10h)",5,"")))))</f>
        <v/>
      </c>
      <c r="I77" s="16"/>
      <c r="J77" s="67" t="str">
        <f>IF($E77="Q12027",COUNTIF($E$3:$E77,"Q12027"),"")</f>
        <v/>
      </c>
      <c r="K77" s="67" t="str">
        <f>IF($E77="Q22027",COUNTIF($E$3:$E77,"Q22027"),"")</f>
        <v/>
      </c>
      <c r="L77" s="67" t="str">
        <f>IF($E77="Q32027",COUNTIF($E$3:$E77,"Q32027"),"")</f>
        <v/>
      </c>
      <c r="M77" s="67" t="str">
        <f>IF($E77="Q42027",COUNTIF($E$3:$E77,"Q42027"),"")</f>
        <v/>
      </c>
      <c r="N77" s="67" t="str">
        <f>IF($E77="Backlog",COUNTIF($E$3:$E77,"Backlog"),"")</f>
        <v/>
      </c>
    </row>
    <row r="78" spans="1:14" ht="19.5" customHeight="1">
      <c r="A78" s="68">
        <v>76</v>
      </c>
      <c r="B78" s="18"/>
      <c r="C78" s="19"/>
      <c r="D78" s="19"/>
      <c r="E78" s="19"/>
      <c r="F78" s="19"/>
      <c r="G78" s="19"/>
      <c r="H78" s="69" t="str">
        <f>IF(C78="XXL (&gt;160h)",168,IF(C78="XL (&gt;40h)",48,IF(C78="L (20-40h)",30,IF(C78="M (10-20h)",15,IF(C78="S (&lt;10h)",5,"")))))</f>
        <v/>
      </c>
      <c r="I78" s="18"/>
      <c r="J78" s="67" t="str">
        <f>IF($E78="Q12027",COUNTIF($E$3:$E78,"Q12027"),"")</f>
        <v/>
      </c>
      <c r="K78" s="67" t="str">
        <f>IF($E78="Q22027",COUNTIF($E$3:$E78,"Q22027"),"")</f>
        <v/>
      </c>
      <c r="L78" s="67" t="str">
        <f>IF($E78="Q32027",COUNTIF($E$3:$E78,"Q32027"),"")</f>
        <v/>
      </c>
      <c r="M78" s="67" t="str">
        <f>IF($E78="Q42027",COUNTIF($E$3:$E78,"Q42027"),"")</f>
        <v/>
      </c>
      <c r="N78" s="67" t="str">
        <f>IF($E78="Backlog",COUNTIF($E$3:$E78,"Backlog"),"")</f>
        <v/>
      </c>
    </row>
    <row r="79" spans="1:14" ht="19.5" customHeight="1">
      <c r="A79" s="65">
        <v>77</v>
      </c>
      <c r="B79" s="16"/>
      <c r="C79" s="17"/>
      <c r="D79" s="17"/>
      <c r="E79" s="17"/>
      <c r="F79" s="17"/>
      <c r="G79" s="17"/>
      <c r="H79" s="66" t="str">
        <f>IF(C79="XXL (&gt;160h)",168,IF(C79="XL (&gt;40h)",48,IF(C79="L (20-40h)",30,IF(C79="M (10-20h)",15,IF(C79="S (&lt;10h)",5,"")))))</f>
        <v/>
      </c>
      <c r="I79" s="16"/>
      <c r="J79" s="67" t="str">
        <f>IF($E79="Q12027",COUNTIF($E$3:$E79,"Q12027"),"")</f>
        <v/>
      </c>
      <c r="K79" s="67" t="str">
        <f>IF($E79="Q22027",COUNTIF($E$3:$E79,"Q22027"),"")</f>
        <v/>
      </c>
      <c r="L79" s="67" t="str">
        <f>IF($E79="Q32027",COUNTIF($E$3:$E79,"Q32027"),"")</f>
        <v/>
      </c>
      <c r="M79" s="67" t="str">
        <f>IF($E79="Q42027",COUNTIF($E$3:$E79,"Q42027"),"")</f>
        <v/>
      </c>
      <c r="N79" s="67" t="str">
        <f>IF($E79="Backlog",COUNTIF($E$3:$E79,"Backlog"),"")</f>
        <v/>
      </c>
    </row>
    <row r="80" spans="1:14" ht="19.5" customHeight="1">
      <c r="A80" s="68">
        <v>78</v>
      </c>
      <c r="B80" s="18"/>
      <c r="C80" s="19"/>
      <c r="D80" s="19"/>
      <c r="E80" s="19"/>
      <c r="F80" s="19"/>
      <c r="G80" s="19"/>
      <c r="H80" s="69" t="str">
        <f>IF(C80="XXL (&gt;160h)",168,IF(C80="XL (&gt;40h)",48,IF(C80="L (20-40h)",30,IF(C80="M (10-20h)",15,IF(C80="S (&lt;10h)",5,"")))))</f>
        <v/>
      </c>
      <c r="I80" s="18"/>
      <c r="J80" s="67" t="str">
        <f>IF($E80="Q12027",COUNTIF($E$3:$E80,"Q12027"),"")</f>
        <v/>
      </c>
      <c r="K80" s="67" t="str">
        <f>IF($E80="Q22027",COUNTIF($E$3:$E80,"Q22027"),"")</f>
        <v/>
      </c>
      <c r="L80" s="67" t="str">
        <f>IF($E80="Q32027",COUNTIF($E$3:$E80,"Q32027"),"")</f>
        <v/>
      </c>
      <c r="M80" s="67" t="str">
        <f>IF($E80="Q42027",COUNTIF($E$3:$E80,"Q42027"),"")</f>
        <v/>
      </c>
      <c r="N80" s="67" t="str">
        <f>IF($E80="Backlog",COUNTIF($E$3:$E80,"Backlog"),"")</f>
        <v/>
      </c>
    </row>
    <row r="81" spans="1:14" ht="19.5" customHeight="1">
      <c r="A81" s="65">
        <v>79</v>
      </c>
      <c r="B81" s="16"/>
      <c r="C81" s="17"/>
      <c r="D81" s="17"/>
      <c r="E81" s="17"/>
      <c r="F81" s="17"/>
      <c r="G81" s="17"/>
      <c r="H81" s="66" t="str">
        <f>IF(C81="XXL (&gt;160h)",168,IF(C81="XL (&gt;40h)",48,IF(C81="L (20-40h)",30,IF(C81="M (10-20h)",15,IF(C81="S (&lt;10h)",5,"")))))</f>
        <v/>
      </c>
      <c r="I81" s="16"/>
      <c r="J81" s="67" t="str">
        <f>IF($E81="Q12027",COUNTIF($E$3:$E81,"Q12027"),"")</f>
        <v/>
      </c>
      <c r="K81" s="67" t="str">
        <f>IF($E81="Q22027",COUNTIF($E$3:$E81,"Q22027"),"")</f>
        <v/>
      </c>
      <c r="L81" s="67" t="str">
        <f>IF($E81="Q32027",COUNTIF($E$3:$E81,"Q32027"),"")</f>
        <v/>
      </c>
      <c r="M81" s="67" t="str">
        <f>IF($E81="Q42027",COUNTIF($E$3:$E81,"Q42027"),"")</f>
        <v/>
      </c>
      <c r="N81" s="67" t="str">
        <f>IF($E81="Backlog",COUNTIF($E$3:$E81,"Backlog"),"")</f>
        <v/>
      </c>
    </row>
    <row r="82" spans="1:14" ht="19.5" customHeight="1">
      <c r="A82" s="68">
        <v>80</v>
      </c>
      <c r="B82" s="18"/>
      <c r="C82" s="19"/>
      <c r="D82" s="19"/>
      <c r="E82" s="19"/>
      <c r="F82" s="19"/>
      <c r="G82" s="19"/>
      <c r="H82" s="69" t="str">
        <f>IF(C82="XXL (&gt;160h)",168,IF(C82="XL (&gt;40h)",48,IF(C82="L (20-40h)",30,IF(C82="M (10-20h)",15,IF(C82="S (&lt;10h)",5,"")))))</f>
        <v/>
      </c>
      <c r="I82" s="18"/>
      <c r="J82" s="67" t="str">
        <f>IF($E82="Q12027",COUNTIF($E$3:$E82,"Q12027"),"")</f>
        <v/>
      </c>
      <c r="K82" s="67" t="str">
        <f>IF($E82="Q22027",COUNTIF($E$3:$E82,"Q22027"),"")</f>
        <v/>
      </c>
      <c r="L82" s="67" t="str">
        <f>IF($E82="Q32027",COUNTIF($E$3:$E82,"Q32027"),"")</f>
        <v/>
      </c>
      <c r="M82" s="67" t="str">
        <f>IF($E82="Q42027",COUNTIF($E$3:$E82,"Q42027"),"")</f>
        <v/>
      </c>
      <c r="N82" s="67" t="str">
        <f>IF($E82="Backlog",COUNTIF($E$3:$E82,"Backlog"),"")</f>
        <v/>
      </c>
    </row>
    <row r="83" spans="1:14" ht="21.75" customHeight="1">
      <c r="A83" s="128" t="s">
        <v>56</v>
      </c>
      <c r="B83" s="128"/>
      <c r="C83" s="128"/>
      <c r="D83" s="128"/>
      <c r="E83" s="128"/>
      <c r="F83" s="128"/>
      <c r="G83" s="128"/>
      <c r="H83" s="21">
        <f>SUM(H3:H82)</f>
        <v>0</v>
      </c>
      <c r="I83" s="71"/>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39" priority="2" operator="equal">
      <formula>"Strengthen"</formula>
    </cfRule>
    <cfRule type="cellIs" dxfId="38" priority="3" operator="equal">
      <formula>"Innovation"</formula>
    </cfRule>
    <cfRule type="cellIs" dxfId="37" priority="4" operator="equal">
      <formula>"Repair"</formula>
    </cfRule>
  </conditionalFormatting>
  <dataValidations count="5">
    <dataValidation type="list" allowBlank="1" sqref="D3:D82" xr:uid="{00000000-0002-0000-0B00-000000000000}">
      <formula1>"Strengthen,Innovation,Repair"</formula1>
      <formula2>0</formula2>
    </dataValidation>
    <dataValidation type="list" allowBlank="1" sqref="C3:C82" xr:uid="{00000000-0002-0000-0B00-000001000000}">
      <formula1>"XXL (&gt;160h),XL (&gt;40h),L (20-40h),M (10-20h),S (&lt;10h)"</formula1>
      <formula2>0</formula2>
    </dataValidation>
    <dataValidation type="list" allowBlank="1" sqref="E3:E82" xr:uid="{00000000-0002-0000-0B00-000002000000}">
      <formula1>"Q12027,Q22027,Q32027,Q42027,Backlog"</formula1>
      <formula2>0</formula2>
    </dataValidation>
    <dataValidation type="list" allowBlank="1" sqref="F3:F82" xr:uid="{00000000-0002-0000-0B00-000003000000}">
      <formula1>"Must,Should,Could,Won't"</formula1>
      <formula2>0</formula2>
    </dataValidation>
    <dataValidation type="list" allowBlank="1" sqref="G3:G82" xr:uid="{00000000-0002-0000-0B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P87"/>
  <sheetViews>
    <sheetView showGridLines="0" zoomScaleNormal="100" workbookViewId="0">
      <pane xSplit="1" ySplit="2" topLeftCell="B3" activePane="bottomRight" state="frozen"/>
      <selection pane="bottomRight"/>
      <selection pane="bottomLeft" activeCell="A3" sqref="A3"/>
      <selection pane="topRight" activeCell="B1" sqref="B1"/>
    </sheetView>
  </sheetViews>
  <sheetFormatPr defaultColWidth="8.7109375" defaultRowHeight="15"/>
  <cols>
    <col min="1" max="1" width="5" customWidth="1"/>
    <col min="2" max="2" width="42.85546875" customWidth="1"/>
    <col min="3" max="3" width="16" customWidth="1"/>
    <col min="4" max="4" width="14" customWidth="1"/>
    <col min="5" max="5" width="16" customWidth="1"/>
    <col min="6" max="7" width="12" customWidth="1"/>
    <col min="8" max="8" width="11" customWidth="1"/>
    <col min="9" max="9" width="30" customWidth="1"/>
    <col min="10" max="16" width="0.140625" hidden="1" customWidth="1"/>
  </cols>
  <sheetData>
    <row r="1" spans="1:14" ht="43.5" customHeight="1">
      <c r="A1" s="109" t="s">
        <v>247</v>
      </c>
      <c r="B1" s="109"/>
      <c r="C1" s="109"/>
      <c r="D1" s="109"/>
      <c r="E1" s="109"/>
      <c r="F1" s="109"/>
      <c r="G1" s="109"/>
      <c r="H1" s="109"/>
      <c r="I1" s="109"/>
    </row>
    <row r="2" spans="1:14" ht="24" customHeight="1">
      <c r="A2" s="24" t="s">
        <v>1</v>
      </c>
      <c r="B2" s="24" t="s">
        <v>2</v>
      </c>
      <c r="C2" s="24" t="s">
        <v>3</v>
      </c>
      <c r="D2" s="24" t="s">
        <v>4</v>
      </c>
      <c r="E2" s="24" t="s">
        <v>5</v>
      </c>
      <c r="F2" s="24" t="s">
        <v>6</v>
      </c>
      <c r="G2" s="24" t="s">
        <v>7</v>
      </c>
      <c r="H2" s="24" t="s">
        <v>8</v>
      </c>
      <c r="I2" s="24" t="s">
        <v>9</v>
      </c>
    </row>
    <row r="3" spans="1:14" ht="19.5" customHeight="1">
      <c r="A3" s="65">
        <v>1</v>
      </c>
      <c r="B3" s="16"/>
      <c r="C3" s="17"/>
      <c r="D3" s="17"/>
      <c r="E3" s="17"/>
      <c r="F3" s="17"/>
      <c r="G3" s="17"/>
      <c r="H3" s="66" t="str">
        <f>IF(C3="XXL (&gt;160h)",168,IF(C3="XL (&gt;40h)",48,IF(C3="L (20-40h)",30,IF(C3="M (10-20h)",15,IF(C3="S (&lt;10h)",5,"")))))</f>
        <v/>
      </c>
      <c r="I3" s="16"/>
      <c r="J3" s="67" t="str">
        <f>IF($E3="Q12027",COUNTIF($E$3:$E3,"Q12027"),"")</f>
        <v/>
      </c>
      <c r="K3" s="67" t="str">
        <f>IF($E3="Q22027",COUNTIF($E$3:$E3,"Q22027"),"")</f>
        <v/>
      </c>
      <c r="L3" s="67" t="str">
        <f>IF($E3="Q32027",COUNTIF($E$3:$E3,"Q32027"),"")</f>
        <v/>
      </c>
      <c r="M3" s="67" t="str">
        <f>IF($E3="Q42027",COUNTIF($E$3:$E3,"Q42027"),"")</f>
        <v/>
      </c>
      <c r="N3" s="67" t="str">
        <f>IF($E3="Backlog",COUNTIF($E$3:$E3,"Backlog"),"")</f>
        <v/>
      </c>
    </row>
    <row r="4" spans="1:14" ht="19.5" customHeight="1">
      <c r="A4" s="68">
        <v>2</v>
      </c>
      <c r="B4" s="18"/>
      <c r="C4" s="19"/>
      <c r="D4" s="19"/>
      <c r="E4" s="19"/>
      <c r="F4" s="19"/>
      <c r="G4" s="19"/>
      <c r="H4" s="69" t="str">
        <f>IF(C4="XXL (&gt;160h)",168,IF(C4="XL (&gt;40h)",48,IF(C4="L (20-40h)",30,IF(C4="M (10-20h)",15,IF(C4="S (&lt;10h)",5,"")))))</f>
        <v/>
      </c>
      <c r="I4" s="18"/>
      <c r="J4" s="67" t="str">
        <f>IF($E4="Q12027",COUNTIF($E$3:$E4,"Q12027"),"")</f>
        <v/>
      </c>
      <c r="K4" s="67" t="str">
        <f>IF($E4="Q22027",COUNTIF($E$3:$E4,"Q22027"),"")</f>
        <v/>
      </c>
      <c r="L4" s="67" t="str">
        <f>IF($E4="Q32027",COUNTIF($E$3:$E4,"Q32027"),"")</f>
        <v/>
      </c>
      <c r="M4" s="67" t="str">
        <f>IF($E4="Q42027",COUNTIF($E$3:$E4,"Q42027"),"")</f>
        <v/>
      </c>
      <c r="N4" s="67" t="str">
        <f>IF($E4="Backlog",COUNTIF($E$3:$E4,"Backlog"),"")</f>
        <v/>
      </c>
    </row>
    <row r="5" spans="1:14" ht="19.5" customHeight="1">
      <c r="A5" s="65">
        <v>3</v>
      </c>
      <c r="B5" s="16"/>
      <c r="C5" s="17"/>
      <c r="D5" s="17"/>
      <c r="E5" s="17"/>
      <c r="F5" s="17"/>
      <c r="G5" s="17"/>
      <c r="H5" s="66" t="str">
        <f>IF(C5="XXL (&gt;160h)",168,IF(C5="XL (&gt;40h)",48,IF(C5="L (20-40h)",30,IF(C5="M (10-20h)",15,IF(C5="S (&lt;10h)",5,"")))))</f>
        <v/>
      </c>
      <c r="I5" s="16"/>
      <c r="J5" s="67" t="str">
        <f>IF($E5="Q12027",COUNTIF($E$3:$E5,"Q12027"),"")</f>
        <v/>
      </c>
      <c r="K5" s="67" t="str">
        <f>IF($E5="Q22027",COUNTIF($E$3:$E5,"Q22027"),"")</f>
        <v/>
      </c>
      <c r="L5" s="67" t="str">
        <f>IF($E5="Q32027",COUNTIF($E$3:$E5,"Q32027"),"")</f>
        <v/>
      </c>
      <c r="M5" s="67" t="str">
        <f>IF($E5="Q42027",COUNTIF($E$3:$E5,"Q42027"),"")</f>
        <v/>
      </c>
      <c r="N5" s="67" t="str">
        <f>IF($E5="Backlog",COUNTIF($E$3:$E5,"Backlog"),"")</f>
        <v/>
      </c>
    </row>
    <row r="6" spans="1:14" ht="19.5" customHeight="1">
      <c r="A6" s="68">
        <v>4</v>
      </c>
      <c r="B6" s="18"/>
      <c r="C6" s="19"/>
      <c r="D6" s="19"/>
      <c r="E6" s="19"/>
      <c r="F6" s="19"/>
      <c r="G6" s="19"/>
      <c r="H6" s="69" t="str">
        <f>IF(C6="XXL (&gt;160h)",168,IF(C6="XL (&gt;40h)",48,IF(C6="L (20-40h)",30,IF(C6="M (10-20h)",15,IF(C6="S (&lt;10h)",5,"")))))</f>
        <v/>
      </c>
      <c r="I6" s="18"/>
      <c r="J6" s="67" t="str">
        <f>IF($E6="Q12027",COUNTIF($E$3:$E6,"Q12027"),"")</f>
        <v/>
      </c>
      <c r="K6" s="67" t="str">
        <f>IF($E6="Q22027",COUNTIF($E$3:$E6,"Q22027"),"")</f>
        <v/>
      </c>
      <c r="L6" s="67" t="str">
        <f>IF($E6="Q32027",COUNTIF($E$3:$E6,"Q32027"),"")</f>
        <v/>
      </c>
      <c r="M6" s="67" t="str">
        <f>IF($E6="Q42027",COUNTIF($E$3:$E6,"Q42027"),"")</f>
        <v/>
      </c>
      <c r="N6" s="67" t="str">
        <f>IF($E6="Backlog",COUNTIF($E$3:$E6,"Backlog"),"")</f>
        <v/>
      </c>
    </row>
    <row r="7" spans="1:14" ht="19.5" customHeight="1">
      <c r="A7" s="65">
        <v>5</v>
      </c>
      <c r="B7" s="16"/>
      <c r="C7" s="17"/>
      <c r="D7" s="17"/>
      <c r="E7" s="17"/>
      <c r="F7" s="17"/>
      <c r="G7" s="17"/>
      <c r="H7" s="66" t="str">
        <f>IF(C7="XXL (&gt;160h)",168,IF(C7="XL (&gt;40h)",48,IF(C7="L (20-40h)",30,IF(C7="M (10-20h)",15,IF(C7="S (&lt;10h)",5,"")))))</f>
        <v/>
      </c>
      <c r="I7" s="16"/>
      <c r="J7" s="67" t="str">
        <f>IF($E7="Q12027",COUNTIF($E$3:$E7,"Q12027"),"")</f>
        <v/>
      </c>
      <c r="K7" s="67" t="str">
        <f>IF($E7="Q22027",COUNTIF($E$3:$E7,"Q22027"),"")</f>
        <v/>
      </c>
      <c r="L7" s="67" t="str">
        <f>IF($E7="Q32027",COUNTIF($E$3:$E7,"Q32027"),"")</f>
        <v/>
      </c>
      <c r="M7" s="67" t="str">
        <f>IF($E7="Q42027",COUNTIF($E$3:$E7,"Q42027"),"")</f>
        <v/>
      </c>
      <c r="N7" s="67" t="str">
        <f>IF($E7="Backlog",COUNTIF($E$3:$E7,"Backlog"),"")</f>
        <v/>
      </c>
    </row>
    <row r="8" spans="1:14" ht="19.5" customHeight="1">
      <c r="A8" s="68">
        <v>6</v>
      </c>
      <c r="B8" s="18"/>
      <c r="C8" s="19"/>
      <c r="D8" s="19"/>
      <c r="E8" s="19"/>
      <c r="F8" s="19"/>
      <c r="G8" s="19"/>
      <c r="H8" s="69" t="str">
        <f>IF(C8="XXL (&gt;160h)",168,IF(C8="XL (&gt;40h)",48,IF(C8="L (20-40h)",30,IF(C8="M (10-20h)",15,IF(C8="S (&lt;10h)",5,"")))))</f>
        <v/>
      </c>
      <c r="I8" s="18"/>
      <c r="J8" s="67" t="str">
        <f>IF($E8="Q12027",COUNTIF($E$3:$E8,"Q12027"),"")</f>
        <v/>
      </c>
      <c r="K8" s="67" t="str">
        <f>IF($E8="Q22027",COUNTIF($E$3:$E8,"Q22027"),"")</f>
        <v/>
      </c>
      <c r="L8" s="67" t="str">
        <f>IF($E8="Q32027",COUNTIF($E$3:$E8,"Q32027"),"")</f>
        <v/>
      </c>
      <c r="M8" s="67" t="str">
        <f>IF($E8="Q42027",COUNTIF($E$3:$E8,"Q42027"),"")</f>
        <v/>
      </c>
      <c r="N8" s="67" t="str">
        <f>IF($E8="Backlog",COUNTIF($E$3:$E8,"Backlog"),"")</f>
        <v/>
      </c>
    </row>
    <row r="9" spans="1:14" ht="19.5" customHeight="1">
      <c r="A9" s="65">
        <v>7</v>
      </c>
      <c r="B9" s="16"/>
      <c r="C9" s="17"/>
      <c r="D9" s="17"/>
      <c r="E9" s="17"/>
      <c r="F9" s="17"/>
      <c r="G9" s="17"/>
      <c r="H9" s="66" t="str">
        <f>IF(C9="XXL (&gt;160h)",168,IF(C9="XL (&gt;40h)",48,IF(C9="L (20-40h)",30,IF(C9="M (10-20h)",15,IF(C9="S (&lt;10h)",5,"")))))</f>
        <v/>
      </c>
      <c r="I9" s="16"/>
      <c r="J9" s="67" t="str">
        <f>IF($E9="Q12027",COUNTIF($E$3:$E9,"Q12027"),"")</f>
        <v/>
      </c>
      <c r="K9" s="67" t="str">
        <f>IF($E9="Q22027",COUNTIF($E$3:$E9,"Q22027"),"")</f>
        <v/>
      </c>
      <c r="L9" s="67" t="str">
        <f>IF($E9="Q32027",COUNTIF($E$3:$E9,"Q32027"),"")</f>
        <v/>
      </c>
      <c r="M9" s="67" t="str">
        <f>IF($E9="Q42027",COUNTIF($E$3:$E9,"Q42027"),"")</f>
        <v/>
      </c>
      <c r="N9" s="67" t="str">
        <f>IF($E9="Backlog",COUNTIF($E$3:$E9,"Backlog"),"")</f>
        <v/>
      </c>
    </row>
    <row r="10" spans="1:14" ht="19.5" customHeight="1">
      <c r="A10" s="68">
        <v>8</v>
      </c>
      <c r="B10" s="18"/>
      <c r="C10" s="19"/>
      <c r="D10" s="19"/>
      <c r="E10" s="19"/>
      <c r="F10" s="19"/>
      <c r="G10" s="19"/>
      <c r="H10" s="69" t="str">
        <f>IF(C10="XXL (&gt;160h)",168,IF(C10="XL (&gt;40h)",48,IF(C10="L (20-40h)",30,IF(C10="M (10-20h)",15,IF(C10="S (&lt;10h)",5,"")))))</f>
        <v/>
      </c>
      <c r="I10" s="18"/>
      <c r="J10" s="67" t="str">
        <f>IF($E10="Q12027",COUNTIF($E$3:$E10,"Q12027"),"")</f>
        <v/>
      </c>
      <c r="K10" s="67" t="str">
        <f>IF($E10="Q22027",COUNTIF($E$3:$E10,"Q22027"),"")</f>
        <v/>
      </c>
      <c r="L10" s="67" t="str">
        <f>IF($E10="Q32027",COUNTIF($E$3:$E10,"Q32027"),"")</f>
        <v/>
      </c>
      <c r="M10" s="67" t="str">
        <f>IF($E10="Q42027",COUNTIF($E$3:$E10,"Q42027"),"")</f>
        <v/>
      </c>
      <c r="N10" s="67" t="str">
        <f>IF($E10="Backlog",COUNTIF($E$3:$E10,"Backlog"),"")</f>
        <v/>
      </c>
    </row>
    <row r="11" spans="1:14" ht="19.5" customHeight="1">
      <c r="A11" s="65">
        <v>9</v>
      </c>
      <c r="B11" s="16"/>
      <c r="C11" s="17"/>
      <c r="D11" s="17"/>
      <c r="E11" s="17"/>
      <c r="F11" s="17"/>
      <c r="G11" s="17"/>
      <c r="H11" s="66" t="str">
        <f>IF(C11="XXL (&gt;160h)",168,IF(C11="XL (&gt;40h)",48,IF(C11="L (20-40h)",30,IF(C11="M (10-20h)",15,IF(C11="S (&lt;10h)",5,"")))))</f>
        <v/>
      </c>
      <c r="I11" s="16"/>
      <c r="J11" s="67" t="str">
        <f>IF($E11="Q12027",COUNTIF($E$3:$E11,"Q12027"),"")</f>
        <v/>
      </c>
      <c r="K11" s="67" t="str">
        <f>IF($E11="Q22027",COUNTIF($E$3:$E11,"Q22027"),"")</f>
        <v/>
      </c>
      <c r="L11" s="67" t="str">
        <f>IF($E11="Q32027",COUNTIF($E$3:$E11,"Q32027"),"")</f>
        <v/>
      </c>
      <c r="M11" s="67" t="str">
        <f>IF($E11="Q42027",COUNTIF($E$3:$E11,"Q42027"),"")</f>
        <v/>
      </c>
      <c r="N11" s="67" t="str">
        <f>IF($E11="Backlog",COUNTIF($E$3:$E11,"Backlog"),"")</f>
        <v/>
      </c>
    </row>
    <row r="12" spans="1:14" ht="19.5" customHeight="1">
      <c r="A12" s="68">
        <v>10</v>
      </c>
      <c r="B12" s="18"/>
      <c r="C12" s="19"/>
      <c r="D12" s="19"/>
      <c r="E12" s="19"/>
      <c r="F12" s="19"/>
      <c r="G12" s="19"/>
      <c r="H12" s="69" t="str">
        <f>IF(C12="XXL (&gt;160h)",168,IF(C12="XL (&gt;40h)",48,IF(C12="L (20-40h)",30,IF(C12="M (10-20h)",15,IF(C12="S (&lt;10h)",5,"")))))</f>
        <v/>
      </c>
      <c r="I12" s="18"/>
      <c r="J12" s="67" t="str">
        <f>IF($E12="Q12027",COUNTIF($E$3:$E12,"Q12027"),"")</f>
        <v/>
      </c>
      <c r="K12" s="67" t="str">
        <f>IF($E12="Q22027",COUNTIF($E$3:$E12,"Q22027"),"")</f>
        <v/>
      </c>
      <c r="L12" s="67" t="str">
        <f>IF($E12="Q32027",COUNTIF($E$3:$E12,"Q32027"),"")</f>
        <v/>
      </c>
      <c r="M12" s="67" t="str">
        <f>IF($E12="Q42027",COUNTIF($E$3:$E12,"Q42027"),"")</f>
        <v/>
      </c>
      <c r="N12" s="67" t="str">
        <f>IF($E12="Backlog",COUNTIF($E$3:$E12,"Backlog"),"")</f>
        <v/>
      </c>
    </row>
    <row r="13" spans="1:14" ht="19.5" customHeight="1">
      <c r="A13" s="65">
        <v>11</v>
      </c>
      <c r="B13" s="16"/>
      <c r="C13" s="17"/>
      <c r="D13" s="17"/>
      <c r="E13" s="17"/>
      <c r="F13" s="17"/>
      <c r="G13" s="17"/>
      <c r="H13" s="66" t="str">
        <f>IF(C13="XXL (&gt;160h)",168,IF(C13="XL (&gt;40h)",48,IF(C13="L (20-40h)",30,IF(C13="M (10-20h)",15,IF(C13="S (&lt;10h)",5,"")))))</f>
        <v/>
      </c>
      <c r="I13" s="16"/>
      <c r="J13" s="67" t="str">
        <f>IF($E13="Q12027",COUNTIF($E$3:$E13,"Q12027"),"")</f>
        <v/>
      </c>
      <c r="K13" s="67" t="str">
        <f>IF($E13="Q22027",COUNTIF($E$3:$E13,"Q22027"),"")</f>
        <v/>
      </c>
      <c r="L13" s="67" t="str">
        <f>IF($E13="Q32027",COUNTIF($E$3:$E13,"Q32027"),"")</f>
        <v/>
      </c>
      <c r="M13" s="67" t="str">
        <f>IF($E13="Q42027",COUNTIF($E$3:$E13,"Q42027"),"")</f>
        <v/>
      </c>
      <c r="N13" s="67" t="str">
        <f>IF($E13="Backlog",COUNTIF($E$3:$E13,"Backlog"),"")</f>
        <v/>
      </c>
    </row>
    <row r="14" spans="1:14" ht="19.5" customHeight="1">
      <c r="A14" s="68">
        <v>12</v>
      </c>
      <c r="B14" s="18"/>
      <c r="C14" s="19"/>
      <c r="D14" s="19"/>
      <c r="E14" s="19"/>
      <c r="F14" s="19"/>
      <c r="G14" s="19"/>
      <c r="H14" s="69" t="str">
        <f>IF(C14="XXL (&gt;160h)",168,IF(C14="XL (&gt;40h)",48,IF(C14="L (20-40h)",30,IF(C14="M (10-20h)",15,IF(C14="S (&lt;10h)",5,"")))))</f>
        <v/>
      </c>
      <c r="I14" s="18"/>
      <c r="J14" s="67" t="str">
        <f>IF($E14="Q12027",COUNTIF($E$3:$E14,"Q12027"),"")</f>
        <v/>
      </c>
      <c r="K14" s="67" t="str">
        <f>IF($E14="Q22027",COUNTIF($E$3:$E14,"Q22027"),"")</f>
        <v/>
      </c>
      <c r="L14" s="67" t="str">
        <f>IF($E14="Q32027",COUNTIF($E$3:$E14,"Q32027"),"")</f>
        <v/>
      </c>
      <c r="M14" s="67" t="str">
        <f>IF($E14="Q42027",COUNTIF($E$3:$E14,"Q42027"),"")</f>
        <v/>
      </c>
      <c r="N14" s="67" t="str">
        <f>IF($E14="Backlog",COUNTIF($E$3:$E14,"Backlog"),"")</f>
        <v/>
      </c>
    </row>
    <row r="15" spans="1:14" ht="19.5" customHeight="1">
      <c r="A15" s="65">
        <v>13</v>
      </c>
      <c r="B15" s="16"/>
      <c r="C15" s="17"/>
      <c r="D15" s="17"/>
      <c r="E15" s="17"/>
      <c r="F15" s="17"/>
      <c r="G15" s="17"/>
      <c r="H15" s="66" t="str">
        <f>IF(C15="XXL (&gt;160h)",168,IF(C15="XL (&gt;40h)",48,IF(C15="L (20-40h)",30,IF(C15="M (10-20h)",15,IF(C15="S (&lt;10h)",5,"")))))</f>
        <v/>
      </c>
      <c r="I15" s="16"/>
      <c r="J15" s="67" t="str">
        <f>IF($E15="Q12027",COUNTIF($E$3:$E15,"Q12027"),"")</f>
        <v/>
      </c>
      <c r="K15" s="67" t="str">
        <f>IF($E15="Q22027",COUNTIF($E$3:$E15,"Q22027"),"")</f>
        <v/>
      </c>
      <c r="L15" s="67" t="str">
        <f>IF($E15="Q32027",COUNTIF($E$3:$E15,"Q32027"),"")</f>
        <v/>
      </c>
      <c r="M15" s="67" t="str">
        <f>IF($E15="Q42027",COUNTIF($E$3:$E15,"Q42027"),"")</f>
        <v/>
      </c>
      <c r="N15" s="67" t="str">
        <f>IF($E15="Backlog",COUNTIF($E$3:$E15,"Backlog"),"")</f>
        <v/>
      </c>
    </row>
    <row r="16" spans="1:14" ht="19.5" customHeight="1">
      <c r="A16" s="68">
        <v>14</v>
      </c>
      <c r="B16" s="18"/>
      <c r="C16" s="19"/>
      <c r="D16" s="19"/>
      <c r="E16" s="19"/>
      <c r="F16" s="19"/>
      <c r="G16" s="19"/>
      <c r="H16" s="69" t="str">
        <f>IF(C16="XXL (&gt;160h)",168,IF(C16="XL (&gt;40h)",48,IF(C16="L (20-40h)",30,IF(C16="M (10-20h)",15,IF(C16="S (&lt;10h)",5,"")))))</f>
        <v/>
      </c>
      <c r="I16" s="18"/>
      <c r="J16" s="67" t="str">
        <f>IF($E16="Q12027",COUNTIF($E$3:$E16,"Q12027"),"")</f>
        <v/>
      </c>
      <c r="K16" s="67" t="str">
        <f>IF($E16="Q22027",COUNTIF($E$3:$E16,"Q22027"),"")</f>
        <v/>
      </c>
      <c r="L16" s="67" t="str">
        <f>IF($E16="Q32027",COUNTIF($E$3:$E16,"Q32027"),"")</f>
        <v/>
      </c>
      <c r="M16" s="67" t="str">
        <f>IF($E16="Q42027",COUNTIF($E$3:$E16,"Q42027"),"")</f>
        <v/>
      </c>
      <c r="N16" s="67" t="str">
        <f>IF($E16="Backlog",COUNTIF($E$3:$E16,"Backlog"),"")</f>
        <v/>
      </c>
    </row>
    <row r="17" spans="1:14" ht="19.5" customHeight="1">
      <c r="A17" s="65">
        <v>15</v>
      </c>
      <c r="B17" s="16"/>
      <c r="C17" s="17"/>
      <c r="D17" s="17"/>
      <c r="E17" s="17"/>
      <c r="F17" s="17"/>
      <c r="G17" s="17"/>
      <c r="H17" s="66" t="str">
        <f>IF(C17="XXL (&gt;160h)",168,IF(C17="XL (&gt;40h)",48,IF(C17="L (20-40h)",30,IF(C17="M (10-20h)",15,IF(C17="S (&lt;10h)",5,"")))))</f>
        <v/>
      </c>
      <c r="I17" s="16"/>
      <c r="J17" s="67" t="str">
        <f>IF($E17="Q12027",COUNTIF($E$3:$E17,"Q12027"),"")</f>
        <v/>
      </c>
      <c r="K17" s="67" t="str">
        <f>IF($E17="Q22027",COUNTIF($E$3:$E17,"Q22027"),"")</f>
        <v/>
      </c>
      <c r="L17" s="67" t="str">
        <f>IF($E17="Q32027",COUNTIF($E$3:$E17,"Q32027"),"")</f>
        <v/>
      </c>
      <c r="M17" s="67" t="str">
        <f>IF($E17="Q42027",COUNTIF($E$3:$E17,"Q42027"),"")</f>
        <v/>
      </c>
      <c r="N17" s="67" t="str">
        <f>IF($E17="Backlog",COUNTIF($E$3:$E17,"Backlog"),"")</f>
        <v/>
      </c>
    </row>
    <row r="18" spans="1:14" ht="19.5" customHeight="1">
      <c r="A18" s="68">
        <v>16</v>
      </c>
      <c r="B18" s="18"/>
      <c r="C18" s="19"/>
      <c r="D18" s="19"/>
      <c r="E18" s="19"/>
      <c r="F18" s="19"/>
      <c r="G18" s="19"/>
      <c r="H18" s="69" t="str">
        <f>IF(C18="XXL (&gt;160h)",168,IF(C18="XL (&gt;40h)",48,IF(C18="L (20-40h)",30,IF(C18="M (10-20h)",15,IF(C18="S (&lt;10h)",5,"")))))</f>
        <v/>
      </c>
      <c r="I18" s="18"/>
      <c r="J18" s="67" t="str">
        <f>IF($E18="Q12027",COUNTIF($E$3:$E18,"Q12027"),"")</f>
        <v/>
      </c>
      <c r="K18" s="67" t="str">
        <f>IF($E18="Q22027",COUNTIF($E$3:$E18,"Q22027"),"")</f>
        <v/>
      </c>
      <c r="L18" s="67" t="str">
        <f>IF($E18="Q32027",COUNTIF($E$3:$E18,"Q32027"),"")</f>
        <v/>
      </c>
      <c r="M18" s="67" t="str">
        <f>IF($E18="Q42027",COUNTIF($E$3:$E18,"Q42027"),"")</f>
        <v/>
      </c>
      <c r="N18" s="67" t="str">
        <f>IF($E18="Backlog",COUNTIF($E$3:$E18,"Backlog"),"")</f>
        <v/>
      </c>
    </row>
    <row r="19" spans="1:14" ht="19.5" customHeight="1">
      <c r="A19" s="65">
        <v>17</v>
      </c>
      <c r="B19" s="16"/>
      <c r="C19" s="17"/>
      <c r="D19" s="17"/>
      <c r="E19" s="17"/>
      <c r="F19" s="17"/>
      <c r="G19" s="17"/>
      <c r="H19" s="66" t="str">
        <f>IF(C19="XXL (&gt;160h)",168,IF(C19="XL (&gt;40h)",48,IF(C19="L (20-40h)",30,IF(C19="M (10-20h)",15,IF(C19="S (&lt;10h)",5,"")))))</f>
        <v/>
      </c>
      <c r="I19" s="16"/>
      <c r="J19" s="67" t="str">
        <f>IF($E19="Q12027",COUNTIF($E$3:$E19,"Q12027"),"")</f>
        <v/>
      </c>
      <c r="K19" s="67" t="str">
        <f>IF($E19="Q22027",COUNTIF($E$3:$E19,"Q22027"),"")</f>
        <v/>
      </c>
      <c r="L19" s="67" t="str">
        <f>IF($E19="Q32027",COUNTIF($E$3:$E19,"Q32027"),"")</f>
        <v/>
      </c>
      <c r="M19" s="67" t="str">
        <f>IF($E19="Q42027",COUNTIF($E$3:$E19,"Q42027"),"")</f>
        <v/>
      </c>
      <c r="N19" s="67" t="str">
        <f>IF($E19="Backlog",COUNTIF($E$3:$E19,"Backlog"),"")</f>
        <v/>
      </c>
    </row>
    <row r="20" spans="1:14" ht="19.5" customHeight="1">
      <c r="A20" s="68">
        <v>18</v>
      </c>
      <c r="B20" s="18"/>
      <c r="C20" s="19"/>
      <c r="D20" s="19"/>
      <c r="E20" s="19"/>
      <c r="F20" s="19"/>
      <c r="G20" s="19"/>
      <c r="H20" s="69" t="str">
        <f>IF(C20="XXL (&gt;160h)",168,IF(C20="XL (&gt;40h)",48,IF(C20="L (20-40h)",30,IF(C20="M (10-20h)",15,IF(C20="S (&lt;10h)",5,"")))))</f>
        <v/>
      </c>
      <c r="I20" s="18"/>
      <c r="J20" s="67" t="str">
        <f>IF($E20="Q12027",COUNTIF($E$3:$E20,"Q12027"),"")</f>
        <v/>
      </c>
      <c r="K20" s="67" t="str">
        <f>IF($E20="Q22027",COUNTIF($E$3:$E20,"Q22027"),"")</f>
        <v/>
      </c>
      <c r="L20" s="67" t="str">
        <f>IF($E20="Q32027",COUNTIF($E$3:$E20,"Q32027"),"")</f>
        <v/>
      </c>
      <c r="M20" s="67" t="str">
        <f>IF($E20="Q42027",COUNTIF($E$3:$E20,"Q42027"),"")</f>
        <v/>
      </c>
      <c r="N20" s="67" t="str">
        <f>IF($E20="Backlog",COUNTIF($E$3:$E20,"Backlog"),"")</f>
        <v/>
      </c>
    </row>
    <row r="21" spans="1:14" ht="19.5" customHeight="1">
      <c r="A21" s="65">
        <v>19</v>
      </c>
      <c r="B21" s="16"/>
      <c r="C21" s="17"/>
      <c r="D21" s="17"/>
      <c r="E21" s="17"/>
      <c r="F21" s="17"/>
      <c r="G21" s="17"/>
      <c r="H21" s="66" t="str">
        <f>IF(C21="XXL (&gt;160h)",168,IF(C21="XL (&gt;40h)",48,IF(C21="L (20-40h)",30,IF(C21="M (10-20h)",15,IF(C21="S (&lt;10h)",5,"")))))</f>
        <v/>
      </c>
      <c r="I21" s="16"/>
      <c r="J21" s="67" t="str">
        <f>IF($E21="Q12027",COUNTIF($E$3:$E21,"Q12027"),"")</f>
        <v/>
      </c>
      <c r="K21" s="67" t="str">
        <f>IF($E21="Q22027",COUNTIF($E$3:$E21,"Q22027"),"")</f>
        <v/>
      </c>
      <c r="L21" s="67" t="str">
        <f>IF($E21="Q32027",COUNTIF($E$3:$E21,"Q32027"),"")</f>
        <v/>
      </c>
      <c r="M21" s="67" t="str">
        <f>IF($E21="Q42027",COUNTIF($E$3:$E21,"Q42027"),"")</f>
        <v/>
      </c>
      <c r="N21" s="67" t="str">
        <f>IF($E21="Backlog",COUNTIF($E$3:$E21,"Backlog"),"")</f>
        <v/>
      </c>
    </row>
    <row r="22" spans="1:14" ht="19.5" customHeight="1">
      <c r="A22" s="68">
        <v>20</v>
      </c>
      <c r="B22" s="18"/>
      <c r="C22" s="19"/>
      <c r="D22" s="19"/>
      <c r="E22" s="19"/>
      <c r="F22" s="19"/>
      <c r="G22" s="19"/>
      <c r="H22" s="69" t="str">
        <f>IF(C22="XXL (&gt;160h)",168,IF(C22="XL (&gt;40h)",48,IF(C22="L (20-40h)",30,IF(C22="M (10-20h)",15,IF(C22="S (&lt;10h)",5,"")))))</f>
        <v/>
      </c>
      <c r="I22" s="18"/>
      <c r="J22" s="67" t="str">
        <f>IF($E22="Q12027",COUNTIF($E$3:$E22,"Q12027"),"")</f>
        <v/>
      </c>
      <c r="K22" s="67" t="str">
        <f>IF($E22="Q22027",COUNTIF($E$3:$E22,"Q22027"),"")</f>
        <v/>
      </c>
      <c r="L22" s="67" t="str">
        <f>IF($E22="Q32027",COUNTIF($E$3:$E22,"Q32027"),"")</f>
        <v/>
      </c>
      <c r="M22" s="67" t="str">
        <f>IF($E22="Q42027",COUNTIF($E$3:$E22,"Q42027"),"")</f>
        <v/>
      </c>
      <c r="N22" s="67" t="str">
        <f>IF($E22="Backlog",COUNTIF($E$3:$E22,"Backlog"),"")</f>
        <v/>
      </c>
    </row>
    <row r="23" spans="1:14" ht="19.5" customHeight="1">
      <c r="A23" s="65">
        <v>21</v>
      </c>
      <c r="B23" s="16"/>
      <c r="C23" s="17"/>
      <c r="D23" s="17"/>
      <c r="E23" s="17"/>
      <c r="F23" s="17"/>
      <c r="G23" s="17"/>
      <c r="H23" s="66" t="str">
        <f>IF(C23="XXL (&gt;160h)",168,IF(C23="XL (&gt;40h)",48,IF(C23="L (20-40h)",30,IF(C23="M (10-20h)",15,IF(C23="S (&lt;10h)",5,"")))))</f>
        <v/>
      </c>
      <c r="I23" s="16"/>
      <c r="J23" s="67" t="str">
        <f>IF($E23="Q12027",COUNTIF($E$3:$E23,"Q12027"),"")</f>
        <v/>
      </c>
      <c r="K23" s="67" t="str">
        <f>IF($E23="Q22027",COUNTIF($E$3:$E23,"Q22027"),"")</f>
        <v/>
      </c>
      <c r="L23" s="67" t="str">
        <f>IF($E23="Q32027",COUNTIF($E$3:$E23,"Q32027"),"")</f>
        <v/>
      </c>
      <c r="M23" s="67" t="str">
        <f>IF($E23="Q42027",COUNTIF($E$3:$E23,"Q42027"),"")</f>
        <v/>
      </c>
      <c r="N23" s="67" t="str">
        <f>IF($E23="Backlog",COUNTIF($E$3:$E23,"Backlog"),"")</f>
        <v/>
      </c>
    </row>
    <row r="24" spans="1:14" ht="19.5" customHeight="1">
      <c r="A24" s="68">
        <v>22</v>
      </c>
      <c r="B24" s="18"/>
      <c r="C24" s="19"/>
      <c r="D24" s="19"/>
      <c r="E24" s="19"/>
      <c r="F24" s="19"/>
      <c r="G24" s="19"/>
      <c r="H24" s="69" t="str">
        <f>IF(C24="XXL (&gt;160h)",168,IF(C24="XL (&gt;40h)",48,IF(C24="L (20-40h)",30,IF(C24="M (10-20h)",15,IF(C24="S (&lt;10h)",5,"")))))</f>
        <v/>
      </c>
      <c r="I24" s="18"/>
      <c r="J24" s="67" t="str">
        <f>IF($E24="Q12027",COUNTIF($E$3:$E24,"Q12027"),"")</f>
        <v/>
      </c>
      <c r="K24" s="67" t="str">
        <f>IF($E24="Q22027",COUNTIF($E$3:$E24,"Q22027"),"")</f>
        <v/>
      </c>
      <c r="L24" s="67" t="str">
        <f>IF($E24="Q32027",COUNTIF($E$3:$E24,"Q32027"),"")</f>
        <v/>
      </c>
      <c r="M24" s="67" t="str">
        <f>IF($E24="Q42027",COUNTIF($E$3:$E24,"Q42027"),"")</f>
        <v/>
      </c>
      <c r="N24" s="67" t="str">
        <f>IF($E24="Backlog",COUNTIF($E$3:$E24,"Backlog"),"")</f>
        <v/>
      </c>
    </row>
    <row r="25" spans="1:14" ht="19.5" customHeight="1">
      <c r="A25" s="65">
        <v>23</v>
      </c>
      <c r="B25" s="16"/>
      <c r="C25" s="17"/>
      <c r="D25" s="17"/>
      <c r="E25" s="17"/>
      <c r="F25" s="17"/>
      <c r="G25" s="17"/>
      <c r="H25" s="66" t="str">
        <f>IF(C25="XXL (&gt;160h)",168,IF(C25="XL (&gt;40h)",48,IF(C25="L (20-40h)",30,IF(C25="M (10-20h)",15,IF(C25="S (&lt;10h)",5,"")))))</f>
        <v/>
      </c>
      <c r="I25" s="16"/>
      <c r="J25" s="67" t="str">
        <f>IF($E25="Q12027",COUNTIF($E$3:$E25,"Q12027"),"")</f>
        <v/>
      </c>
      <c r="K25" s="67" t="str">
        <f>IF($E25="Q22027",COUNTIF($E$3:$E25,"Q22027"),"")</f>
        <v/>
      </c>
      <c r="L25" s="67" t="str">
        <f>IF($E25="Q32027",COUNTIF($E$3:$E25,"Q32027"),"")</f>
        <v/>
      </c>
      <c r="M25" s="67" t="str">
        <f>IF($E25="Q42027",COUNTIF($E$3:$E25,"Q42027"),"")</f>
        <v/>
      </c>
      <c r="N25" s="67" t="str">
        <f>IF($E25="Backlog",COUNTIF($E$3:$E25,"Backlog"),"")</f>
        <v/>
      </c>
    </row>
    <row r="26" spans="1:14" ht="19.5" customHeight="1">
      <c r="A26" s="68">
        <v>24</v>
      </c>
      <c r="B26" s="18"/>
      <c r="C26" s="19"/>
      <c r="D26" s="19"/>
      <c r="E26" s="19"/>
      <c r="F26" s="19"/>
      <c r="G26" s="19"/>
      <c r="H26" s="69" t="str">
        <f>IF(C26="XXL (&gt;160h)",168,IF(C26="XL (&gt;40h)",48,IF(C26="L (20-40h)",30,IF(C26="M (10-20h)",15,IF(C26="S (&lt;10h)",5,"")))))</f>
        <v/>
      </c>
      <c r="I26" s="18"/>
      <c r="J26" s="67" t="str">
        <f>IF($E26="Q12027",COUNTIF($E$3:$E26,"Q12027"),"")</f>
        <v/>
      </c>
      <c r="K26" s="67" t="str">
        <f>IF($E26="Q22027",COUNTIF($E$3:$E26,"Q22027"),"")</f>
        <v/>
      </c>
      <c r="L26" s="67" t="str">
        <f>IF($E26="Q32027",COUNTIF($E$3:$E26,"Q32027"),"")</f>
        <v/>
      </c>
      <c r="M26" s="67" t="str">
        <f>IF($E26="Q42027",COUNTIF($E$3:$E26,"Q42027"),"")</f>
        <v/>
      </c>
      <c r="N26" s="67" t="str">
        <f>IF($E26="Backlog",COUNTIF($E$3:$E26,"Backlog"),"")</f>
        <v/>
      </c>
    </row>
    <row r="27" spans="1:14" ht="19.5" customHeight="1">
      <c r="A27" s="65">
        <v>25</v>
      </c>
      <c r="B27" s="16"/>
      <c r="C27" s="17"/>
      <c r="D27" s="17"/>
      <c r="E27" s="17"/>
      <c r="F27" s="17"/>
      <c r="G27" s="17"/>
      <c r="H27" s="66" t="str">
        <f>IF(C27="XXL (&gt;160h)",168,IF(C27="XL (&gt;40h)",48,IF(C27="L (20-40h)",30,IF(C27="M (10-20h)",15,IF(C27="S (&lt;10h)",5,"")))))</f>
        <v/>
      </c>
      <c r="I27" s="16"/>
      <c r="J27" s="67" t="str">
        <f>IF($E27="Q12027",COUNTIF($E$3:$E27,"Q12027"),"")</f>
        <v/>
      </c>
      <c r="K27" s="67" t="str">
        <f>IF($E27="Q22027",COUNTIF($E$3:$E27,"Q22027"),"")</f>
        <v/>
      </c>
      <c r="L27" s="67" t="str">
        <f>IF($E27="Q32027",COUNTIF($E$3:$E27,"Q32027"),"")</f>
        <v/>
      </c>
      <c r="M27" s="67" t="str">
        <f>IF($E27="Q42027",COUNTIF($E$3:$E27,"Q42027"),"")</f>
        <v/>
      </c>
      <c r="N27" s="67" t="str">
        <f>IF($E27="Backlog",COUNTIF($E$3:$E27,"Backlog"),"")</f>
        <v/>
      </c>
    </row>
    <row r="28" spans="1:14" ht="19.5" customHeight="1">
      <c r="A28" s="68">
        <v>26</v>
      </c>
      <c r="B28" s="18"/>
      <c r="C28" s="19"/>
      <c r="D28" s="19"/>
      <c r="E28" s="19"/>
      <c r="F28" s="19"/>
      <c r="G28" s="19"/>
      <c r="H28" s="69" t="str">
        <f>IF(C28="XXL (&gt;160h)",168,IF(C28="XL (&gt;40h)",48,IF(C28="L (20-40h)",30,IF(C28="M (10-20h)",15,IF(C28="S (&lt;10h)",5,"")))))</f>
        <v/>
      </c>
      <c r="I28" s="18"/>
      <c r="J28" s="67" t="str">
        <f>IF($E28="Q12027",COUNTIF($E$3:$E28,"Q12027"),"")</f>
        <v/>
      </c>
      <c r="K28" s="67" t="str">
        <f>IF($E28="Q22027",COUNTIF($E$3:$E28,"Q22027"),"")</f>
        <v/>
      </c>
      <c r="L28" s="67" t="str">
        <f>IF($E28="Q32027",COUNTIF($E$3:$E28,"Q32027"),"")</f>
        <v/>
      </c>
      <c r="M28" s="67" t="str">
        <f>IF($E28="Q42027",COUNTIF($E$3:$E28,"Q42027"),"")</f>
        <v/>
      </c>
      <c r="N28" s="67" t="str">
        <f>IF($E28="Backlog",COUNTIF($E$3:$E28,"Backlog"),"")</f>
        <v/>
      </c>
    </row>
    <row r="29" spans="1:14" ht="19.5" customHeight="1">
      <c r="A29" s="65">
        <v>27</v>
      </c>
      <c r="B29" s="16"/>
      <c r="C29" s="17"/>
      <c r="D29" s="17"/>
      <c r="E29" s="17"/>
      <c r="F29" s="17"/>
      <c r="G29" s="17"/>
      <c r="H29" s="66" t="str">
        <f>IF(C29="XXL (&gt;160h)",168,IF(C29="XL (&gt;40h)",48,IF(C29="L (20-40h)",30,IF(C29="M (10-20h)",15,IF(C29="S (&lt;10h)",5,"")))))</f>
        <v/>
      </c>
      <c r="I29" s="16"/>
      <c r="J29" s="67" t="str">
        <f>IF($E29="Q12027",COUNTIF($E$3:$E29,"Q12027"),"")</f>
        <v/>
      </c>
      <c r="K29" s="67" t="str">
        <f>IF($E29="Q22027",COUNTIF($E$3:$E29,"Q22027"),"")</f>
        <v/>
      </c>
      <c r="L29" s="67" t="str">
        <f>IF($E29="Q32027",COUNTIF($E$3:$E29,"Q32027"),"")</f>
        <v/>
      </c>
      <c r="M29" s="67" t="str">
        <f>IF($E29="Q42027",COUNTIF($E$3:$E29,"Q42027"),"")</f>
        <v/>
      </c>
      <c r="N29" s="67" t="str">
        <f>IF($E29="Backlog",COUNTIF($E$3:$E29,"Backlog"),"")</f>
        <v/>
      </c>
    </row>
    <row r="30" spans="1:14" ht="19.5" customHeight="1">
      <c r="A30" s="68">
        <v>28</v>
      </c>
      <c r="B30" s="18"/>
      <c r="C30" s="19"/>
      <c r="D30" s="19"/>
      <c r="E30" s="19"/>
      <c r="F30" s="19"/>
      <c r="G30" s="19"/>
      <c r="H30" s="69" t="str">
        <f>IF(C30="XXL (&gt;160h)",168,IF(C30="XL (&gt;40h)",48,IF(C30="L (20-40h)",30,IF(C30="M (10-20h)",15,IF(C30="S (&lt;10h)",5,"")))))</f>
        <v/>
      </c>
      <c r="I30" s="18"/>
      <c r="J30" s="67" t="str">
        <f>IF($E30="Q12027",COUNTIF($E$3:$E30,"Q12027"),"")</f>
        <v/>
      </c>
      <c r="K30" s="67" t="str">
        <f>IF($E30="Q22027",COUNTIF($E$3:$E30,"Q22027"),"")</f>
        <v/>
      </c>
      <c r="L30" s="67" t="str">
        <f>IF($E30="Q32027",COUNTIF($E$3:$E30,"Q32027"),"")</f>
        <v/>
      </c>
      <c r="M30" s="67" t="str">
        <f>IF($E30="Q42027",COUNTIF($E$3:$E30,"Q42027"),"")</f>
        <v/>
      </c>
      <c r="N30" s="67" t="str">
        <f>IF($E30="Backlog",COUNTIF($E$3:$E30,"Backlog"),"")</f>
        <v/>
      </c>
    </row>
    <row r="31" spans="1:14" ht="19.5" customHeight="1">
      <c r="A31" s="65">
        <v>29</v>
      </c>
      <c r="B31" s="16"/>
      <c r="C31" s="17"/>
      <c r="D31" s="17"/>
      <c r="E31" s="17"/>
      <c r="F31" s="17"/>
      <c r="G31" s="17"/>
      <c r="H31" s="66" t="str">
        <f>IF(C31="XXL (&gt;160h)",168,IF(C31="XL (&gt;40h)",48,IF(C31="L (20-40h)",30,IF(C31="M (10-20h)",15,IF(C31="S (&lt;10h)",5,"")))))</f>
        <v/>
      </c>
      <c r="I31" s="16"/>
      <c r="J31" s="67" t="str">
        <f>IF($E31="Q12027",COUNTIF($E$3:$E31,"Q12027"),"")</f>
        <v/>
      </c>
      <c r="K31" s="67" t="str">
        <f>IF($E31="Q22027",COUNTIF($E$3:$E31,"Q22027"),"")</f>
        <v/>
      </c>
      <c r="L31" s="67" t="str">
        <f>IF($E31="Q32027",COUNTIF($E$3:$E31,"Q32027"),"")</f>
        <v/>
      </c>
      <c r="M31" s="67" t="str">
        <f>IF($E31="Q42027",COUNTIF($E$3:$E31,"Q42027"),"")</f>
        <v/>
      </c>
      <c r="N31" s="67" t="str">
        <f>IF($E31="Backlog",COUNTIF($E$3:$E31,"Backlog"),"")</f>
        <v/>
      </c>
    </row>
    <row r="32" spans="1:14" ht="19.5" customHeight="1">
      <c r="A32" s="68">
        <v>30</v>
      </c>
      <c r="B32" s="18"/>
      <c r="C32" s="19"/>
      <c r="D32" s="19"/>
      <c r="E32" s="19"/>
      <c r="F32" s="19"/>
      <c r="G32" s="19"/>
      <c r="H32" s="69" t="str">
        <f>IF(C32="XXL (&gt;160h)",168,IF(C32="XL (&gt;40h)",48,IF(C32="L (20-40h)",30,IF(C32="M (10-20h)",15,IF(C32="S (&lt;10h)",5,"")))))</f>
        <v/>
      </c>
      <c r="I32" s="18"/>
      <c r="J32" s="67" t="str">
        <f>IF($E32="Q12027",COUNTIF($E$3:$E32,"Q12027"),"")</f>
        <v/>
      </c>
      <c r="K32" s="67" t="str">
        <f>IF($E32="Q22027",COUNTIF($E$3:$E32,"Q22027"),"")</f>
        <v/>
      </c>
      <c r="L32" s="67" t="str">
        <f>IF($E32="Q32027",COUNTIF($E$3:$E32,"Q32027"),"")</f>
        <v/>
      </c>
      <c r="M32" s="67" t="str">
        <f>IF($E32="Q42027",COUNTIF($E$3:$E32,"Q42027"),"")</f>
        <v/>
      </c>
      <c r="N32" s="67" t="str">
        <f>IF($E32="Backlog",COUNTIF($E$3:$E32,"Backlog"),"")</f>
        <v/>
      </c>
    </row>
    <row r="33" spans="1:14" ht="19.5" customHeight="1">
      <c r="A33" s="65">
        <v>31</v>
      </c>
      <c r="B33" s="16"/>
      <c r="C33" s="17"/>
      <c r="D33" s="17"/>
      <c r="E33" s="17"/>
      <c r="F33" s="17"/>
      <c r="G33" s="17"/>
      <c r="H33" s="66" t="str">
        <f>IF(C33="XXL (&gt;160h)",168,IF(C33="XL (&gt;40h)",48,IF(C33="L (20-40h)",30,IF(C33="M (10-20h)",15,IF(C33="S (&lt;10h)",5,"")))))</f>
        <v/>
      </c>
      <c r="I33" s="16"/>
      <c r="J33" s="67" t="str">
        <f>IF($E33="Q12027",COUNTIF($E$3:$E33,"Q12027"),"")</f>
        <v/>
      </c>
      <c r="K33" s="67" t="str">
        <f>IF($E33="Q22027",COUNTIF($E$3:$E33,"Q22027"),"")</f>
        <v/>
      </c>
      <c r="L33" s="67" t="str">
        <f>IF($E33="Q32027",COUNTIF($E$3:$E33,"Q32027"),"")</f>
        <v/>
      </c>
      <c r="M33" s="67" t="str">
        <f>IF($E33="Q42027",COUNTIF($E$3:$E33,"Q42027"),"")</f>
        <v/>
      </c>
      <c r="N33" s="67" t="str">
        <f>IF($E33="Backlog",COUNTIF($E$3:$E33,"Backlog"),"")</f>
        <v/>
      </c>
    </row>
    <row r="34" spans="1:14" ht="19.5" customHeight="1">
      <c r="A34" s="68">
        <v>32</v>
      </c>
      <c r="B34" s="18"/>
      <c r="C34" s="19"/>
      <c r="D34" s="19"/>
      <c r="E34" s="19"/>
      <c r="F34" s="19"/>
      <c r="G34" s="19"/>
      <c r="H34" s="69" t="str">
        <f>IF(C34="XXL (&gt;160h)",168,IF(C34="XL (&gt;40h)",48,IF(C34="L (20-40h)",30,IF(C34="M (10-20h)",15,IF(C34="S (&lt;10h)",5,"")))))</f>
        <v/>
      </c>
      <c r="I34" s="18"/>
      <c r="J34" s="67" t="str">
        <f>IF($E34="Q12027",COUNTIF($E$3:$E34,"Q12027"),"")</f>
        <v/>
      </c>
      <c r="K34" s="67" t="str">
        <f>IF($E34="Q22027",COUNTIF($E$3:$E34,"Q22027"),"")</f>
        <v/>
      </c>
      <c r="L34" s="67" t="str">
        <f>IF($E34="Q32027",COUNTIF($E$3:$E34,"Q32027"),"")</f>
        <v/>
      </c>
      <c r="M34" s="67" t="str">
        <f>IF($E34="Q42027",COUNTIF($E$3:$E34,"Q42027"),"")</f>
        <v/>
      </c>
      <c r="N34" s="67" t="str">
        <f>IF($E34="Backlog",COUNTIF($E$3:$E34,"Backlog"),"")</f>
        <v/>
      </c>
    </row>
    <row r="35" spans="1:14" ht="19.5" customHeight="1">
      <c r="A35" s="65">
        <v>33</v>
      </c>
      <c r="B35" s="16"/>
      <c r="C35" s="17"/>
      <c r="D35" s="17"/>
      <c r="E35" s="17"/>
      <c r="F35" s="17"/>
      <c r="G35" s="17"/>
      <c r="H35" s="66" t="str">
        <f>IF(C35="XXL (&gt;160h)",168,IF(C35="XL (&gt;40h)",48,IF(C35="L (20-40h)",30,IF(C35="M (10-20h)",15,IF(C35="S (&lt;10h)",5,"")))))</f>
        <v/>
      </c>
      <c r="I35" s="16"/>
      <c r="J35" s="67" t="str">
        <f>IF($E35="Q12027",COUNTIF($E$3:$E35,"Q12027"),"")</f>
        <v/>
      </c>
      <c r="K35" s="67" t="str">
        <f>IF($E35="Q22027",COUNTIF($E$3:$E35,"Q22027"),"")</f>
        <v/>
      </c>
      <c r="L35" s="67" t="str">
        <f>IF($E35="Q32027",COUNTIF($E$3:$E35,"Q32027"),"")</f>
        <v/>
      </c>
      <c r="M35" s="67" t="str">
        <f>IF($E35="Q42027",COUNTIF($E$3:$E35,"Q42027"),"")</f>
        <v/>
      </c>
      <c r="N35" s="67" t="str">
        <f>IF($E35="Backlog",COUNTIF($E$3:$E35,"Backlog"),"")</f>
        <v/>
      </c>
    </row>
    <row r="36" spans="1:14" ht="19.5" customHeight="1">
      <c r="A36" s="68">
        <v>34</v>
      </c>
      <c r="B36" s="18"/>
      <c r="C36" s="19"/>
      <c r="D36" s="19"/>
      <c r="E36" s="19"/>
      <c r="F36" s="19"/>
      <c r="G36" s="19"/>
      <c r="H36" s="69" t="str">
        <f>IF(C36="XXL (&gt;160h)",168,IF(C36="XL (&gt;40h)",48,IF(C36="L (20-40h)",30,IF(C36="M (10-20h)",15,IF(C36="S (&lt;10h)",5,"")))))</f>
        <v/>
      </c>
      <c r="I36" s="18"/>
      <c r="J36" s="67" t="str">
        <f>IF($E36="Q12027",COUNTIF($E$3:$E36,"Q12027"),"")</f>
        <v/>
      </c>
      <c r="K36" s="67" t="str">
        <f>IF($E36="Q22027",COUNTIF($E$3:$E36,"Q22027"),"")</f>
        <v/>
      </c>
      <c r="L36" s="67" t="str">
        <f>IF($E36="Q32027",COUNTIF($E$3:$E36,"Q32027"),"")</f>
        <v/>
      </c>
      <c r="M36" s="67" t="str">
        <f>IF($E36="Q42027",COUNTIF($E$3:$E36,"Q42027"),"")</f>
        <v/>
      </c>
      <c r="N36" s="67" t="str">
        <f>IF($E36="Backlog",COUNTIF($E$3:$E36,"Backlog"),"")</f>
        <v/>
      </c>
    </row>
    <row r="37" spans="1:14" ht="19.5" customHeight="1">
      <c r="A37" s="65">
        <v>35</v>
      </c>
      <c r="B37" s="16"/>
      <c r="C37" s="17"/>
      <c r="D37" s="17"/>
      <c r="E37" s="17"/>
      <c r="F37" s="17"/>
      <c r="G37" s="17"/>
      <c r="H37" s="66" t="str">
        <f>IF(C37="XXL (&gt;160h)",168,IF(C37="XL (&gt;40h)",48,IF(C37="L (20-40h)",30,IF(C37="M (10-20h)",15,IF(C37="S (&lt;10h)",5,"")))))</f>
        <v/>
      </c>
      <c r="I37" s="16"/>
      <c r="J37" s="67" t="str">
        <f>IF($E37="Q12027",COUNTIF($E$3:$E37,"Q12027"),"")</f>
        <v/>
      </c>
      <c r="K37" s="67" t="str">
        <f>IF($E37="Q22027",COUNTIF($E$3:$E37,"Q22027"),"")</f>
        <v/>
      </c>
      <c r="L37" s="67" t="str">
        <f>IF($E37="Q32027",COUNTIF($E$3:$E37,"Q32027"),"")</f>
        <v/>
      </c>
      <c r="M37" s="67" t="str">
        <f>IF($E37="Q42027",COUNTIF($E$3:$E37,"Q42027"),"")</f>
        <v/>
      </c>
      <c r="N37" s="67" t="str">
        <f>IF($E37="Backlog",COUNTIF($E$3:$E37,"Backlog"),"")</f>
        <v/>
      </c>
    </row>
    <row r="38" spans="1:14" ht="19.5" customHeight="1">
      <c r="A38" s="68">
        <v>36</v>
      </c>
      <c r="B38" s="18"/>
      <c r="C38" s="19"/>
      <c r="D38" s="19"/>
      <c r="E38" s="19"/>
      <c r="F38" s="19"/>
      <c r="G38" s="19"/>
      <c r="H38" s="69" t="str">
        <f>IF(C38="XXL (&gt;160h)",168,IF(C38="XL (&gt;40h)",48,IF(C38="L (20-40h)",30,IF(C38="M (10-20h)",15,IF(C38="S (&lt;10h)",5,"")))))</f>
        <v/>
      </c>
      <c r="I38" s="18"/>
      <c r="J38" s="67" t="str">
        <f>IF($E38="Q12027",COUNTIF($E$3:$E38,"Q12027"),"")</f>
        <v/>
      </c>
      <c r="K38" s="67" t="str">
        <f>IF($E38="Q22027",COUNTIF($E$3:$E38,"Q22027"),"")</f>
        <v/>
      </c>
      <c r="L38" s="67" t="str">
        <f>IF($E38="Q32027",COUNTIF($E$3:$E38,"Q32027"),"")</f>
        <v/>
      </c>
      <c r="M38" s="67" t="str">
        <f>IF($E38="Q42027",COUNTIF($E$3:$E38,"Q42027"),"")</f>
        <v/>
      </c>
      <c r="N38" s="67" t="str">
        <f>IF($E38="Backlog",COUNTIF($E$3:$E38,"Backlog"),"")</f>
        <v/>
      </c>
    </row>
    <row r="39" spans="1:14" ht="19.5" customHeight="1">
      <c r="A39" s="65">
        <v>37</v>
      </c>
      <c r="B39" s="16"/>
      <c r="C39" s="17"/>
      <c r="D39" s="17"/>
      <c r="E39" s="17"/>
      <c r="F39" s="17"/>
      <c r="G39" s="17"/>
      <c r="H39" s="66" t="str">
        <f>IF(C39="XXL (&gt;160h)",168,IF(C39="XL (&gt;40h)",48,IF(C39="L (20-40h)",30,IF(C39="M (10-20h)",15,IF(C39="S (&lt;10h)",5,"")))))</f>
        <v/>
      </c>
      <c r="I39" s="16"/>
      <c r="J39" s="67" t="str">
        <f>IF($E39="Q12027",COUNTIF($E$3:$E39,"Q12027"),"")</f>
        <v/>
      </c>
      <c r="K39" s="67" t="str">
        <f>IF($E39="Q22027",COUNTIF($E$3:$E39,"Q22027"),"")</f>
        <v/>
      </c>
      <c r="L39" s="67" t="str">
        <f>IF($E39="Q32027",COUNTIF($E$3:$E39,"Q32027"),"")</f>
        <v/>
      </c>
      <c r="M39" s="67" t="str">
        <f>IF($E39="Q42027",COUNTIF($E$3:$E39,"Q42027"),"")</f>
        <v/>
      </c>
      <c r="N39" s="67" t="str">
        <f>IF($E39="Backlog",COUNTIF($E$3:$E39,"Backlog"),"")</f>
        <v/>
      </c>
    </row>
    <row r="40" spans="1:14" ht="19.5" customHeight="1">
      <c r="A40" s="68">
        <v>38</v>
      </c>
      <c r="B40" s="18"/>
      <c r="C40" s="19"/>
      <c r="D40" s="19"/>
      <c r="E40" s="19"/>
      <c r="F40" s="19"/>
      <c r="G40" s="19"/>
      <c r="H40" s="69" t="str">
        <f>IF(C40="XXL (&gt;160h)",168,IF(C40="XL (&gt;40h)",48,IF(C40="L (20-40h)",30,IF(C40="M (10-20h)",15,IF(C40="S (&lt;10h)",5,"")))))</f>
        <v/>
      </c>
      <c r="I40" s="18"/>
      <c r="J40" s="67" t="str">
        <f>IF($E40="Q12027",COUNTIF($E$3:$E40,"Q12027"),"")</f>
        <v/>
      </c>
      <c r="K40" s="67" t="str">
        <f>IF($E40="Q22027",COUNTIF($E$3:$E40,"Q22027"),"")</f>
        <v/>
      </c>
      <c r="L40" s="67" t="str">
        <f>IF($E40="Q32027",COUNTIF($E$3:$E40,"Q32027"),"")</f>
        <v/>
      </c>
      <c r="M40" s="67" t="str">
        <f>IF($E40="Q42027",COUNTIF($E$3:$E40,"Q42027"),"")</f>
        <v/>
      </c>
      <c r="N40" s="67" t="str">
        <f>IF($E40="Backlog",COUNTIF($E$3:$E40,"Backlog"),"")</f>
        <v/>
      </c>
    </row>
    <row r="41" spans="1:14" ht="19.5" customHeight="1">
      <c r="A41" s="65">
        <v>39</v>
      </c>
      <c r="B41" s="16"/>
      <c r="C41" s="17"/>
      <c r="D41" s="17"/>
      <c r="E41" s="17"/>
      <c r="F41" s="17"/>
      <c r="G41" s="17"/>
      <c r="H41" s="66" t="str">
        <f>IF(C41="XXL (&gt;160h)",168,IF(C41="XL (&gt;40h)",48,IF(C41="L (20-40h)",30,IF(C41="M (10-20h)",15,IF(C41="S (&lt;10h)",5,"")))))</f>
        <v/>
      </c>
      <c r="I41" s="16"/>
      <c r="J41" s="67" t="str">
        <f>IF($E41="Q12027",COUNTIF($E$3:$E41,"Q12027"),"")</f>
        <v/>
      </c>
      <c r="K41" s="67" t="str">
        <f>IF($E41="Q22027",COUNTIF($E$3:$E41,"Q22027"),"")</f>
        <v/>
      </c>
      <c r="L41" s="67" t="str">
        <f>IF($E41="Q32027",COUNTIF($E$3:$E41,"Q32027"),"")</f>
        <v/>
      </c>
      <c r="M41" s="67" t="str">
        <f>IF($E41="Q42027",COUNTIF($E$3:$E41,"Q42027"),"")</f>
        <v/>
      </c>
      <c r="N41" s="67" t="str">
        <f>IF($E41="Backlog",COUNTIF($E$3:$E41,"Backlog"),"")</f>
        <v/>
      </c>
    </row>
    <row r="42" spans="1:14" ht="19.5" customHeight="1">
      <c r="A42" s="68">
        <v>40</v>
      </c>
      <c r="B42" s="18"/>
      <c r="C42" s="19"/>
      <c r="D42" s="19"/>
      <c r="E42" s="19"/>
      <c r="F42" s="19"/>
      <c r="G42" s="19"/>
      <c r="H42" s="69" t="str">
        <f>IF(C42="XXL (&gt;160h)",168,IF(C42="XL (&gt;40h)",48,IF(C42="L (20-40h)",30,IF(C42="M (10-20h)",15,IF(C42="S (&lt;10h)",5,"")))))</f>
        <v/>
      </c>
      <c r="I42" s="18"/>
      <c r="J42" s="67" t="str">
        <f>IF($E42="Q12027",COUNTIF($E$3:$E42,"Q12027"),"")</f>
        <v/>
      </c>
      <c r="K42" s="67" t="str">
        <f>IF($E42="Q22027",COUNTIF($E$3:$E42,"Q22027"),"")</f>
        <v/>
      </c>
      <c r="L42" s="67" t="str">
        <f>IF($E42="Q32027",COUNTIF($E$3:$E42,"Q32027"),"")</f>
        <v/>
      </c>
      <c r="M42" s="67" t="str">
        <f>IF($E42="Q42027",COUNTIF($E$3:$E42,"Q42027"),"")</f>
        <v/>
      </c>
      <c r="N42" s="67" t="str">
        <f>IF($E42="Backlog",COUNTIF($E$3:$E42,"Backlog"),"")</f>
        <v/>
      </c>
    </row>
    <row r="43" spans="1:14" ht="19.5" customHeight="1">
      <c r="A43" s="65">
        <v>41</v>
      </c>
      <c r="B43" s="16"/>
      <c r="C43" s="17"/>
      <c r="D43" s="17"/>
      <c r="E43" s="17"/>
      <c r="F43" s="17"/>
      <c r="G43" s="17"/>
      <c r="H43" s="66" t="str">
        <f>IF(C43="XXL (&gt;160h)",168,IF(C43="XL (&gt;40h)",48,IF(C43="L (20-40h)",30,IF(C43="M (10-20h)",15,IF(C43="S (&lt;10h)",5,"")))))</f>
        <v/>
      </c>
      <c r="I43" s="16"/>
      <c r="J43" s="67" t="str">
        <f>IF($E43="Q12027",COUNTIF($E$3:$E43,"Q12027"),"")</f>
        <v/>
      </c>
      <c r="K43" s="67" t="str">
        <f>IF($E43="Q22027",COUNTIF($E$3:$E43,"Q22027"),"")</f>
        <v/>
      </c>
      <c r="L43" s="67" t="str">
        <f>IF($E43="Q32027",COUNTIF($E$3:$E43,"Q32027"),"")</f>
        <v/>
      </c>
      <c r="M43" s="67" t="str">
        <f>IF($E43="Q42027",COUNTIF($E$3:$E43,"Q42027"),"")</f>
        <v/>
      </c>
      <c r="N43" s="67" t="str">
        <f>IF($E43="Backlog",COUNTIF($E$3:$E43,"Backlog"),"")</f>
        <v/>
      </c>
    </row>
    <row r="44" spans="1:14" ht="19.5" customHeight="1">
      <c r="A44" s="68">
        <v>42</v>
      </c>
      <c r="B44" s="18"/>
      <c r="C44" s="19"/>
      <c r="D44" s="19"/>
      <c r="E44" s="19"/>
      <c r="F44" s="19"/>
      <c r="G44" s="19"/>
      <c r="H44" s="69" t="str">
        <f>IF(C44="XXL (&gt;160h)",168,IF(C44="XL (&gt;40h)",48,IF(C44="L (20-40h)",30,IF(C44="M (10-20h)",15,IF(C44="S (&lt;10h)",5,"")))))</f>
        <v/>
      </c>
      <c r="I44" s="18"/>
      <c r="J44" s="67" t="str">
        <f>IF($E44="Q12027",COUNTIF($E$3:$E44,"Q12027"),"")</f>
        <v/>
      </c>
      <c r="K44" s="67" t="str">
        <f>IF($E44="Q22027",COUNTIF($E$3:$E44,"Q22027"),"")</f>
        <v/>
      </c>
      <c r="L44" s="67" t="str">
        <f>IF($E44="Q32027",COUNTIF($E$3:$E44,"Q32027"),"")</f>
        <v/>
      </c>
      <c r="M44" s="67" t="str">
        <f>IF($E44="Q42027",COUNTIF($E$3:$E44,"Q42027"),"")</f>
        <v/>
      </c>
      <c r="N44" s="67" t="str">
        <f>IF($E44="Backlog",COUNTIF($E$3:$E44,"Backlog"),"")</f>
        <v/>
      </c>
    </row>
    <row r="45" spans="1:14" ht="19.5" customHeight="1">
      <c r="A45" s="65">
        <v>43</v>
      </c>
      <c r="B45" s="16"/>
      <c r="C45" s="17"/>
      <c r="D45" s="17"/>
      <c r="E45" s="17"/>
      <c r="F45" s="17"/>
      <c r="G45" s="17"/>
      <c r="H45" s="66" t="str">
        <f>IF(C45="XXL (&gt;160h)",168,IF(C45="XL (&gt;40h)",48,IF(C45="L (20-40h)",30,IF(C45="M (10-20h)",15,IF(C45="S (&lt;10h)",5,"")))))</f>
        <v/>
      </c>
      <c r="I45" s="16"/>
      <c r="J45" s="67" t="str">
        <f>IF($E45="Q12027",COUNTIF($E$3:$E45,"Q12027"),"")</f>
        <v/>
      </c>
      <c r="K45" s="67" t="str">
        <f>IF($E45="Q22027",COUNTIF($E$3:$E45,"Q22027"),"")</f>
        <v/>
      </c>
      <c r="L45" s="67" t="str">
        <f>IF($E45="Q32027",COUNTIF($E$3:$E45,"Q32027"),"")</f>
        <v/>
      </c>
      <c r="M45" s="67" t="str">
        <f>IF($E45="Q42027",COUNTIF($E$3:$E45,"Q42027"),"")</f>
        <v/>
      </c>
      <c r="N45" s="67" t="str">
        <f>IF($E45="Backlog",COUNTIF($E$3:$E45,"Backlog"),"")</f>
        <v/>
      </c>
    </row>
    <row r="46" spans="1:14" ht="19.5" customHeight="1">
      <c r="A46" s="68">
        <v>44</v>
      </c>
      <c r="B46" s="18"/>
      <c r="C46" s="19"/>
      <c r="D46" s="19"/>
      <c r="E46" s="19"/>
      <c r="F46" s="19"/>
      <c r="G46" s="19"/>
      <c r="H46" s="69" t="str">
        <f>IF(C46="XXL (&gt;160h)",168,IF(C46="XL (&gt;40h)",48,IF(C46="L (20-40h)",30,IF(C46="M (10-20h)",15,IF(C46="S (&lt;10h)",5,"")))))</f>
        <v/>
      </c>
      <c r="I46" s="18"/>
      <c r="J46" s="67" t="str">
        <f>IF($E46="Q12027",COUNTIF($E$3:$E46,"Q12027"),"")</f>
        <v/>
      </c>
      <c r="K46" s="67" t="str">
        <f>IF($E46="Q22027",COUNTIF($E$3:$E46,"Q22027"),"")</f>
        <v/>
      </c>
      <c r="L46" s="67" t="str">
        <f>IF($E46="Q32027",COUNTIF($E$3:$E46,"Q32027"),"")</f>
        <v/>
      </c>
      <c r="M46" s="67" t="str">
        <f>IF($E46="Q42027",COUNTIF($E$3:$E46,"Q42027"),"")</f>
        <v/>
      </c>
      <c r="N46" s="67" t="str">
        <f>IF($E46="Backlog",COUNTIF($E$3:$E46,"Backlog"),"")</f>
        <v/>
      </c>
    </row>
    <row r="47" spans="1:14" ht="19.5" customHeight="1">
      <c r="A47" s="65">
        <v>45</v>
      </c>
      <c r="B47" s="16"/>
      <c r="C47" s="17"/>
      <c r="D47" s="17"/>
      <c r="E47" s="17"/>
      <c r="F47" s="17"/>
      <c r="G47" s="17"/>
      <c r="H47" s="66" t="str">
        <f>IF(C47="XXL (&gt;160h)",168,IF(C47="XL (&gt;40h)",48,IF(C47="L (20-40h)",30,IF(C47="M (10-20h)",15,IF(C47="S (&lt;10h)",5,"")))))</f>
        <v/>
      </c>
      <c r="I47" s="16"/>
      <c r="J47" s="67" t="str">
        <f>IF($E47="Q12027",COUNTIF($E$3:$E47,"Q12027"),"")</f>
        <v/>
      </c>
      <c r="K47" s="67" t="str">
        <f>IF($E47="Q22027",COUNTIF($E$3:$E47,"Q22027"),"")</f>
        <v/>
      </c>
      <c r="L47" s="67" t="str">
        <f>IF($E47="Q32027",COUNTIF($E$3:$E47,"Q32027"),"")</f>
        <v/>
      </c>
      <c r="M47" s="67" t="str">
        <f>IF($E47="Q42027",COUNTIF($E$3:$E47,"Q42027"),"")</f>
        <v/>
      </c>
      <c r="N47" s="67" t="str">
        <f>IF($E47="Backlog",COUNTIF($E$3:$E47,"Backlog"),"")</f>
        <v/>
      </c>
    </row>
    <row r="48" spans="1:14" ht="19.5" customHeight="1">
      <c r="A48" s="68">
        <v>46</v>
      </c>
      <c r="B48" s="18"/>
      <c r="C48" s="19"/>
      <c r="D48" s="19"/>
      <c r="E48" s="19"/>
      <c r="F48" s="19"/>
      <c r="G48" s="19"/>
      <c r="H48" s="69" t="str">
        <f>IF(C48="XXL (&gt;160h)",168,IF(C48="XL (&gt;40h)",48,IF(C48="L (20-40h)",30,IF(C48="M (10-20h)",15,IF(C48="S (&lt;10h)",5,"")))))</f>
        <v/>
      </c>
      <c r="I48" s="18"/>
      <c r="J48" s="67" t="str">
        <f>IF($E48="Q12027",COUNTIF($E$3:$E48,"Q12027"),"")</f>
        <v/>
      </c>
      <c r="K48" s="67" t="str">
        <f>IF($E48="Q22027",COUNTIF($E$3:$E48,"Q22027"),"")</f>
        <v/>
      </c>
      <c r="L48" s="67" t="str">
        <f>IF($E48="Q32027",COUNTIF($E$3:$E48,"Q32027"),"")</f>
        <v/>
      </c>
      <c r="M48" s="67" t="str">
        <f>IF($E48="Q42027",COUNTIF($E$3:$E48,"Q42027"),"")</f>
        <v/>
      </c>
      <c r="N48" s="67" t="str">
        <f>IF($E48="Backlog",COUNTIF($E$3:$E48,"Backlog"),"")</f>
        <v/>
      </c>
    </row>
    <row r="49" spans="1:14" ht="19.5" customHeight="1">
      <c r="A49" s="65">
        <v>47</v>
      </c>
      <c r="B49" s="16"/>
      <c r="C49" s="17"/>
      <c r="D49" s="17"/>
      <c r="E49" s="17"/>
      <c r="F49" s="17"/>
      <c r="G49" s="17"/>
      <c r="H49" s="66" t="str">
        <f>IF(C49="XXL (&gt;160h)",168,IF(C49="XL (&gt;40h)",48,IF(C49="L (20-40h)",30,IF(C49="M (10-20h)",15,IF(C49="S (&lt;10h)",5,"")))))</f>
        <v/>
      </c>
      <c r="I49" s="16"/>
      <c r="J49" s="67" t="str">
        <f>IF($E49="Q12027",COUNTIF($E$3:$E49,"Q12027"),"")</f>
        <v/>
      </c>
      <c r="K49" s="67" t="str">
        <f>IF($E49="Q22027",COUNTIF($E$3:$E49,"Q22027"),"")</f>
        <v/>
      </c>
      <c r="L49" s="67" t="str">
        <f>IF($E49="Q32027",COUNTIF($E$3:$E49,"Q32027"),"")</f>
        <v/>
      </c>
      <c r="M49" s="67" t="str">
        <f>IF($E49="Q42027",COUNTIF($E$3:$E49,"Q42027"),"")</f>
        <v/>
      </c>
      <c r="N49" s="67" t="str">
        <f>IF($E49="Backlog",COUNTIF($E$3:$E49,"Backlog"),"")</f>
        <v/>
      </c>
    </row>
    <row r="50" spans="1:14" ht="19.5" customHeight="1">
      <c r="A50" s="68">
        <v>48</v>
      </c>
      <c r="B50" s="18"/>
      <c r="C50" s="19"/>
      <c r="D50" s="19"/>
      <c r="E50" s="19"/>
      <c r="F50" s="19"/>
      <c r="G50" s="19"/>
      <c r="H50" s="69" t="str">
        <f>IF(C50="XXL (&gt;160h)",168,IF(C50="XL (&gt;40h)",48,IF(C50="L (20-40h)",30,IF(C50="M (10-20h)",15,IF(C50="S (&lt;10h)",5,"")))))</f>
        <v/>
      </c>
      <c r="I50" s="18"/>
      <c r="J50" s="67" t="str">
        <f>IF($E50="Q12027",COUNTIF($E$3:$E50,"Q12027"),"")</f>
        <v/>
      </c>
      <c r="K50" s="67" t="str">
        <f>IF($E50="Q22027",COUNTIF($E$3:$E50,"Q22027"),"")</f>
        <v/>
      </c>
      <c r="L50" s="67" t="str">
        <f>IF($E50="Q32027",COUNTIF($E$3:$E50,"Q32027"),"")</f>
        <v/>
      </c>
      <c r="M50" s="67" t="str">
        <f>IF($E50="Q42027",COUNTIF($E$3:$E50,"Q42027"),"")</f>
        <v/>
      </c>
      <c r="N50" s="67" t="str">
        <f>IF($E50="Backlog",COUNTIF($E$3:$E50,"Backlog"),"")</f>
        <v/>
      </c>
    </row>
    <row r="51" spans="1:14" ht="19.5" customHeight="1">
      <c r="A51" s="65">
        <v>49</v>
      </c>
      <c r="B51" s="16"/>
      <c r="C51" s="17"/>
      <c r="D51" s="17"/>
      <c r="E51" s="17"/>
      <c r="F51" s="17"/>
      <c r="G51" s="17"/>
      <c r="H51" s="66" t="str">
        <f>IF(C51="XXL (&gt;160h)",168,IF(C51="XL (&gt;40h)",48,IF(C51="L (20-40h)",30,IF(C51="M (10-20h)",15,IF(C51="S (&lt;10h)",5,"")))))</f>
        <v/>
      </c>
      <c r="I51" s="16"/>
      <c r="J51" s="67" t="str">
        <f>IF($E51="Q12027",COUNTIF($E$3:$E51,"Q12027"),"")</f>
        <v/>
      </c>
      <c r="K51" s="67" t="str">
        <f>IF($E51="Q22027",COUNTIF($E$3:$E51,"Q22027"),"")</f>
        <v/>
      </c>
      <c r="L51" s="67" t="str">
        <f>IF($E51="Q32027",COUNTIF($E$3:$E51,"Q32027"),"")</f>
        <v/>
      </c>
      <c r="M51" s="67" t="str">
        <f>IF($E51="Q42027",COUNTIF($E$3:$E51,"Q42027"),"")</f>
        <v/>
      </c>
      <c r="N51" s="67" t="str">
        <f>IF($E51="Backlog",COUNTIF($E$3:$E51,"Backlog"),"")</f>
        <v/>
      </c>
    </row>
    <row r="52" spans="1:14" ht="19.5" customHeight="1">
      <c r="A52" s="68">
        <v>50</v>
      </c>
      <c r="B52" s="18"/>
      <c r="C52" s="19"/>
      <c r="D52" s="19"/>
      <c r="E52" s="19"/>
      <c r="F52" s="19"/>
      <c r="G52" s="19"/>
      <c r="H52" s="69" t="str">
        <f>IF(C52="XXL (&gt;160h)",168,IF(C52="XL (&gt;40h)",48,IF(C52="L (20-40h)",30,IF(C52="M (10-20h)",15,IF(C52="S (&lt;10h)",5,"")))))</f>
        <v/>
      </c>
      <c r="I52" s="18"/>
      <c r="J52" s="67" t="str">
        <f>IF($E52="Q12027",COUNTIF($E$3:$E52,"Q12027"),"")</f>
        <v/>
      </c>
      <c r="K52" s="67" t="str">
        <f>IF($E52="Q22027",COUNTIF($E$3:$E52,"Q22027"),"")</f>
        <v/>
      </c>
      <c r="L52" s="67" t="str">
        <f>IF($E52="Q32027",COUNTIF($E$3:$E52,"Q32027"),"")</f>
        <v/>
      </c>
      <c r="M52" s="67" t="str">
        <f>IF($E52="Q42027",COUNTIF($E$3:$E52,"Q42027"),"")</f>
        <v/>
      </c>
      <c r="N52" s="67" t="str">
        <f>IF($E52="Backlog",COUNTIF($E$3:$E52,"Backlog"),"")</f>
        <v/>
      </c>
    </row>
    <row r="53" spans="1:14" ht="19.5" customHeight="1">
      <c r="A53" s="65">
        <v>51</v>
      </c>
      <c r="B53" s="16"/>
      <c r="C53" s="17"/>
      <c r="D53" s="17"/>
      <c r="E53" s="17"/>
      <c r="F53" s="17"/>
      <c r="G53" s="17"/>
      <c r="H53" s="66" t="str">
        <f>IF(C53="XXL (&gt;160h)",168,IF(C53="XL (&gt;40h)",48,IF(C53="L (20-40h)",30,IF(C53="M (10-20h)",15,IF(C53="S (&lt;10h)",5,"")))))</f>
        <v/>
      </c>
      <c r="I53" s="16"/>
      <c r="J53" s="67" t="str">
        <f>IF($E53="Q12027",COUNTIF($E$3:$E53,"Q12027"),"")</f>
        <v/>
      </c>
      <c r="K53" s="67" t="str">
        <f>IF($E53="Q22027",COUNTIF($E$3:$E53,"Q22027"),"")</f>
        <v/>
      </c>
      <c r="L53" s="67" t="str">
        <f>IF($E53="Q32027",COUNTIF($E$3:$E53,"Q32027"),"")</f>
        <v/>
      </c>
      <c r="M53" s="67" t="str">
        <f>IF($E53="Q42027",COUNTIF($E$3:$E53,"Q42027"),"")</f>
        <v/>
      </c>
      <c r="N53" s="67" t="str">
        <f>IF($E53="Backlog",COUNTIF($E$3:$E53,"Backlog"),"")</f>
        <v/>
      </c>
    </row>
    <row r="54" spans="1:14" ht="19.5" customHeight="1">
      <c r="A54" s="68">
        <v>52</v>
      </c>
      <c r="B54" s="18"/>
      <c r="C54" s="19"/>
      <c r="D54" s="19"/>
      <c r="E54" s="19"/>
      <c r="F54" s="19"/>
      <c r="G54" s="19"/>
      <c r="H54" s="69" t="str">
        <f>IF(C54="XXL (&gt;160h)",168,IF(C54="XL (&gt;40h)",48,IF(C54="L (20-40h)",30,IF(C54="M (10-20h)",15,IF(C54="S (&lt;10h)",5,"")))))</f>
        <v/>
      </c>
      <c r="I54" s="18"/>
      <c r="J54" s="67" t="str">
        <f>IF($E54="Q12027",COUNTIF($E$3:$E54,"Q12027"),"")</f>
        <v/>
      </c>
      <c r="K54" s="67" t="str">
        <f>IF($E54="Q22027",COUNTIF($E$3:$E54,"Q22027"),"")</f>
        <v/>
      </c>
      <c r="L54" s="67" t="str">
        <f>IF($E54="Q32027",COUNTIF($E$3:$E54,"Q32027"),"")</f>
        <v/>
      </c>
      <c r="M54" s="67" t="str">
        <f>IF($E54="Q42027",COUNTIF($E$3:$E54,"Q42027"),"")</f>
        <v/>
      </c>
      <c r="N54" s="67" t="str">
        <f>IF($E54="Backlog",COUNTIF($E$3:$E54,"Backlog"),"")</f>
        <v/>
      </c>
    </row>
    <row r="55" spans="1:14" ht="19.5" customHeight="1">
      <c r="A55" s="65">
        <v>53</v>
      </c>
      <c r="B55" s="16"/>
      <c r="C55" s="17"/>
      <c r="D55" s="17"/>
      <c r="E55" s="17"/>
      <c r="F55" s="17"/>
      <c r="G55" s="17"/>
      <c r="H55" s="66" t="str">
        <f>IF(C55="XXL (&gt;160h)",168,IF(C55="XL (&gt;40h)",48,IF(C55="L (20-40h)",30,IF(C55="M (10-20h)",15,IF(C55="S (&lt;10h)",5,"")))))</f>
        <v/>
      </c>
      <c r="I55" s="16"/>
      <c r="J55" s="67" t="str">
        <f>IF($E55="Q12027",COUNTIF($E$3:$E55,"Q12027"),"")</f>
        <v/>
      </c>
      <c r="K55" s="67" t="str">
        <f>IF($E55="Q22027",COUNTIF($E$3:$E55,"Q22027"),"")</f>
        <v/>
      </c>
      <c r="L55" s="67" t="str">
        <f>IF($E55="Q32027",COUNTIF($E$3:$E55,"Q32027"),"")</f>
        <v/>
      </c>
      <c r="M55" s="67" t="str">
        <f>IF($E55="Q42027",COUNTIF($E$3:$E55,"Q42027"),"")</f>
        <v/>
      </c>
      <c r="N55" s="67" t="str">
        <f>IF($E55="Backlog",COUNTIF($E$3:$E55,"Backlog"),"")</f>
        <v/>
      </c>
    </row>
    <row r="56" spans="1:14" ht="19.5" customHeight="1">
      <c r="A56" s="68">
        <v>54</v>
      </c>
      <c r="B56" s="18"/>
      <c r="C56" s="19"/>
      <c r="D56" s="19"/>
      <c r="E56" s="19"/>
      <c r="F56" s="19"/>
      <c r="G56" s="19"/>
      <c r="H56" s="69" t="str">
        <f>IF(C56="XXL (&gt;160h)",168,IF(C56="XL (&gt;40h)",48,IF(C56="L (20-40h)",30,IF(C56="M (10-20h)",15,IF(C56="S (&lt;10h)",5,"")))))</f>
        <v/>
      </c>
      <c r="I56" s="18"/>
      <c r="J56" s="67" t="str">
        <f>IF($E56="Q12027",COUNTIF($E$3:$E56,"Q12027"),"")</f>
        <v/>
      </c>
      <c r="K56" s="67" t="str">
        <f>IF($E56="Q22027",COUNTIF($E$3:$E56,"Q22027"),"")</f>
        <v/>
      </c>
      <c r="L56" s="67" t="str">
        <f>IF($E56="Q32027",COUNTIF($E$3:$E56,"Q32027"),"")</f>
        <v/>
      </c>
      <c r="M56" s="67" t="str">
        <f>IF($E56="Q42027",COUNTIF($E$3:$E56,"Q42027"),"")</f>
        <v/>
      </c>
      <c r="N56" s="67" t="str">
        <f>IF($E56="Backlog",COUNTIF($E$3:$E56,"Backlog"),"")</f>
        <v/>
      </c>
    </row>
    <row r="57" spans="1:14" ht="19.5" customHeight="1">
      <c r="A57" s="65">
        <v>55</v>
      </c>
      <c r="B57" s="16"/>
      <c r="C57" s="17"/>
      <c r="D57" s="17"/>
      <c r="E57" s="17"/>
      <c r="F57" s="17"/>
      <c r="G57" s="17"/>
      <c r="H57" s="66" t="str">
        <f>IF(C57="XXL (&gt;160h)",168,IF(C57="XL (&gt;40h)",48,IF(C57="L (20-40h)",30,IF(C57="M (10-20h)",15,IF(C57="S (&lt;10h)",5,"")))))</f>
        <v/>
      </c>
      <c r="I57" s="16"/>
      <c r="J57" s="67" t="str">
        <f>IF($E57="Q12027",COUNTIF($E$3:$E57,"Q12027"),"")</f>
        <v/>
      </c>
      <c r="K57" s="67" t="str">
        <f>IF($E57="Q22027",COUNTIF($E$3:$E57,"Q22027"),"")</f>
        <v/>
      </c>
      <c r="L57" s="67" t="str">
        <f>IF($E57="Q32027",COUNTIF($E$3:$E57,"Q32027"),"")</f>
        <v/>
      </c>
      <c r="M57" s="67" t="str">
        <f>IF($E57="Q42027",COUNTIF($E$3:$E57,"Q42027"),"")</f>
        <v/>
      </c>
      <c r="N57" s="67" t="str">
        <f>IF($E57="Backlog",COUNTIF($E$3:$E57,"Backlog"),"")</f>
        <v/>
      </c>
    </row>
    <row r="58" spans="1:14" ht="19.5" customHeight="1">
      <c r="A58" s="68">
        <v>56</v>
      </c>
      <c r="B58" s="18"/>
      <c r="C58" s="19"/>
      <c r="D58" s="19"/>
      <c r="E58" s="19"/>
      <c r="F58" s="19"/>
      <c r="G58" s="19"/>
      <c r="H58" s="69" t="str">
        <f>IF(C58="XXL (&gt;160h)",168,IF(C58="XL (&gt;40h)",48,IF(C58="L (20-40h)",30,IF(C58="M (10-20h)",15,IF(C58="S (&lt;10h)",5,"")))))</f>
        <v/>
      </c>
      <c r="I58" s="18"/>
      <c r="J58" s="67" t="str">
        <f>IF($E58="Q12027",COUNTIF($E$3:$E58,"Q12027"),"")</f>
        <v/>
      </c>
      <c r="K58" s="67" t="str">
        <f>IF($E58="Q22027",COUNTIF($E$3:$E58,"Q22027"),"")</f>
        <v/>
      </c>
      <c r="L58" s="67" t="str">
        <f>IF($E58="Q32027",COUNTIF($E$3:$E58,"Q32027"),"")</f>
        <v/>
      </c>
      <c r="M58" s="67" t="str">
        <f>IF($E58="Q42027",COUNTIF($E$3:$E58,"Q42027"),"")</f>
        <v/>
      </c>
      <c r="N58" s="67" t="str">
        <f>IF($E58="Backlog",COUNTIF($E$3:$E58,"Backlog"),"")</f>
        <v/>
      </c>
    </row>
    <row r="59" spans="1:14" ht="19.5" customHeight="1">
      <c r="A59" s="65">
        <v>57</v>
      </c>
      <c r="B59" s="16"/>
      <c r="C59" s="17"/>
      <c r="D59" s="17"/>
      <c r="E59" s="17"/>
      <c r="F59" s="17"/>
      <c r="G59" s="17"/>
      <c r="H59" s="66" t="str">
        <f>IF(C59="XXL (&gt;160h)",168,IF(C59="XL (&gt;40h)",48,IF(C59="L (20-40h)",30,IF(C59="M (10-20h)",15,IF(C59="S (&lt;10h)",5,"")))))</f>
        <v/>
      </c>
      <c r="I59" s="16"/>
      <c r="J59" s="67" t="str">
        <f>IF($E59="Q12027",COUNTIF($E$3:$E59,"Q12027"),"")</f>
        <v/>
      </c>
      <c r="K59" s="67" t="str">
        <f>IF($E59="Q22027",COUNTIF($E$3:$E59,"Q22027"),"")</f>
        <v/>
      </c>
      <c r="L59" s="67" t="str">
        <f>IF($E59="Q32027",COUNTIF($E$3:$E59,"Q32027"),"")</f>
        <v/>
      </c>
      <c r="M59" s="67" t="str">
        <f>IF($E59="Q42027",COUNTIF($E$3:$E59,"Q42027"),"")</f>
        <v/>
      </c>
      <c r="N59" s="67" t="str">
        <f>IF($E59="Backlog",COUNTIF($E$3:$E59,"Backlog"),"")</f>
        <v/>
      </c>
    </row>
    <row r="60" spans="1:14" ht="19.5" customHeight="1">
      <c r="A60" s="68">
        <v>58</v>
      </c>
      <c r="B60" s="18"/>
      <c r="C60" s="19"/>
      <c r="D60" s="19"/>
      <c r="E60" s="19"/>
      <c r="F60" s="19"/>
      <c r="G60" s="19"/>
      <c r="H60" s="69" t="str">
        <f>IF(C60="XXL (&gt;160h)",168,IF(C60="XL (&gt;40h)",48,IF(C60="L (20-40h)",30,IF(C60="M (10-20h)",15,IF(C60="S (&lt;10h)",5,"")))))</f>
        <v/>
      </c>
      <c r="I60" s="18"/>
      <c r="J60" s="67" t="str">
        <f>IF($E60="Q12027",COUNTIF($E$3:$E60,"Q12027"),"")</f>
        <v/>
      </c>
      <c r="K60" s="67" t="str">
        <f>IF($E60="Q22027",COUNTIF($E$3:$E60,"Q22027"),"")</f>
        <v/>
      </c>
      <c r="L60" s="67" t="str">
        <f>IF($E60="Q32027",COUNTIF($E$3:$E60,"Q32027"),"")</f>
        <v/>
      </c>
      <c r="M60" s="67" t="str">
        <f>IF($E60="Q42027",COUNTIF($E$3:$E60,"Q42027"),"")</f>
        <v/>
      </c>
      <c r="N60" s="67" t="str">
        <f>IF($E60="Backlog",COUNTIF($E$3:$E60,"Backlog"),"")</f>
        <v/>
      </c>
    </row>
    <row r="61" spans="1:14" ht="19.5" customHeight="1">
      <c r="A61" s="65">
        <v>59</v>
      </c>
      <c r="B61" s="16"/>
      <c r="C61" s="17"/>
      <c r="D61" s="17"/>
      <c r="E61" s="17"/>
      <c r="F61" s="17"/>
      <c r="G61" s="17"/>
      <c r="H61" s="66" t="str">
        <f>IF(C61="XXL (&gt;160h)",168,IF(C61="XL (&gt;40h)",48,IF(C61="L (20-40h)",30,IF(C61="M (10-20h)",15,IF(C61="S (&lt;10h)",5,"")))))</f>
        <v/>
      </c>
      <c r="I61" s="16"/>
      <c r="J61" s="67" t="str">
        <f>IF($E61="Q12027",COUNTIF($E$3:$E61,"Q12027"),"")</f>
        <v/>
      </c>
      <c r="K61" s="67" t="str">
        <f>IF($E61="Q22027",COUNTIF($E$3:$E61,"Q22027"),"")</f>
        <v/>
      </c>
      <c r="L61" s="67" t="str">
        <f>IF($E61="Q32027",COUNTIF($E$3:$E61,"Q32027"),"")</f>
        <v/>
      </c>
      <c r="M61" s="67" t="str">
        <f>IF($E61="Q42027",COUNTIF($E$3:$E61,"Q42027"),"")</f>
        <v/>
      </c>
      <c r="N61" s="67" t="str">
        <f>IF($E61="Backlog",COUNTIF($E$3:$E61,"Backlog"),"")</f>
        <v/>
      </c>
    </row>
    <row r="62" spans="1:14" ht="19.5" customHeight="1">
      <c r="A62" s="68">
        <v>60</v>
      </c>
      <c r="B62" s="18"/>
      <c r="C62" s="19"/>
      <c r="D62" s="19"/>
      <c r="E62" s="19"/>
      <c r="F62" s="19"/>
      <c r="G62" s="19"/>
      <c r="H62" s="69" t="str">
        <f>IF(C62="XXL (&gt;160h)",168,IF(C62="XL (&gt;40h)",48,IF(C62="L (20-40h)",30,IF(C62="M (10-20h)",15,IF(C62="S (&lt;10h)",5,"")))))</f>
        <v/>
      </c>
      <c r="I62" s="18"/>
      <c r="J62" s="67" t="str">
        <f>IF($E62="Q12027",COUNTIF($E$3:$E62,"Q12027"),"")</f>
        <v/>
      </c>
      <c r="K62" s="67" t="str">
        <f>IF($E62="Q22027",COUNTIF($E$3:$E62,"Q22027"),"")</f>
        <v/>
      </c>
      <c r="L62" s="67" t="str">
        <f>IF($E62="Q32027",COUNTIF($E$3:$E62,"Q32027"),"")</f>
        <v/>
      </c>
      <c r="M62" s="67" t="str">
        <f>IF($E62="Q42027",COUNTIF($E$3:$E62,"Q42027"),"")</f>
        <v/>
      </c>
      <c r="N62" s="67" t="str">
        <f>IF($E62="Backlog",COUNTIF($E$3:$E62,"Backlog"),"")</f>
        <v/>
      </c>
    </row>
    <row r="63" spans="1:14" ht="19.5" customHeight="1">
      <c r="A63" s="65">
        <v>61</v>
      </c>
      <c r="B63" s="16"/>
      <c r="C63" s="17"/>
      <c r="D63" s="17"/>
      <c r="E63" s="17"/>
      <c r="F63" s="17"/>
      <c r="G63" s="17"/>
      <c r="H63" s="66" t="str">
        <f>IF(C63="XXL (&gt;160h)",168,IF(C63="XL (&gt;40h)",48,IF(C63="L (20-40h)",30,IF(C63="M (10-20h)",15,IF(C63="S (&lt;10h)",5,"")))))</f>
        <v/>
      </c>
      <c r="I63" s="16"/>
      <c r="J63" s="67" t="str">
        <f>IF($E63="Q12027",COUNTIF($E$3:$E63,"Q12027"),"")</f>
        <v/>
      </c>
      <c r="K63" s="67" t="str">
        <f>IF($E63="Q22027",COUNTIF($E$3:$E63,"Q22027"),"")</f>
        <v/>
      </c>
      <c r="L63" s="67" t="str">
        <f>IF($E63="Q32027",COUNTIF($E$3:$E63,"Q32027"),"")</f>
        <v/>
      </c>
      <c r="M63" s="67" t="str">
        <f>IF($E63="Q42027",COUNTIF($E$3:$E63,"Q42027"),"")</f>
        <v/>
      </c>
      <c r="N63" s="67" t="str">
        <f>IF($E63="Backlog",COUNTIF($E$3:$E63,"Backlog"),"")</f>
        <v/>
      </c>
    </row>
    <row r="64" spans="1:14" ht="19.5" customHeight="1">
      <c r="A64" s="68">
        <v>62</v>
      </c>
      <c r="B64" s="18"/>
      <c r="C64" s="19"/>
      <c r="D64" s="19"/>
      <c r="E64" s="19"/>
      <c r="F64" s="19"/>
      <c r="G64" s="19"/>
      <c r="H64" s="69" t="str">
        <f>IF(C64="XXL (&gt;160h)",168,IF(C64="XL (&gt;40h)",48,IF(C64="L (20-40h)",30,IF(C64="M (10-20h)",15,IF(C64="S (&lt;10h)",5,"")))))</f>
        <v/>
      </c>
      <c r="I64" s="18"/>
      <c r="J64" s="67" t="str">
        <f>IF($E64="Q12027",COUNTIF($E$3:$E64,"Q12027"),"")</f>
        <v/>
      </c>
      <c r="K64" s="67" t="str">
        <f>IF($E64="Q22027",COUNTIF($E$3:$E64,"Q22027"),"")</f>
        <v/>
      </c>
      <c r="L64" s="67" t="str">
        <f>IF($E64="Q32027",COUNTIF($E$3:$E64,"Q32027"),"")</f>
        <v/>
      </c>
      <c r="M64" s="67" t="str">
        <f>IF($E64="Q42027",COUNTIF($E$3:$E64,"Q42027"),"")</f>
        <v/>
      </c>
      <c r="N64" s="67" t="str">
        <f>IF($E64="Backlog",COUNTIF($E$3:$E64,"Backlog"),"")</f>
        <v/>
      </c>
    </row>
    <row r="65" spans="1:14" ht="19.5" customHeight="1">
      <c r="A65" s="65">
        <v>63</v>
      </c>
      <c r="B65" s="16"/>
      <c r="C65" s="17"/>
      <c r="D65" s="17"/>
      <c r="E65" s="17"/>
      <c r="F65" s="17"/>
      <c r="G65" s="17"/>
      <c r="H65" s="66" t="str">
        <f>IF(C65="XXL (&gt;160h)",168,IF(C65="XL (&gt;40h)",48,IF(C65="L (20-40h)",30,IF(C65="M (10-20h)",15,IF(C65="S (&lt;10h)",5,"")))))</f>
        <v/>
      </c>
      <c r="I65" s="16"/>
      <c r="J65" s="67" t="str">
        <f>IF($E65="Q12027",COUNTIF($E$3:$E65,"Q12027"),"")</f>
        <v/>
      </c>
      <c r="K65" s="67" t="str">
        <f>IF($E65="Q22027",COUNTIF($E$3:$E65,"Q22027"),"")</f>
        <v/>
      </c>
      <c r="L65" s="67" t="str">
        <f>IF($E65="Q32027",COUNTIF($E$3:$E65,"Q32027"),"")</f>
        <v/>
      </c>
      <c r="M65" s="67" t="str">
        <f>IF($E65="Q42027",COUNTIF($E$3:$E65,"Q42027"),"")</f>
        <v/>
      </c>
      <c r="N65" s="67" t="str">
        <f>IF($E65="Backlog",COUNTIF($E$3:$E65,"Backlog"),"")</f>
        <v/>
      </c>
    </row>
    <row r="66" spans="1:14" ht="19.5" customHeight="1">
      <c r="A66" s="68">
        <v>64</v>
      </c>
      <c r="B66" s="18"/>
      <c r="C66" s="19"/>
      <c r="D66" s="19"/>
      <c r="E66" s="19"/>
      <c r="F66" s="19"/>
      <c r="G66" s="19"/>
      <c r="H66" s="69" t="str">
        <f>IF(C66="XXL (&gt;160h)",168,IF(C66="XL (&gt;40h)",48,IF(C66="L (20-40h)",30,IF(C66="M (10-20h)",15,IF(C66="S (&lt;10h)",5,"")))))</f>
        <v/>
      </c>
      <c r="I66" s="18"/>
      <c r="J66" s="67" t="str">
        <f>IF($E66="Q12027",COUNTIF($E$3:$E66,"Q12027"),"")</f>
        <v/>
      </c>
      <c r="K66" s="67" t="str">
        <f>IF($E66="Q22027",COUNTIF($E$3:$E66,"Q22027"),"")</f>
        <v/>
      </c>
      <c r="L66" s="67" t="str">
        <f>IF($E66="Q32027",COUNTIF($E$3:$E66,"Q32027"),"")</f>
        <v/>
      </c>
      <c r="M66" s="67" t="str">
        <f>IF($E66="Q42027",COUNTIF($E$3:$E66,"Q42027"),"")</f>
        <v/>
      </c>
      <c r="N66" s="67" t="str">
        <f>IF($E66="Backlog",COUNTIF($E$3:$E66,"Backlog"),"")</f>
        <v/>
      </c>
    </row>
    <row r="67" spans="1:14" ht="19.5" customHeight="1">
      <c r="A67" s="65">
        <v>65</v>
      </c>
      <c r="B67" s="16"/>
      <c r="C67" s="17"/>
      <c r="D67" s="17"/>
      <c r="E67" s="17"/>
      <c r="F67" s="17"/>
      <c r="G67" s="17"/>
      <c r="H67" s="66" t="str">
        <f>IF(C67="XXL (&gt;160h)",168,IF(C67="XL (&gt;40h)",48,IF(C67="L (20-40h)",30,IF(C67="M (10-20h)",15,IF(C67="S (&lt;10h)",5,"")))))</f>
        <v/>
      </c>
      <c r="I67" s="16"/>
      <c r="J67" s="67" t="str">
        <f>IF($E67="Q12027",COUNTIF($E$3:$E67,"Q12027"),"")</f>
        <v/>
      </c>
      <c r="K67" s="67" t="str">
        <f>IF($E67="Q22027",COUNTIF($E$3:$E67,"Q22027"),"")</f>
        <v/>
      </c>
      <c r="L67" s="67" t="str">
        <f>IF($E67="Q32027",COUNTIF($E$3:$E67,"Q32027"),"")</f>
        <v/>
      </c>
      <c r="M67" s="67" t="str">
        <f>IF($E67="Q42027",COUNTIF($E$3:$E67,"Q42027"),"")</f>
        <v/>
      </c>
      <c r="N67" s="67" t="str">
        <f>IF($E67="Backlog",COUNTIF($E$3:$E67,"Backlog"),"")</f>
        <v/>
      </c>
    </row>
    <row r="68" spans="1:14" ht="19.5" customHeight="1">
      <c r="A68" s="68">
        <v>66</v>
      </c>
      <c r="B68" s="18"/>
      <c r="C68" s="19"/>
      <c r="D68" s="19"/>
      <c r="E68" s="19"/>
      <c r="F68" s="19"/>
      <c r="G68" s="19"/>
      <c r="H68" s="69" t="str">
        <f>IF(C68="XXL (&gt;160h)",168,IF(C68="XL (&gt;40h)",48,IF(C68="L (20-40h)",30,IF(C68="M (10-20h)",15,IF(C68="S (&lt;10h)",5,"")))))</f>
        <v/>
      </c>
      <c r="I68" s="18"/>
      <c r="J68" s="67" t="str">
        <f>IF($E68="Q12027",COUNTIF($E$3:$E68,"Q12027"),"")</f>
        <v/>
      </c>
      <c r="K68" s="67" t="str">
        <f>IF($E68="Q22027",COUNTIF($E$3:$E68,"Q22027"),"")</f>
        <v/>
      </c>
      <c r="L68" s="67" t="str">
        <f>IF($E68="Q32027",COUNTIF($E$3:$E68,"Q32027"),"")</f>
        <v/>
      </c>
      <c r="M68" s="67" t="str">
        <f>IF($E68="Q42027",COUNTIF($E$3:$E68,"Q42027"),"")</f>
        <v/>
      </c>
      <c r="N68" s="67" t="str">
        <f>IF($E68="Backlog",COUNTIF($E$3:$E68,"Backlog"),"")</f>
        <v/>
      </c>
    </row>
    <row r="69" spans="1:14" ht="19.5" customHeight="1">
      <c r="A69" s="65">
        <v>67</v>
      </c>
      <c r="B69" s="16"/>
      <c r="C69" s="17"/>
      <c r="D69" s="17"/>
      <c r="E69" s="17"/>
      <c r="F69" s="17"/>
      <c r="G69" s="17"/>
      <c r="H69" s="66" t="str">
        <f>IF(C69="XXL (&gt;160h)",168,IF(C69="XL (&gt;40h)",48,IF(C69="L (20-40h)",30,IF(C69="M (10-20h)",15,IF(C69="S (&lt;10h)",5,"")))))</f>
        <v/>
      </c>
      <c r="I69" s="16"/>
      <c r="J69" s="67" t="str">
        <f>IF($E69="Q12027",COUNTIF($E$3:$E69,"Q12027"),"")</f>
        <v/>
      </c>
      <c r="K69" s="67" t="str">
        <f>IF($E69="Q22027",COUNTIF($E$3:$E69,"Q22027"),"")</f>
        <v/>
      </c>
      <c r="L69" s="67" t="str">
        <f>IF($E69="Q32027",COUNTIF($E$3:$E69,"Q32027"),"")</f>
        <v/>
      </c>
      <c r="M69" s="67" t="str">
        <f>IF($E69="Q42027",COUNTIF($E$3:$E69,"Q42027"),"")</f>
        <v/>
      </c>
      <c r="N69" s="67" t="str">
        <f>IF($E69="Backlog",COUNTIF($E$3:$E69,"Backlog"),"")</f>
        <v/>
      </c>
    </row>
    <row r="70" spans="1:14" ht="19.5" customHeight="1">
      <c r="A70" s="68">
        <v>68</v>
      </c>
      <c r="B70" s="18"/>
      <c r="C70" s="19"/>
      <c r="D70" s="19"/>
      <c r="E70" s="19"/>
      <c r="F70" s="19"/>
      <c r="G70" s="19"/>
      <c r="H70" s="69" t="str">
        <f>IF(C70="XXL (&gt;160h)",168,IF(C70="XL (&gt;40h)",48,IF(C70="L (20-40h)",30,IF(C70="M (10-20h)",15,IF(C70="S (&lt;10h)",5,"")))))</f>
        <v/>
      </c>
      <c r="I70" s="18"/>
      <c r="J70" s="67" t="str">
        <f>IF($E70="Q12027",COUNTIF($E$3:$E70,"Q12027"),"")</f>
        <v/>
      </c>
      <c r="K70" s="67" t="str">
        <f>IF($E70="Q22027",COUNTIF($E$3:$E70,"Q22027"),"")</f>
        <v/>
      </c>
      <c r="L70" s="67" t="str">
        <f>IF($E70="Q32027",COUNTIF($E$3:$E70,"Q32027"),"")</f>
        <v/>
      </c>
      <c r="M70" s="67" t="str">
        <f>IF($E70="Q42027",COUNTIF($E$3:$E70,"Q42027"),"")</f>
        <v/>
      </c>
      <c r="N70" s="67" t="str">
        <f>IF($E70="Backlog",COUNTIF($E$3:$E70,"Backlog"),"")</f>
        <v/>
      </c>
    </row>
    <row r="71" spans="1:14" ht="19.5" customHeight="1">
      <c r="A71" s="65">
        <v>69</v>
      </c>
      <c r="B71" s="16"/>
      <c r="C71" s="17"/>
      <c r="D71" s="17"/>
      <c r="E71" s="17"/>
      <c r="F71" s="17"/>
      <c r="G71" s="17"/>
      <c r="H71" s="66" t="str">
        <f>IF(C71="XXL (&gt;160h)",168,IF(C71="XL (&gt;40h)",48,IF(C71="L (20-40h)",30,IF(C71="M (10-20h)",15,IF(C71="S (&lt;10h)",5,"")))))</f>
        <v/>
      </c>
      <c r="I71" s="16"/>
      <c r="J71" s="67" t="str">
        <f>IF($E71="Q12027",COUNTIF($E$3:$E71,"Q12027"),"")</f>
        <v/>
      </c>
      <c r="K71" s="67" t="str">
        <f>IF($E71="Q22027",COUNTIF($E$3:$E71,"Q22027"),"")</f>
        <v/>
      </c>
      <c r="L71" s="67" t="str">
        <f>IF($E71="Q32027",COUNTIF($E$3:$E71,"Q32027"),"")</f>
        <v/>
      </c>
      <c r="M71" s="67" t="str">
        <f>IF($E71="Q42027",COUNTIF($E$3:$E71,"Q42027"),"")</f>
        <v/>
      </c>
      <c r="N71" s="67" t="str">
        <f>IF($E71="Backlog",COUNTIF($E$3:$E71,"Backlog"),"")</f>
        <v/>
      </c>
    </row>
    <row r="72" spans="1:14" ht="19.5" customHeight="1">
      <c r="A72" s="68">
        <v>70</v>
      </c>
      <c r="B72" s="18"/>
      <c r="C72" s="19"/>
      <c r="D72" s="19"/>
      <c r="E72" s="19"/>
      <c r="F72" s="19"/>
      <c r="G72" s="19"/>
      <c r="H72" s="69" t="str">
        <f>IF(C72="XXL (&gt;160h)",168,IF(C72="XL (&gt;40h)",48,IF(C72="L (20-40h)",30,IF(C72="M (10-20h)",15,IF(C72="S (&lt;10h)",5,"")))))</f>
        <v/>
      </c>
      <c r="I72" s="18"/>
      <c r="J72" s="67" t="str">
        <f>IF($E72="Q12027",COUNTIF($E$3:$E72,"Q12027"),"")</f>
        <v/>
      </c>
      <c r="K72" s="67" t="str">
        <f>IF($E72="Q22027",COUNTIF($E$3:$E72,"Q22027"),"")</f>
        <v/>
      </c>
      <c r="L72" s="67" t="str">
        <f>IF($E72="Q32027",COUNTIF($E$3:$E72,"Q32027"),"")</f>
        <v/>
      </c>
      <c r="M72" s="67" t="str">
        <f>IF($E72="Q42027",COUNTIF($E$3:$E72,"Q42027"),"")</f>
        <v/>
      </c>
      <c r="N72" s="67" t="str">
        <f>IF($E72="Backlog",COUNTIF($E$3:$E72,"Backlog"),"")</f>
        <v/>
      </c>
    </row>
    <row r="73" spans="1:14" ht="19.5" customHeight="1">
      <c r="A73" s="65">
        <v>71</v>
      </c>
      <c r="B73" s="16"/>
      <c r="C73" s="17"/>
      <c r="D73" s="17"/>
      <c r="E73" s="17"/>
      <c r="F73" s="17"/>
      <c r="G73" s="17"/>
      <c r="H73" s="66" t="str">
        <f>IF(C73="XXL (&gt;160h)",168,IF(C73="XL (&gt;40h)",48,IF(C73="L (20-40h)",30,IF(C73="M (10-20h)",15,IF(C73="S (&lt;10h)",5,"")))))</f>
        <v/>
      </c>
      <c r="I73" s="16"/>
      <c r="J73" s="67" t="str">
        <f>IF($E73="Q12027",COUNTIF($E$3:$E73,"Q12027"),"")</f>
        <v/>
      </c>
      <c r="K73" s="67" t="str">
        <f>IF($E73="Q22027",COUNTIF($E$3:$E73,"Q22027"),"")</f>
        <v/>
      </c>
      <c r="L73" s="67" t="str">
        <f>IF($E73="Q32027",COUNTIF($E$3:$E73,"Q32027"),"")</f>
        <v/>
      </c>
      <c r="M73" s="67" t="str">
        <f>IF($E73="Q42027",COUNTIF($E$3:$E73,"Q42027"),"")</f>
        <v/>
      </c>
      <c r="N73" s="67" t="str">
        <f>IF($E73="Backlog",COUNTIF($E$3:$E73,"Backlog"),"")</f>
        <v/>
      </c>
    </row>
    <row r="74" spans="1:14" ht="19.5" customHeight="1">
      <c r="A74" s="68">
        <v>72</v>
      </c>
      <c r="B74" s="18"/>
      <c r="C74" s="19"/>
      <c r="D74" s="19"/>
      <c r="E74" s="19"/>
      <c r="F74" s="19"/>
      <c r="G74" s="19"/>
      <c r="H74" s="69" t="str">
        <f>IF(C74="XXL (&gt;160h)",168,IF(C74="XL (&gt;40h)",48,IF(C74="L (20-40h)",30,IF(C74="M (10-20h)",15,IF(C74="S (&lt;10h)",5,"")))))</f>
        <v/>
      </c>
      <c r="I74" s="18"/>
      <c r="J74" s="67" t="str">
        <f>IF($E74="Q12027",COUNTIF($E$3:$E74,"Q12027"),"")</f>
        <v/>
      </c>
      <c r="K74" s="67" t="str">
        <f>IF($E74="Q22027",COUNTIF($E$3:$E74,"Q22027"),"")</f>
        <v/>
      </c>
      <c r="L74" s="67" t="str">
        <f>IF($E74="Q32027",COUNTIF($E$3:$E74,"Q32027"),"")</f>
        <v/>
      </c>
      <c r="M74" s="67" t="str">
        <f>IF($E74="Q42027",COUNTIF($E$3:$E74,"Q42027"),"")</f>
        <v/>
      </c>
      <c r="N74" s="67" t="str">
        <f>IF($E74="Backlog",COUNTIF($E$3:$E74,"Backlog"),"")</f>
        <v/>
      </c>
    </row>
    <row r="75" spans="1:14" ht="19.5" customHeight="1">
      <c r="A75" s="65">
        <v>73</v>
      </c>
      <c r="B75" s="16"/>
      <c r="C75" s="17"/>
      <c r="D75" s="17"/>
      <c r="E75" s="17"/>
      <c r="F75" s="17"/>
      <c r="G75" s="17"/>
      <c r="H75" s="66" t="str">
        <f>IF(C75="XXL (&gt;160h)",168,IF(C75="XL (&gt;40h)",48,IF(C75="L (20-40h)",30,IF(C75="M (10-20h)",15,IF(C75="S (&lt;10h)",5,"")))))</f>
        <v/>
      </c>
      <c r="I75" s="16"/>
      <c r="J75" s="67" t="str">
        <f>IF($E75="Q12027",COUNTIF($E$3:$E75,"Q12027"),"")</f>
        <v/>
      </c>
      <c r="K75" s="67" t="str">
        <f>IF($E75="Q22027",COUNTIF($E$3:$E75,"Q22027"),"")</f>
        <v/>
      </c>
      <c r="L75" s="67" t="str">
        <f>IF($E75="Q32027",COUNTIF($E$3:$E75,"Q32027"),"")</f>
        <v/>
      </c>
      <c r="M75" s="67" t="str">
        <f>IF($E75="Q42027",COUNTIF($E$3:$E75,"Q42027"),"")</f>
        <v/>
      </c>
      <c r="N75" s="67" t="str">
        <f>IF($E75="Backlog",COUNTIF($E$3:$E75,"Backlog"),"")</f>
        <v/>
      </c>
    </row>
    <row r="76" spans="1:14" ht="19.5" customHeight="1">
      <c r="A76" s="68">
        <v>74</v>
      </c>
      <c r="B76" s="18"/>
      <c r="C76" s="19"/>
      <c r="D76" s="19"/>
      <c r="E76" s="19"/>
      <c r="F76" s="19"/>
      <c r="G76" s="19"/>
      <c r="H76" s="69" t="str">
        <f>IF(C76="XXL (&gt;160h)",168,IF(C76="XL (&gt;40h)",48,IF(C76="L (20-40h)",30,IF(C76="M (10-20h)",15,IF(C76="S (&lt;10h)",5,"")))))</f>
        <v/>
      </c>
      <c r="I76" s="18"/>
      <c r="J76" s="67" t="str">
        <f>IF($E76="Q12027",COUNTIF($E$3:$E76,"Q12027"),"")</f>
        <v/>
      </c>
      <c r="K76" s="67" t="str">
        <f>IF($E76="Q22027",COUNTIF($E$3:$E76,"Q22027"),"")</f>
        <v/>
      </c>
      <c r="L76" s="67" t="str">
        <f>IF($E76="Q32027",COUNTIF($E$3:$E76,"Q32027"),"")</f>
        <v/>
      </c>
      <c r="M76" s="67" t="str">
        <f>IF($E76="Q42027",COUNTIF($E$3:$E76,"Q42027"),"")</f>
        <v/>
      </c>
      <c r="N76" s="67" t="str">
        <f>IF($E76="Backlog",COUNTIF($E$3:$E76,"Backlog"),"")</f>
        <v/>
      </c>
    </row>
    <row r="77" spans="1:14" ht="19.5" customHeight="1">
      <c r="A77" s="65">
        <v>75</v>
      </c>
      <c r="B77" s="16"/>
      <c r="C77" s="17"/>
      <c r="D77" s="17"/>
      <c r="E77" s="17"/>
      <c r="F77" s="17"/>
      <c r="G77" s="17"/>
      <c r="H77" s="66" t="str">
        <f>IF(C77="XXL (&gt;160h)",168,IF(C77="XL (&gt;40h)",48,IF(C77="L (20-40h)",30,IF(C77="M (10-20h)",15,IF(C77="S (&lt;10h)",5,"")))))</f>
        <v/>
      </c>
      <c r="I77" s="16"/>
      <c r="J77" s="67" t="str">
        <f>IF($E77="Q12027",COUNTIF($E$3:$E77,"Q12027"),"")</f>
        <v/>
      </c>
      <c r="K77" s="67" t="str">
        <f>IF($E77="Q22027",COUNTIF($E$3:$E77,"Q22027"),"")</f>
        <v/>
      </c>
      <c r="L77" s="67" t="str">
        <f>IF($E77="Q32027",COUNTIF($E$3:$E77,"Q32027"),"")</f>
        <v/>
      </c>
      <c r="M77" s="67" t="str">
        <f>IF($E77="Q42027",COUNTIF($E$3:$E77,"Q42027"),"")</f>
        <v/>
      </c>
      <c r="N77" s="67" t="str">
        <f>IF($E77="Backlog",COUNTIF($E$3:$E77,"Backlog"),"")</f>
        <v/>
      </c>
    </row>
    <row r="78" spans="1:14" ht="19.5" customHeight="1">
      <c r="A78" s="68">
        <v>76</v>
      </c>
      <c r="B78" s="18"/>
      <c r="C78" s="19"/>
      <c r="D78" s="19"/>
      <c r="E78" s="19"/>
      <c r="F78" s="19"/>
      <c r="G78" s="19"/>
      <c r="H78" s="69" t="str">
        <f>IF(C78="XXL (&gt;160h)",168,IF(C78="XL (&gt;40h)",48,IF(C78="L (20-40h)",30,IF(C78="M (10-20h)",15,IF(C78="S (&lt;10h)",5,"")))))</f>
        <v/>
      </c>
      <c r="I78" s="18"/>
      <c r="J78" s="67" t="str">
        <f>IF($E78="Q12027",COUNTIF($E$3:$E78,"Q12027"),"")</f>
        <v/>
      </c>
      <c r="K78" s="67" t="str">
        <f>IF($E78="Q22027",COUNTIF($E$3:$E78,"Q22027"),"")</f>
        <v/>
      </c>
      <c r="L78" s="67" t="str">
        <f>IF($E78="Q32027",COUNTIF($E$3:$E78,"Q32027"),"")</f>
        <v/>
      </c>
      <c r="M78" s="67" t="str">
        <f>IF($E78="Q42027",COUNTIF($E$3:$E78,"Q42027"),"")</f>
        <v/>
      </c>
      <c r="N78" s="67" t="str">
        <f>IF($E78="Backlog",COUNTIF($E$3:$E78,"Backlog"),"")</f>
        <v/>
      </c>
    </row>
    <row r="79" spans="1:14" ht="19.5" customHeight="1">
      <c r="A79" s="65">
        <v>77</v>
      </c>
      <c r="B79" s="16"/>
      <c r="C79" s="17"/>
      <c r="D79" s="17"/>
      <c r="E79" s="17"/>
      <c r="F79" s="17"/>
      <c r="G79" s="17"/>
      <c r="H79" s="66" t="str">
        <f>IF(C79="XXL (&gt;160h)",168,IF(C79="XL (&gt;40h)",48,IF(C79="L (20-40h)",30,IF(C79="M (10-20h)",15,IF(C79="S (&lt;10h)",5,"")))))</f>
        <v/>
      </c>
      <c r="I79" s="16"/>
      <c r="J79" s="67" t="str">
        <f>IF($E79="Q12027",COUNTIF($E$3:$E79,"Q12027"),"")</f>
        <v/>
      </c>
      <c r="K79" s="67" t="str">
        <f>IF($E79="Q22027",COUNTIF($E$3:$E79,"Q22027"),"")</f>
        <v/>
      </c>
      <c r="L79" s="67" t="str">
        <f>IF($E79="Q32027",COUNTIF($E$3:$E79,"Q32027"),"")</f>
        <v/>
      </c>
      <c r="M79" s="67" t="str">
        <f>IF($E79="Q42027",COUNTIF($E$3:$E79,"Q42027"),"")</f>
        <v/>
      </c>
      <c r="N79" s="67" t="str">
        <f>IF($E79="Backlog",COUNTIF($E$3:$E79,"Backlog"),"")</f>
        <v/>
      </c>
    </row>
    <row r="80" spans="1:14" ht="19.5" customHeight="1">
      <c r="A80" s="68">
        <v>78</v>
      </c>
      <c r="B80" s="18"/>
      <c r="C80" s="19"/>
      <c r="D80" s="19"/>
      <c r="E80" s="19"/>
      <c r="F80" s="19"/>
      <c r="G80" s="19"/>
      <c r="H80" s="69" t="str">
        <f>IF(C80="XXL (&gt;160h)",168,IF(C80="XL (&gt;40h)",48,IF(C80="L (20-40h)",30,IF(C80="M (10-20h)",15,IF(C80="S (&lt;10h)",5,"")))))</f>
        <v/>
      </c>
      <c r="I80" s="18"/>
      <c r="J80" s="67" t="str">
        <f>IF($E80="Q12027",COUNTIF($E$3:$E80,"Q12027"),"")</f>
        <v/>
      </c>
      <c r="K80" s="67" t="str">
        <f>IF($E80="Q22027",COUNTIF($E$3:$E80,"Q22027"),"")</f>
        <v/>
      </c>
      <c r="L80" s="67" t="str">
        <f>IF($E80="Q32027",COUNTIF($E$3:$E80,"Q32027"),"")</f>
        <v/>
      </c>
      <c r="M80" s="67" t="str">
        <f>IF($E80="Q42027",COUNTIF($E$3:$E80,"Q42027"),"")</f>
        <v/>
      </c>
      <c r="N80" s="67" t="str">
        <f>IF($E80="Backlog",COUNTIF($E$3:$E80,"Backlog"),"")</f>
        <v/>
      </c>
    </row>
    <row r="81" spans="1:14" ht="19.5" customHeight="1">
      <c r="A81" s="65">
        <v>79</v>
      </c>
      <c r="B81" s="16"/>
      <c r="C81" s="17"/>
      <c r="D81" s="17"/>
      <c r="E81" s="17"/>
      <c r="F81" s="17"/>
      <c r="G81" s="17"/>
      <c r="H81" s="66" t="str">
        <f>IF(C81="XXL (&gt;160h)",168,IF(C81="XL (&gt;40h)",48,IF(C81="L (20-40h)",30,IF(C81="M (10-20h)",15,IF(C81="S (&lt;10h)",5,"")))))</f>
        <v/>
      </c>
      <c r="I81" s="16"/>
      <c r="J81" s="67" t="str">
        <f>IF($E81="Q12027",COUNTIF($E$3:$E81,"Q12027"),"")</f>
        <v/>
      </c>
      <c r="K81" s="67" t="str">
        <f>IF($E81="Q22027",COUNTIF($E$3:$E81,"Q22027"),"")</f>
        <v/>
      </c>
      <c r="L81" s="67" t="str">
        <f>IF($E81="Q32027",COUNTIF($E$3:$E81,"Q32027"),"")</f>
        <v/>
      </c>
      <c r="M81" s="67" t="str">
        <f>IF($E81="Q42027",COUNTIF($E$3:$E81,"Q42027"),"")</f>
        <v/>
      </c>
      <c r="N81" s="67" t="str">
        <f>IF($E81="Backlog",COUNTIF($E$3:$E81,"Backlog"),"")</f>
        <v/>
      </c>
    </row>
    <row r="82" spans="1:14" ht="19.5" customHeight="1">
      <c r="A82" s="68">
        <v>80</v>
      </c>
      <c r="B82" s="18"/>
      <c r="C82" s="19"/>
      <c r="D82" s="19"/>
      <c r="E82" s="19"/>
      <c r="F82" s="19"/>
      <c r="G82" s="19"/>
      <c r="H82" s="69" t="str">
        <f>IF(C82="XXL (&gt;160h)",168,IF(C82="XL (&gt;40h)",48,IF(C82="L (20-40h)",30,IF(C82="M (10-20h)",15,IF(C82="S (&lt;10h)",5,"")))))</f>
        <v/>
      </c>
      <c r="I82" s="18"/>
      <c r="J82" s="67" t="str">
        <f>IF($E82="Q12027",COUNTIF($E$3:$E82,"Q12027"),"")</f>
        <v/>
      </c>
      <c r="K82" s="67" t="str">
        <f>IF($E82="Q22027",COUNTIF($E$3:$E82,"Q22027"),"")</f>
        <v/>
      </c>
      <c r="L82" s="67" t="str">
        <f>IF($E82="Q32027",COUNTIF($E$3:$E82,"Q32027"),"")</f>
        <v/>
      </c>
      <c r="M82" s="67" t="str">
        <f>IF($E82="Q42027",COUNTIF($E$3:$E82,"Q42027"),"")</f>
        <v/>
      </c>
      <c r="N82" s="67" t="str">
        <f>IF($E82="Backlog",COUNTIF($E$3:$E82,"Backlog"),"")</f>
        <v/>
      </c>
    </row>
    <row r="83" spans="1:14" ht="21.75" customHeight="1">
      <c r="A83" s="110" t="s">
        <v>56</v>
      </c>
      <c r="B83" s="110"/>
      <c r="C83" s="110"/>
      <c r="D83" s="110"/>
      <c r="E83" s="110"/>
      <c r="F83" s="110"/>
      <c r="G83" s="110"/>
      <c r="H83" s="22">
        <f>SUM(H3:H82)</f>
        <v>0</v>
      </c>
      <c r="I83" s="72"/>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36" priority="2" operator="equal">
      <formula>"Strengthen"</formula>
    </cfRule>
    <cfRule type="cellIs" dxfId="35" priority="3" operator="equal">
      <formula>"Innovation"</formula>
    </cfRule>
    <cfRule type="cellIs" dxfId="34" priority="4" operator="equal">
      <formula>"Repair"</formula>
    </cfRule>
  </conditionalFormatting>
  <dataValidations count="5">
    <dataValidation type="list" allowBlank="1" sqref="D3:D82" xr:uid="{00000000-0002-0000-0C00-000000000000}">
      <formula1>"Strengthen,Innovation,Repair"</formula1>
      <formula2>0</formula2>
    </dataValidation>
    <dataValidation type="list" allowBlank="1" sqref="C3:C82" xr:uid="{00000000-0002-0000-0C00-000001000000}">
      <formula1>"XXL (&gt;160h),XL (&gt;40h),L (20-40h),M (10-20h),S (&lt;10h)"</formula1>
      <formula2>0</formula2>
    </dataValidation>
    <dataValidation type="list" allowBlank="1" sqref="E3:E82" xr:uid="{00000000-0002-0000-0C00-000002000000}">
      <formula1>"Q12027,Q22027,Q32027,Q42027,Backlog"</formula1>
      <formula2>0</formula2>
    </dataValidation>
    <dataValidation type="list" allowBlank="1" sqref="F3:F82" xr:uid="{00000000-0002-0000-0C00-000003000000}">
      <formula1>"Must,Should,Could,Won't"</formula1>
      <formula2>0</formula2>
    </dataValidation>
    <dataValidation type="list" allowBlank="1" sqref="G3:G82" xr:uid="{00000000-0002-0000-0C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P87"/>
  <sheetViews>
    <sheetView showGridLines="0" zoomScaleNormal="100" workbookViewId="0">
      <pane xSplit="1" ySplit="2" topLeftCell="B3" activePane="bottomRight" state="frozen"/>
      <selection pane="bottomRight" activeCell="R24" sqref="R24"/>
      <selection pane="bottomLeft" activeCell="A3" sqref="A3"/>
      <selection pane="topRight" activeCell="B1" sqref="B1"/>
    </sheetView>
  </sheetViews>
  <sheetFormatPr defaultColWidth="8.7109375" defaultRowHeight="15"/>
  <cols>
    <col min="1" max="1" width="5" customWidth="1"/>
    <col min="2" max="2" width="42.85546875" customWidth="1"/>
    <col min="3" max="3" width="16" customWidth="1"/>
    <col min="4" max="4" width="14" customWidth="1"/>
    <col min="5" max="5" width="16" customWidth="1"/>
    <col min="6" max="7" width="12" customWidth="1"/>
    <col min="8" max="8" width="11" customWidth="1"/>
    <col min="9" max="9" width="30" customWidth="1"/>
    <col min="10" max="16" width="0.140625" hidden="1" customWidth="1"/>
  </cols>
  <sheetData>
    <row r="1" spans="1:14" ht="43.5" customHeight="1">
      <c r="A1" s="129" t="s">
        <v>248</v>
      </c>
      <c r="B1" s="129"/>
      <c r="C1" s="129"/>
      <c r="D1" s="129"/>
      <c r="E1" s="129"/>
      <c r="F1" s="129"/>
      <c r="G1" s="129"/>
      <c r="H1" s="129"/>
      <c r="I1" s="129"/>
    </row>
    <row r="2" spans="1:14" ht="24" customHeight="1">
      <c r="A2" s="24" t="s">
        <v>1</v>
      </c>
      <c r="B2" s="24" t="s">
        <v>2</v>
      </c>
      <c r="C2" s="24" t="s">
        <v>3</v>
      </c>
      <c r="D2" s="24" t="s">
        <v>4</v>
      </c>
      <c r="E2" s="24" t="s">
        <v>5</v>
      </c>
      <c r="F2" s="24" t="s">
        <v>6</v>
      </c>
      <c r="G2" s="24" t="s">
        <v>7</v>
      </c>
      <c r="H2" s="24" t="s">
        <v>8</v>
      </c>
      <c r="I2" s="24" t="s">
        <v>9</v>
      </c>
    </row>
    <row r="3" spans="1:14" ht="19.5" customHeight="1">
      <c r="A3" s="65">
        <v>1</v>
      </c>
      <c r="B3" s="16"/>
      <c r="C3" s="17"/>
      <c r="D3" s="17"/>
      <c r="E3" s="17"/>
      <c r="F3" s="17"/>
      <c r="G3" s="17"/>
      <c r="H3" s="66" t="str">
        <f>IF(C3="XXL (&gt;160h)",168,IF(C3="XL (&gt;40h)",48,IF(C3="L (20-40h)",30,IF(C3="M (10-20h)",15,IF(C3="S (&lt;10h)",5,"")))))</f>
        <v/>
      </c>
      <c r="I3" s="16"/>
      <c r="J3" s="67" t="str">
        <f>IF($E3="Q12027",COUNTIF($E$3:$E3,"Q12027"),"")</f>
        <v/>
      </c>
      <c r="K3" s="67" t="str">
        <f>IF($E3="Q22027",COUNTIF($E$3:$E3,"Q22027"),"")</f>
        <v/>
      </c>
      <c r="L3" s="67" t="str">
        <f>IF($E3="Q32027",COUNTIF($E$3:$E3,"Q32027"),"")</f>
        <v/>
      </c>
      <c r="M3" s="67" t="str">
        <f>IF($E3="Q42027",COUNTIF($E$3:$E3,"Q42027"),"")</f>
        <v/>
      </c>
      <c r="N3" s="67" t="str">
        <f>IF($E3="Backlog",COUNTIF($E$3:$E3,"Backlog"),"")</f>
        <v/>
      </c>
    </row>
    <row r="4" spans="1:14" ht="19.5" customHeight="1">
      <c r="A4" s="68">
        <v>2</v>
      </c>
      <c r="B4" s="18"/>
      <c r="C4" s="19"/>
      <c r="D4" s="19"/>
      <c r="E4" s="19"/>
      <c r="F4" s="19"/>
      <c r="G4" s="19"/>
      <c r="H4" s="69" t="str">
        <f>IF(C4="XXL (&gt;160h)",168,IF(C4="XL (&gt;40h)",48,IF(C4="L (20-40h)",30,IF(C4="M (10-20h)",15,IF(C4="S (&lt;10h)",5,"")))))</f>
        <v/>
      </c>
      <c r="I4" s="18"/>
      <c r="J4" s="67" t="str">
        <f>IF($E4="Q12027",COUNTIF($E$3:$E4,"Q12027"),"")</f>
        <v/>
      </c>
      <c r="K4" s="67" t="str">
        <f>IF($E4="Q22027",COUNTIF($E$3:$E4,"Q22027"),"")</f>
        <v/>
      </c>
      <c r="L4" s="67" t="str">
        <f>IF($E4="Q32027",COUNTIF($E$3:$E4,"Q32027"),"")</f>
        <v/>
      </c>
      <c r="M4" s="67" t="str">
        <f>IF($E4="Q42027",COUNTIF($E$3:$E4,"Q42027"),"")</f>
        <v/>
      </c>
      <c r="N4" s="67" t="str">
        <f>IF($E4="Backlog",COUNTIF($E$3:$E4,"Backlog"),"")</f>
        <v/>
      </c>
    </row>
    <row r="5" spans="1:14" ht="19.5" customHeight="1">
      <c r="A5" s="65">
        <v>3</v>
      </c>
      <c r="B5" s="16"/>
      <c r="C5" s="17"/>
      <c r="D5" s="17"/>
      <c r="E5" s="17"/>
      <c r="F5" s="17"/>
      <c r="G5" s="17"/>
      <c r="H5" s="66" t="str">
        <f>IF(C5="XXL (&gt;160h)",168,IF(C5="XL (&gt;40h)",48,IF(C5="L (20-40h)",30,IF(C5="M (10-20h)",15,IF(C5="S (&lt;10h)",5,"")))))</f>
        <v/>
      </c>
      <c r="I5" s="16"/>
      <c r="J5" s="67" t="str">
        <f>IF($E5="Q12027",COUNTIF($E$3:$E5,"Q12027"),"")</f>
        <v/>
      </c>
      <c r="K5" s="67" t="str">
        <f>IF($E5="Q22027",COUNTIF($E$3:$E5,"Q22027"),"")</f>
        <v/>
      </c>
      <c r="L5" s="67" t="str">
        <f>IF($E5="Q32027",COUNTIF($E$3:$E5,"Q32027"),"")</f>
        <v/>
      </c>
      <c r="M5" s="67" t="str">
        <f>IF($E5="Q42027",COUNTIF($E$3:$E5,"Q42027"),"")</f>
        <v/>
      </c>
      <c r="N5" s="67" t="str">
        <f>IF($E5="Backlog",COUNTIF($E$3:$E5,"Backlog"),"")</f>
        <v/>
      </c>
    </row>
    <row r="6" spans="1:14" ht="19.5" customHeight="1">
      <c r="A6" s="68">
        <v>4</v>
      </c>
      <c r="B6" s="18"/>
      <c r="C6" s="19"/>
      <c r="D6" s="19"/>
      <c r="E6" s="19"/>
      <c r="F6" s="19"/>
      <c r="G6" s="19"/>
      <c r="H6" s="69" t="str">
        <f>IF(C6="XXL (&gt;160h)",168,IF(C6="XL (&gt;40h)",48,IF(C6="L (20-40h)",30,IF(C6="M (10-20h)",15,IF(C6="S (&lt;10h)",5,"")))))</f>
        <v/>
      </c>
      <c r="I6" s="18"/>
      <c r="J6" s="67" t="str">
        <f>IF($E6="Q12027",COUNTIF($E$3:$E6,"Q12027"),"")</f>
        <v/>
      </c>
      <c r="K6" s="67" t="str">
        <f>IF($E6="Q22027",COUNTIF($E$3:$E6,"Q22027"),"")</f>
        <v/>
      </c>
      <c r="L6" s="67" t="str">
        <f>IF($E6="Q32027",COUNTIF($E$3:$E6,"Q32027"),"")</f>
        <v/>
      </c>
      <c r="M6" s="67" t="str">
        <f>IF($E6="Q42027",COUNTIF($E$3:$E6,"Q42027"),"")</f>
        <v/>
      </c>
      <c r="N6" s="67" t="str">
        <f>IF($E6="Backlog",COUNTIF($E$3:$E6,"Backlog"),"")</f>
        <v/>
      </c>
    </row>
    <row r="7" spans="1:14" ht="19.5" customHeight="1">
      <c r="A7" s="65">
        <v>5</v>
      </c>
      <c r="B7" s="16"/>
      <c r="C7" s="17"/>
      <c r="D7" s="17"/>
      <c r="E7" s="17"/>
      <c r="F7" s="17"/>
      <c r="G7" s="17"/>
      <c r="H7" s="66" t="str">
        <f>IF(C7="XXL (&gt;160h)",168,IF(C7="XL (&gt;40h)",48,IF(C7="L (20-40h)",30,IF(C7="M (10-20h)",15,IF(C7="S (&lt;10h)",5,"")))))</f>
        <v/>
      </c>
      <c r="I7" s="16"/>
      <c r="J7" s="67" t="str">
        <f>IF($E7="Q12027",COUNTIF($E$3:$E7,"Q12027"),"")</f>
        <v/>
      </c>
      <c r="K7" s="67" t="str">
        <f>IF($E7="Q22027",COUNTIF($E$3:$E7,"Q22027"),"")</f>
        <v/>
      </c>
      <c r="L7" s="67" t="str">
        <f>IF($E7="Q32027",COUNTIF($E$3:$E7,"Q32027"),"")</f>
        <v/>
      </c>
      <c r="M7" s="67" t="str">
        <f>IF($E7="Q42027",COUNTIF($E$3:$E7,"Q42027"),"")</f>
        <v/>
      </c>
      <c r="N7" s="67" t="str">
        <f>IF($E7="Backlog",COUNTIF($E$3:$E7,"Backlog"),"")</f>
        <v/>
      </c>
    </row>
    <row r="8" spans="1:14" ht="19.5" customHeight="1">
      <c r="A8" s="68">
        <v>6</v>
      </c>
      <c r="B8" s="18"/>
      <c r="C8" s="19"/>
      <c r="D8" s="19"/>
      <c r="E8" s="19"/>
      <c r="F8" s="19"/>
      <c r="G8" s="19"/>
      <c r="H8" s="69" t="str">
        <f>IF(C8="XXL (&gt;160h)",168,IF(C8="XL (&gt;40h)",48,IF(C8="L (20-40h)",30,IF(C8="M (10-20h)",15,IF(C8="S (&lt;10h)",5,"")))))</f>
        <v/>
      </c>
      <c r="I8" s="18"/>
      <c r="J8" s="67" t="str">
        <f>IF($E8="Q12027",COUNTIF($E$3:$E8,"Q12027"),"")</f>
        <v/>
      </c>
      <c r="K8" s="67" t="str">
        <f>IF($E8="Q22027",COUNTIF($E$3:$E8,"Q22027"),"")</f>
        <v/>
      </c>
      <c r="L8" s="67" t="str">
        <f>IF($E8="Q32027",COUNTIF($E$3:$E8,"Q32027"),"")</f>
        <v/>
      </c>
      <c r="M8" s="67" t="str">
        <f>IF($E8="Q42027",COUNTIF($E$3:$E8,"Q42027"),"")</f>
        <v/>
      </c>
      <c r="N8" s="67" t="str">
        <f>IF($E8="Backlog",COUNTIF($E$3:$E8,"Backlog"),"")</f>
        <v/>
      </c>
    </row>
    <row r="9" spans="1:14" ht="19.5" customHeight="1">
      <c r="A9" s="65">
        <v>7</v>
      </c>
      <c r="B9" s="16"/>
      <c r="C9" s="17"/>
      <c r="D9" s="17"/>
      <c r="E9" s="17"/>
      <c r="F9" s="17"/>
      <c r="G9" s="17"/>
      <c r="H9" s="66" t="str">
        <f>IF(C9="XXL (&gt;160h)",168,IF(C9="XL (&gt;40h)",48,IF(C9="L (20-40h)",30,IF(C9="M (10-20h)",15,IF(C9="S (&lt;10h)",5,"")))))</f>
        <v/>
      </c>
      <c r="I9" s="16"/>
      <c r="J9" s="67" t="str">
        <f>IF($E9="Q12027",COUNTIF($E$3:$E9,"Q12027"),"")</f>
        <v/>
      </c>
      <c r="K9" s="67" t="str">
        <f>IF($E9="Q22027",COUNTIF($E$3:$E9,"Q22027"),"")</f>
        <v/>
      </c>
      <c r="L9" s="67" t="str">
        <f>IF($E9="Q32027",COUNTIF($E$3:$E9,"Q32027"),"")</f>
        <v/>
      </c>
      <c r="M9" s="67" t="str">
        <f>IF($E9="Q42027",COUNTIF($E$3:$E9,"Q42027"),"")</f>
        <v/>
      </c>
      <c r="N9" s="67" t="str">
        <f>IF($E9="Backlog",COUNTIF($E$3:$E9,"Backlog"),"")</f>
        <v/>
      </c>
    </row>
    <row r="10" spans="1:14" ht="19.5" customHeight="1">
      <c r="A10" s="68">
        <v>8</v>
      </c>
      <c r="B10" s="18"/>
      <c r="C10" s="19"/>
      <c r="D10" s="19"/>
      <c r="E10" s="19"/>
      <c r="F10" s="19"/>
      <c r="G10" s="19"/>
      <c r="H10" s="69" t="str">
        <f>IF(C10="XXL (&gt;160h)",168,IF(C10="XL (&gt;40h)",48,IF(C10="L (20-40h)",30,IF(C10="M (10-20h)",15,IF(C10="S (&lt;10h)",5,"")))))</f>
        <v/>
      </c>
      <c r="I10" s="18"/>
      <c r="J10" s="67" t="str">
        <f>IF($E10="Q12027",COUNTIF($E$3:$E10,"Q12027"),"")</f>
        <v/>
      </c>
      <c r="K10" s="67" t="str">
        <f>IF($E10="Q22027",COUNTIF($E$3:$E10,"Q22027"),"")</f>
        <v/>
      </c>
      <c r="L10" s="67" t="str">
        <f>IF($E10="Q32027",COUNTIF($E$3:$E10,"Q32027"),"")</f>
        <v/>
      </c>
      <c r="M10" s="67" t="str">
        <f>IF($E10="Q42027",COUNTIF($E$3:$E10,"Q42027"),"")</f>
        <v/>
      </c>
      <c r="N10" s="67" t="str">
        <f>IF($E10="Backlog",COUNTIF($E$3:$E10,"Backlog"),"")</f>
        <v/>
      </c>
    </row>
    <row r="11" spans="1:14" ht="19.5" customHeight="1">
      <c r="A11" s="65">
        <v>9</v>
      </c>
      <c r="B11" s="16"/>
      <c r="C11" s="17"/>
      <c r="D11" s="17"/>
      <c r="E11" s="17"/>
      <c r="F11" s="17"/>
      <c r="G11" s="17"/>
      <c r="H11" s="66" t="str">
        <f>IF(C11="XXL (&gt;160h)",168,IF(C11="XL (&gt;40h)",48,IF(C11="L (20-40h)",30,IF(C11="M (10-20h)",15,IF(C11="S (&lt;10h)",5,"")))))</f>
        <v/>
      </c>
      <c r="I11" s="16"/>
      <c r="J11" s="67" t="str">
        <f>IF($E11="Q12027",COUNTIF($E$3:$E11,"Q12027"),"")</f>
        <v/>
      </c>
      <c r="K11" s="67" t="str">
        <f>IF($E11="Q22027",COUNTIF($E$3:$E11,"Q22027"),"")</f>
        <v/>
      </c>
      <c r="L11" s="67" t="str">
        <f>IF($E11="Q32027",COUNTIF($E$3:$E11,"Q32027"),"")</f>
        <v/>
      </c>
      <c r="M11" s="67" t="str">
        <f>IF($E11="Q42027",COUNTIF($E$3:$E11,"Q42027"),"")</f>
        <v/>
      </c>
      <c r="N11" s="67" t="str">
        <f>IF($E11="Backlog",COUNTIF($E$3:$E11,"Backlog"),"")</f>
        <v/>
      </c>
    </row>
    <row r="12" spans="1:14" ht="19.5" customHeight="1">
      <c r="A12" s="68">
        <v>10</v>
      </c>
      <c r="B12" s="18"/>
      <c r="C12" s="19"/>
      <c r="D12" s="19"/>
      <c r="E12" s="19"/>
      <c r="F12" s="19"/>
      <c r="G12" s="19"/>
      <c r="H12" s="69" t="str">
        <f>IF(C12="XXL (&gt;160h)",168,IF(C12="XL (&gt;40h)",48,IF(C12="L (20-40h)",30,IF(C12="M (10-20h)",15,IF(C12="S (&lt;10h)",5,"")))))</f>
        <v/>
      </c>
      <c r="I12" s="18"/>
      <c r="J12" s="67" t="str">
        <f>IF($E12="Q12027",COUNTIF($E$3:$E12,"Q12027"),"")</f>
        <v/>
      </c>
      <c r="K12" s="67" t="str">
        <f>IF($E12="Q22027",COUNTIF($E$3:$E12,"Q22027"),"")</f>
        <v/>
      </c>
      <c r="L12" s="67" t="str">
        <f>IF($E12="Q32027",COUNTIF($E$3:$E12,"Q32027"),"")</f>
        <v/>
      </c>
      <c r="M12" s="67" t="str">
        <f>IF($E12="Q42027",COUNTIF($E$3:$E12,"Q42027"),"")</f>
        <v/>
      </c>
      <c r="N12" s="67" t="str">
        <f>IF($E12="Backlog",COUNTIF($E$3:$E12,"Backlog"),"")</f>
        <v/>
      </c>
    </row>
    <row r="13" spans="1:14" ht="19.5" customHeight="1">
      <c r="A13" s="65">
        <v>11</v>
      </c>
      <c r="B13" s="16"/>
      <c r="C13" s="17"/>
      <c r="D13" s="17"/>
      <c r="E13" s="17"/>
      <c r="F13" s="17"/>
      <c r="G13" s="17"/>
      <c r="H13" s="66" t="str">
        <f>IF(C13="XXL (&gt;160h)",168,IF(C13="XL (&gt;40h)",48,IF(C13="L (20-40h)",30,IF(C13="M (10-20h)",15,IF(C13="S (&lt;10h)",5,"")))))</f>
        <v/>
      </c>
      <c r="I13" s="16"/>
      <c r="J13" s="67" t="str">
        <f>IF($E13="Q12027",COUNTIF($E$3:$E13,"Q12027"),"")</f>
        <v/>
      </c>
      <c r="K13" s="67" t="str">
        <f>IF($E13="Q22027",COUNTIF($E$3:$E13,"Q22027"),"")</f>
        <v/>
      </c>
      <c r="L13" s="67" t="str">
        <f>IF($E13="Q32027",COUNTIF($E$3:$E13,"Q32027"),"")</f>
        <v/>
      </c>
      <c r="M13" s="67" t="str">
        <f>IF($E13="Q42027",COUNTIF($E$3:$E13,"Q42027"),"")</f>
        <v/>
      </c>
      <c r="N13" s="67" t="str">
        <f>IF($E13="Backlog",COUNTIF($E$3:$E13,"Backlog"),"")</f>
        <v/>
      </c>
    </row>
    <row r="14" spans="1:14" ht="19.5" customHeight="1">
      <c r="A14" s="68">
        <v>12</v>
      </c>
      <c r="B14" s="18"/>
      <c r="C14" s="19"/>
      <c r="D14" s="19"/>
      <c r="E14" s="19"/>
      <c r="F14" s="19"/>
      <c r="G14" s="19"/>
      <c r="H14" s="69" t="str">
        <f>IF(C14="XXL (&gt;160h)",168,IF(C14="XL (&gt;40h)",48,IF(C14="L (20-40h)",30,IF(C14="M (10-20h)",15,IF(C14="S (&lt;10h)",5,"")))))</f>
        <v/>
      </c>
      <c r="I14" s="18"/>
      <c r="J14" s="67" t="str">
        <f>IF($E14="Q12027",COUNTIF($E$3:$E14,"Q12027"),"")</f>
        <v/>
      </c>
      <c r="K14" s="67" t="str">
        <f>IF($E14="Q22027",COUNTIF($E$3:$E14,"Q22027"),"")</f>
        <v/>
      </c>
      <c r="L14" s="67" t="str">
        <f>IF($E14="Q32027",COUNTIF($E$3:$E14,"Q32027"),"")</f>
        <v/>
      </c>
      <c r="M14" s="67" t="str">
        <f>IF($E14="Q42027",COUNTIF($E$3:$E14,"Q42027"),"")</f>
        <v/>
      </c>
      <c r="N14" s="67" t="str">
        <f>IF($E14="Backlog",COUNTIF($E$3:$E14,"Backlog"),"")</f>
        <v/>
      </c>
    </row>
    <row r="15" spans="1:14" ht="19.5" customHeight="1">
      <c r="A15" s="65">
        <v>13</v>
      </c>
      <c r="B15" s="16"/>
      <c r="C15" s="17"/>
      <c r="D15" s="17"/>
      <c r="E15" s="17"/>
      <c r="F15" s="17"/>
      <c r="G15" s="17"/>
      <c r="H15" s="66" t="str">
        <f>IF(C15="XXL (&gt;160h)",168,IF(C15="XL (&gt;40h)",48,IF(C15="L (20-40h)",30,IF(C15="M (10-20h)",15,IF(C15="S (&lt;10h)",5,"")))))</f>
        <v/>
      </c>
      <c r="I15" s="16"/>
      <c r="J15" s="67" t="str">
        <f>IF($E15="Q12027",COUNTIF($E$3:$E15,"Q12027"),"")</f>
        <v/>
      </c>
      <c r="K15" s="67" t="str">
        <f>IF($E15="Q22027",COUNTIF($E$3:$E15,"Q22027"),"")</f>
        <v/>
      </c>
      <c r="L15" s="67" t="str">
        <f>IF($E15="Q32027",COUNTIF($E$3:$E15,"Q32027"),"")</f>
        <v/>
      </c>
      <c r="M15" s="67" t="str">
        <f>IF($E15="Q42027",COUNTIF($E$3:$E15,"Q42027"),"")</f>
        <v/>
      </c>
      <c r="N15" s="67" t="str">
        <f>IF($E15="Backlog",COUNTIF($E$3:$E15,"Backlog"),"")</f>
        <v/>
      </c>
    </row>
    <row r="16" spans="1:14" ht="19.5" customHeight="1">
      <c r="A16" s="68">
        <v>14</v>
      </c>
      <c r="B16" s="18"/>
      <c r="C16" s="19"/>
      <c r="D16" s="19"/>
      <c r="E16" s="19"/>
      <c r="F16" s="19"/>
      <c r="G16" s="19"/>
      <c r="H16" s="69" t="str">
        <f>IF(C16="XXL (&gt;160h)",168,IF(C16="XL (&gt;40h)",48,IF(C16="L (20-40h)",30,IF(C16="M (10-20h)",15,IF(C16="S (&lt;10h)",5,"")))))</f>
        <v/>
      </c>
      <c r="I16" s="18"/>
      <c r="J16" s="67" t="str">
        <f>IF($E16="Q12027",COUNTIF($E$3:$E16,"Q12027"),"")</f>
        <v/>
      </c>
      <c r="K16" s="67" t="str">
        <f>IF($E16="Q22027",COUNTIF($E$3:$E16,"Q22027"),"")</f>
        <v/>
      </c>
      <c r="L16" s="67" t="str">
        <f>IF($E16="Q32027",COUNTIF($E$3:$E16,"Q32027"),"")</f>
        <v/>
      </c>
      <c r="M16" s="67" t="str">
        <f>IF($E16="Q42027",COUNTIF($E$3:$E16,"Q42027"),"")</f>
        <v/>
      </c>
      <c r="N16" s="67" t="str">
        <f>IF($E16="Backlog",COUNTIF($E$3:$E16,"Backlog"),"")</f>
        <v/>
      </c>
    </row>
    <row r="17" spans="1:14" ht="19.5" customHeight="1">
      <c r="A17" s="65">
        <v>15</v>
      </c>
      <c r="B17" s="16"/>
      <c r="C17" s="17"/>
      <c r="D17" s="17"/>
      <c r="E17" s="17"/>
      <c r="F17" s="17"/>
      <c r="G17" s="17"/>
      <c r="H17" s="66" t="str">
        <f>IF(C17="XXL (&gt;160h)",168,IF(C17="XL (&gt;40h)",48,IF(C17="L (20-40h)",30,IF(C17="M (10-20h)",15,IF(C17="S (&lt;10h)",5,"")))))</f>
        <v/>
      </c>
      <c r="I17" s="16"/>
      <c r="J17" s="67" t="str">
        <f>IF($E17="Q12027",COUNTIF($E$3:$E17,"Q12027"),"")</f>
        <v/>
      </c>
      <c r="K17" s="67" t="str">
        <f>IF($E17="Q22027",COUNTIF($E$3:$E17,"Q22027"),"")</f>
        <v/>
      </c>
      <c r="L17" s="67" t="str">
        <f>IF($E17="Q32027",COUNTIF($E$3:$E17,"Q32027"),"")</f>
        <v/>
      </c>
      <c r="M17" s="67" t="str">
        <f>IF($E17="Q42027",COUNTIF($E$3:$E17,"Q42027"),"")</f>
        <v/>
      </c>
      <c r="N17" s="67" t="str">
        <f>IF($E17="Backlog",COUNTIF($E$3:$E17,"Backlog"),"")</f>
        <v/>
      </c>
    </row>
    <row r="18" spans="1:14" ht="19.5" customHeight="1">
      <c r="A18" s="68">
        <v>16</v>
      </c>
      <c r="B18" s="18"/>
      <c r="C18" s="19"/>
      <c r="D18" s="19"/>
      <c r="E18" s="19"/>
      <c r="F18" s="19"/>
      <c r="G18" s="19"/>
      <c r="H18" s="69" t="str">
        <f>IF(C18="XXL (&gt;160h)",168,IF(C18="XL (&gt;40h)",48,IF(C18="L (20-40h)",30,IF(C18="M (10-20h)",15,IF(C18="S (&lt;10h)",5,"")))))</f>
        <v/>
      </c>
      <c r="I18" s="18"/>
      <c r="J18" s="67" t="str">
        <f>IF($E18="Q12027",COUNTIF($E$3:$E18,"Q12027"),"")</f>
        <v/>
      </c>
      <c r="K18" s="67" t="str">
        <f>IF($E18="Q22027",COUNTIF($E$3:$E18,"Q22027"),"")</f>
        <v/>
      </c>
      <c r="L18" s="67" t="str">
        <f>IF($E18="Q32027",COUNTIF($E$3:$E18,"Q32027"),"")</f>
        <v/>
      </c>
      <c r="M18" s="67" t="str">
        <f>IF($E18="Q42027",COUNTIF($E$3:$E18,"Q42027"),"")</f>
        <v/>
      </c>
      <c r="N18" s="67" t="str">
        <f>IF($E18="Backlog",COUNTIF($E$3:$E18,"Backlog"),"")</f>
        <v/>
      </c>
    </row>
    <row r="19" spans="1:14" ht="19.5" customHeight="1">
      <c r="A19" s="65">
        <v>17</v>
      </c>
      <c r="B19" s="16"/>
      <c r="C19" s="17"/>
      <c r="D19" s="17"/>
      <c r="E19" s="17"/>
      <c r="F19" s="17"/>
      <c r="G19" s="17"/>
      <c r="H19" s="66" t="str">
        <f>IF(C19="XXL (&gt;160h)",168,IF(C19="XL (&gt;40h)",48,IF(C19="L (20-40h)",30,IF(C19="M (10-20h)",15,IF(C19="S (&lt;10h)",5,"")))))</f>
        <v/>
      </c>
      <c r="I19" s="16"/>
      <c r="J19" s="67" t="str">
        <f>IF($E19="Q12027",COUNTIF($E$3:$E19,"Q12027"),"")</f>
        <v/>
      </c>
      <c r="K19" s="67" t="str">
        <f>IF($E19="Q22027",COUNTIF($E$3:$E19,"Q22027"),"")</f>
        <v/>
      </c>
      <c r="L19" s="67" t="str">
        <f>IF($E19="Q32027",COUNTIF($E$3:$E19,"Q32027"),"")</f>
        <v/>
      </c>
      <c r="M19" s="67" t="str">
        <f>IF($E19="Q42027",COUNTIF($E$3:$E19,"Q42027"),"")</f>
        <v/>
      </c>
      <c r="N19" s="67" t="str">
        <f>IF($E19="Backlog",COUNTIF($E$3:$E19,"Backlog"),"")</f>
        <v/>
      </c>
    </row>
    <row r="20" spans="1:14" ht="19.5" customHeight="1">
      <c r="A20" s="68">
        <v>18</v>
      </c>
      <c r="B20" s="18"/>
      <c r="C20" s="19"/>
      <c r="D20" s="19"/>
      <c r="E20" s="19"/>
      <c r="F20" s="19"/>
      <c r="G20" s="19"/>
      <c r="H20" s="69" t="str">
        <f>IF(C20="XXL (&gt;160h)",168,IF(C20="XL (&gt;40h)",48,IF(C20="L (20-40h)",30,IF(C20="M (10-20h)",15,IF(C20="S (&lt;10h)",5,"")))))</f>
        <v/>
      </c>
      <c r="I20" s="18"/>
      <c r="J20" s="67" t="str">
        <f>IF($E20="Q12027",COUNTIF($E$3:$E20,"Q12027"),"")</f>
        <v/>
      </c>
      <c r="K20" s="67" t="str">
        <f>IF($E20="Q22027",COUNTIF($E$3:$E20,"Q22027"),"")</f>
        <v/>
      </c>
      <c r="L20" s="67" t="str">
        <f>IF($E20="Q32027",COUNTIF($E$3:$E20,"Q32027"),"")</f>
        <v/>
      </c>
      <c r="M20" s="67" t="str">
        <f>IF($E20="Q42027",COUNTIF($E$3:$E20,"Q42027"),"")</f>
        <v/>
      </c>
      <c r="N20" s="67" t="str">
        <f>IF($E20="Backlog",COUNTIF($E$3:$E20,"Backlog"),"")</f>
        <v/>
      </c>
    </row>
    <row r="21" spans="1:14" ht="19.5" customHeight="1">
      <c r="A21" s="65">
        <v>19</v>
      </c>
      <c r="B21" s="16"/>
      <c r="C21" s="17"/>
      <c r="D21" s="17"/>
      <c r="E21" s="17"/>
      <c r="F21" s="17"/>
      <c r="G21" s="17"/>
      <c r="H21" s="66" t="str">
        <f>IF(C21="XXL (&gt;160h)",168,IF(C21="XL (&gt;40h)",48,IF(C21="L (20-40h)",30,IF(C21="M (10-20h)",15,IF(C21="S (&lt;10h)",5,"")))))</f>
        <v/>
      </c>
      <c r="I21" s="16"/>
      <c r="J21" s="67" t="str">
        <f>IF($E21="Q12027",COUNTIF($E$3:$E21,"Q12027"),"")</f>
        <v/>
      </c>
      <c r="K21" s="67" t="str">
        <f>IF($E21="Q22027",COUNTIF($E$3:$E21,"Q22027"),"")</f>
        <v/>
      </c>
      <c r="L21" s="67" t="str">
        <f>IF($E21="Q32027",COUNTIF($E$3:$E21,"Q32027"),"")</f>
        <v/>
      </c>
      <c r="M21" s="67" t="str">
        <f>IF($E21="Q42027",COUNTIF($E$3:$E21,"Q42027"),"")</f>
        <v/>
      </c>
      <c r="N21" s="67" t="str">
        <f>IF($E21="Backlog",COUNTIF($E$3:$E21,"Backlog"),"")</f>
        <v/>
      </c>
    </row>
    <row r="22" spans="1:14" ht="19.5" customHeight="1">
      <c r="A22" s="68">
        <v>20</v>
      </c>
      <c r="B22" s="18"/>
      <c r="C22" s="19"/>
      <c r="D22" s="19"/>
      <c r="E22" s="19"/>
      <c r="F22" s="19"/>
      <c r="G22" s="19"/>
      <c r="H22" s="69" t="str">
        <f>IF(C22="XXL (&gt;160h)",168,IF(C22="XL (&gt;40h)",48,IF(C22="L (20-40h)",30,IF(C22="M (10-20h)",15,IF(C22="S (&lt;10h)",5,"")))))</f>
        <v/>
      </c>
      <c r="I22" s="18"/>
      <c r="J22" s="67" t="str">
        <f>IF($E22="Q12027",COUNTIF($E$3:$E22,"Q12027"),"")</f>
        <v/>
      </c>
      <c r="K22" s="67" t="str">
        <f>IF($E22="Q22027",COUNTIF($E$3:$E22,"Q22027"),"")</f>
        <v/>
      </c>
      <c r="L22" s="67" t="str">
        <f>IF($E22="Q32027",COUNTIF($E$3:$E22,"Q32027"),"")</f>
        <v/>
      </c>
      <c r="M22" s="67" t="str">
        <f>IF($E22="Q42027",COUNTIF($E$3:$E22,"Q42027"),"")</f>
        <v/>
      </c>
      <c r="N22" s="67" t="str">
        <f>IF($E22="Backlog",COUNTIF($E$3:$E22,"Backlog"),"")</f>
        <v/>
      </c>
    </row>
    <row r="23" spans="1:14" ht="19.5" customHeight="1">
      <c r="A23" s="65">
        <v>21</v>
      </c>
      <c r="B23" s="16"/>
      <c r="C23" s="17"/>
      <c r="D23" s="17"/>
      <c r="E23" s="17"/>
      <c r="F23" s="17"/>
      <c r="G23" s="17"/>
      <c r="H23" s="66" t="str">
        <f>IF(C23="XXL (&gt;160h)",168,IF(C23="XL (&gt;40h)",48,IF(C23="L (20-40h)",30,IF(C23="M (10-20h)",15,IF(C23="S (&lt;10h)",5,"")))))</f>
        <v/>
      </c>
      <c r="I23" s="16"/>
      <c r="J23" s="67" t="str">
        <f>IF($E23="Q12027",COUNTIF($E$3:$E23,"Q12027"),"")</f>
        <v/>
      </c>
      <c r="K23" s="67" t="str">
        <f>IF($E23="Q22027",COUNTIF($E$3:$E23,"Q22027"),"")</f>
        <v/>
      </c>
      <c r="L23" s="67" t="str">
        <f>IF($E23="Q32027",COUNTIF($E$3:$E23,"Q32027"),"")</f>
        <v/>
      </c>
      <c r="M23" s="67" t="str">
        <f>IF($E23="Q42027",COUNTIF($E$3:$E23,"Q42027"),"")</f>
        <v/>
      </c>
      <c r="N23" s="67" t="str">
        <f>IF($E23="Backlog",COUNTIF($E$3:$E23,"Backlog"),"")</f>
        <v/>
      </c>
    </row>
    <row r="24" spans="1:14" ht="19.5" customHeight="1">
      <c r="A24" s="68">
        <v>22</v>
      </c>
      <c r="B24" s="18"/>
      <c r="C24" s="19"/>
      <c r="D24" s="19"/>
      <c r="E24" s="19"/>
      <c r="F24" s="19"/>
      <c r="G24" s="19"/>
      <c r="H24" s="69" t="str">
        <f>IF(C24="XXL (&gt;160h)",168,IF(C24="XL (&gt;40h)",48,IF(C24="L (20-40h)",30,IF(C24="M (10-20h)",15,IF(C24="S (&lt;10h)",5,"")))))</f>
        <v/>
      </c>
      <c r="I24" s="18"/>
      <c r="J24" s="67" t="str">
        <f>IF($E24="Q12027",COUNTIF($E$3:$E24,"Q12027"),"")</f>
        <v/>
      </c>
      <c r="K24" s="67" t="str">
        <f>IF($E24="Q22027",COUNTIF($E$3:$E24,"Q22027"),"")</f>
        <v/>
      </c>
      <c r="L24" s="67" t="str">
        <f>IF($E24="Q32027",COUNTIF($E$3:$E24,"Q32027"),"")</f>
        <v/>
      </c>
      <c r="M24" s="67" t="str">
        <f>IF($E24="Q42027",COUNTIF($E$3:$E24,"Q42027"),"")</f>
        <v/>
      </c>
      <c r="N24" s="67" t="str">
        <f>IF($E24="Backlog",COUNTIF($E$3:$E24,"Backlog"),"")</f>
        <v/>
      </c>
    </row>
    <row r="25" spans="1:14" ht="19.5" customHeight="1">
      <c r="A25" s="65">
        <v>23</v>
      </c>
      <c r="B25" s="16"/>
      <c r="C25" s="17"/>
      <c r="D25" s="17"/>
      <c r="E25" s="17"/>
      <c r="F25" s="17"/>
      <c r="G25" s="17"/>
      <c r="H25" s="66" t="str">
        <f>IF(C25="XXL (&gt;160h)",168,IF(C25="XL (&gt;40h)",48,IF(C25="L (20-40h)",30,IF(C25="M (10-20h)",15,IF(C25="S (&lt;10h)",5,"")))))</f>
        <v/>
      </c>
      <c r="I25" s="16"/>
      <c r="J25" s="67" t="str">
        <f>IF($E25="Q12027",COUNTIF($E$3:$E25,"Q12027"),"")</f>
        <v/>
      </c>
      <c r="K25" s="67" t="str">
        <f>IF($E25="Q22027",COUNTIF($E$3:$E25,"Q22027"),"")</f>
        <v/>
      </c>
      <c r="L25" s="67" t="str">
        <f>IF($E25="Q32027",COUNTIF($E$3:$E25,"Q32027"),"")</f>
        <v/>
      </c>
      <c r="M25" s="67" t="str">
        <f>IF($E25="Q42027",COUNTIF($E$3:$E25,"Q42027"),"")</f>
        <v/>
      </c>
      <c r="N25" s="67" t="str">
        <f>IF($E25="Backlog",COUNTIF($E$3:$E25,"Backlog"),"")</f>
        <v/>
      </c>
    </row>
    <row r="26" spans="1:14" ht="19.5" customHeight="1">
      <c r="A26" s="68">
        <v>24</v>
      </c>
      <c r="B26" s="18"/>
      <c r="C26" s="19"/>
      <c r="D26" s="19"/>
      <c r="E26" s="19"/>
      <c r="F26" s="19"/>
      <c r="G26" s="19"/>
      <c r="H26" s="69" t="str">
        <f>IF(C26="XXL (&gt;160h)",168,IF(C26="XL (&gt;40h)",48,IF(C26="L (20-40h)",30,IF(C26="M (10-20h)",15,IF(C26="S (&lt;10h)",5,"")))))</f>
        <v/>
      </c>
      <c r="I26" s="18"/>
      <c r="J26" s="67" t="str">
        <f>IF($E26="Q12027",COUNTIF($E$3:$E26,"Q12027"),"")</f>
        <v/>
      </c>
      <c r="K26" s="67" t="str">
        <f>IF($E26="Q22027",COUNTIF($E$3:$E26,"Q22027"),"")</f>
        <v/>
      </c>
      <c r="L26" s="67" t="str">
        <f>IF($E26="Q32027",COUNTIF($E$3:$E26,"Q32027"),"")</f>
        <v/>
      </c>
      <c r="M26" s="67" t="str">
        <f>IF($E26="Q42027",COUNTIF($E$3:$E26,"Q42027"),"")</f>
        <v/>
      </c>
      <c r="N26" s="67" t="str">
        <f>IF($E26="Backlog",COUNTIF($E$3:$E26,"Backlog"),"")</f>
        <v/>
      </c>
    </row>
    <row r="27" spans="1:14" ht="19.5" customHeight="1">
      <c r="A27" s="65">
        <v>25</v>
      </c>
      <c r="B27" s="16"/>
      <c r="C27" s="17"/>
      <c r="D27" s="17"/>
      <c r="E27" s="17"/>
      <c r="F27" s="17"/>
      <c r="G27" s="17"/>
      <c r="H27" s="66" t="str">
        <f>IF(C27="XXL (&gt;160h)",168,IF(C27="XL (&gt;40h)",48,IF(C27="L (20-40h)",30,IF(C27="M (10-20h)",15,IF(C27="S (&lt;10h)",5,"")))))</f>
        <v/>
      </c>
      <c r="I27" s="16"/>
      <c r="J27" s="67" t="str">
        <f>IF($E27="Q12027",COUNTIF($E$3:$E27,"Q12027"),"")</f>
        <v/>
      </c>
      <c r="K27" s="67" t="str">
        <f>IF($E27="Q22027",COUNTIF($E$3:$E27,"Q22027"),"")</f>
        <v/>
      </c>
      <c r="L27" s="67" t="str">
        <f>IF($E27="Q32027",COUNTIF($E$3:$E27,"Q32027"),"")</f>
        <v/>
      </c>
      <c r="M27" s="67" t="str">
        <f>IF($E27="Q42027",COUNTIF($E$3:$E27,"Q42027"),"")</f>
        <v/>
      </c>
      <c r="N27" s="67" t="str">
        <f>IF($E27="Backlog",COUNTIF($E$3:$E27,"Backlog"),"")</f>
        <v/>
      </c>
    </row>
    <row r="28" spans="1:14" ht="19.5" customHeight="1">
      <c r="A28" s="68">
        <v>26</v>
      </c>
      <c r="B28" s="18"/>
      <c r="C28" s="19"/>
      <c r="D28" s="19"/>
      <c r="E28" s="19"/>
      <c r="F28" s="19"/>
      <c r="G28" s="19"/>
      <c r="H28" s="69" t="str">
        <f>IF(C28="XXL (&gt;160h)",168,IF(C28="XL (&gt;40h)",48,IF(C28="L (20-40h)",30,IF(C28="M (10-20h)",15,IF(C28="S (&lt;10h)",5,"")))))</f>
        <v/>
      </c>
      <c r="I28" s="18"/>
      <c r="J28" s="67" t="str">
        <f>IF($E28="Q12027",COUNTIF($E$3:$E28,"Q12027"),"")</f>
        <v/>
      </c>
      <c r="K28" s="67" t="str">
        <f>IF($E28="Q22027",COUNTIF($E$3:$E28,"Q22027"),"")</f>
        <v/>
      </c>
      <c r="L28" s="67" t="str">
        <f>IF($E28="Q32027",COUNTIF($E$3:$E28,"Q32027"),"")</f>
        <v/>
      </c>
      <c r="M28" s="67" t="str">
        <f>IF($E28="Q42027",COUNTIF($E$3:$E28,"Q42027"),"")</f>
        <v/>
      </c>
      <c r="N28" s="67" t="str">
        <f>IF($E28="Backlog",COUNTIF($E$3:$E28,"Backlog"),"")</f>
        <v/>
      </c>
    </row>
    <row r="29" spans="1:14" ht="19.5" customHeight="1">
      <c r="A29" s="65">
        <v>27</v>
      </c>
      <c r="B29" s="16"/>
      <c r="C29" s="17"/>
      <c r="D29" s="17"/>
      <c r="E29" s="17"/>
      <c r="F29" s="17"/>
      <c r="G29" s="17"/>
      <c r="H29" s="66" t="str">
        <f>IF(C29="XXL (&gt;160h)",168,IF(C29="XL (&gt;40h)",48,IF(C29="L (20-40h)",30,IF(C29="M (10-20h)",15,IF(C29="S (&lt;10h)",5,"")))))</f>
        <v/>
      </c>
      <c r="I29" s="16"/>
      <c r="J29" s="67" t="str">
        <f>IF($E29="Q12027",COUNTIF($E$3:$E29,"Q12027"),"")</f>
        <v/>
      </c>
      <c r="K29" s="67" t="str">
        <f>IF($E29="Q22027",COUNTIF($E$3:$E29,"Q22027"),"")</f>
        <v/>
      </c>
      <c r="L29" s="67" t="str">
        <f>IF($E29="Q32027",COUNTIF($E$3:$E29,"Q32027"),"")</f>
        <v/>
      </c>
      <c r="M29" s="67" t="str">
        <f>IF($E29="Q42027",COUNTIF($E$3:$E29,"Q42027"),"")</f>
        <v/>
      </c>
      <c r="N29" s="67" t="str">
        <f>IF($E29="Backlog",COUNTIF($E$3:$E29,"Backlog"),"")</f>
        <v/>
      </c>
    </row>
    <row r="30" spans="1:14" ht="19.5" customHeight="1">
      <c r="A30" s="68">
        <v>28</v>
      </c>
      <c r="B30" s="18"/>
      <c r="C30" s="19"/>
      <c r="D30" s="19"/>
      <c r="E30" s="19"/>
      <c r="F30" s="19"/>
      <c r="G30" s="19"/>
      <c r="H30" s="69" t="str">
        <f>IF(C30="XXL (&gt;160h)",168,IF(C30="XL (&gt;40h)",48,IF(C30="L (20-40h)",30,IF(C30="M (10-20h)",15,IF(C30="S (&lt;10h)",5,"")))))</f>
        <v/>
      </c>
      <c r="I30" s="18"/>
      <c r="J30" s="67" t="str">
        <f>IF($E30="Q12027",COUNTIF($E$3:$E30,"Q12027"),"")</f>
        <v/>
      </c>
      <c r="K30" s="67" t="str">
        <f>IF($E30="Q22027",COUNTIF($E$3:$E30,"Q22027"),"")</f>
        <v/>
      </c>
      <c r="L30" s="67" t="str">
        <f>IF($E30="Q32027",COUNTIF($E$3:$E30,"Q32027"),"")</f>
        <v/>
      </c>
      <c r="M30" s="67" t="str">
        <f>IF($E30="Q42027",COUNTIF($E$3:$E30,"Q42027"),"")</f>
        <v/>
      </c>
      <c r="N30" s="67" t="str">
        <f>IF($E30="Backlog",COUNTIF($E$3:$E30,"Backlog"),"")</f>
        <v/>
      </c>
    </row>
    <row r="31" spans="1:14" ht="19.5" customHeight="1">
      <c r="A31" s="65">
        <v>29</v>
      </c>
      <c r="B31" s="16"/>
      <c r="C31" s="17"/>
      <c r="D31" s="17"/>
      <c r="E31" s="17"/>
      <c r="F31" s="17"/>
      <c r="G31" s="17"/>
      <c r="H31" s="66" t="str">
        <f>IF(C31="XXL (&gt;160h)",168,IF(C31="XL (&gt;40h)",48,IF(C31="L (20-40h)",30,IF(C31="M (10-20h)",15,IF(C31="S (&lt;10h)",5,"")))))</f>
        <v/>
      </c>
      <c r="I31" s="16"/>
      <c r="J31" s="67" t="str">
        <f>IF($E31="Q12027",COUNTIF($E$3:$E31,"Q12027"),"")</f>
        <v/>
      </c>
      <c r="K31" s="67" t="str">
        <f>IF($E31="Q22027",COUNTIF($E$3:$E31,"Q22027"),"")</f>
        <v/>
      </c>
      <c r="L31" s="67" t="str">
        <f>IF($E31="Q32027",COUNTIF($E$3:$E31,"Q32027"),"")</f>
        <v/>
      </c>
      <c r="M31" s="67" t="str">
        <f>IF($E31="Q42027",COUNTIF($E$3:$E31,"Q42027"),"")</f>
        <v/>
      </c>
      <c r="N31" s="67" t="str">
        <f>IF($E31="Backlog",COUNTIF($E$3:$E31,"Backlog"),"")</f>
        <v/>
      </c>
    </row>
    <row r="32" spans="1:14" ht="19.5" customHeight="1">
      <c r="A32" s="68">
        <v>30</v>
      </c>
      <c r="B32" s="18"/>
      <c r="C32" s="19"/>
      <c r="D32" s="19"/>
      <c r="E32" s="19"/>
      <c r="F32" s="19"/>
      <c r="G32" s="19"/>
      <c r="H32" s="69" t="str">
        <f>IF(C32="XXL (&gt;160h)",168,IF(C32="XL (&gt;40h)",48,IF(C32="L (20-40h)",30,IF(C32="M (10-20h)",15,IF(C32="S (&lt;10h)",5,"")))))</f>
        <v/>
      </c>
      <c r="I32" s="18"/>
      <c r="J32" s="67" t="str">
        <f>IF($E32="Q12027",COUNTIF($E$3:$E32,"Q12027"),"")</f>
        <v/>
      </c>
      <c r="K32" s="67" t="str">
        <f>IF($E32="Q22027",COUNTIF($E$3:$E32,"Q22027"),"")</f>
        <v/>
      </c>
      <c r="L32" s="67" t="str">
        <f>IF($E32="Q32027",COUNTIF($E$3:$E32,"Q32027"),"")</f>
        <v/>
      </c>
      <c r="M32" s="67" t="str">
        <f>IF($E32="Q42027",COUNTIF($E$3:$E32,"Q42027"),"")</f>
        <v/>
      </c>
      <c r="N32" s="67" t="str">
        <f>IF($E32="Backlog",COUNTIF($E$3:$E32,"Backlog"),"")</f>
        <v/>
      </c>
    </row>
    <row r="33" spans="1:14" ht="19.5" customHeight="1">
      <c r="A33" s="65">
        <v>31</v>
      </c>
      <c r="B33" s="16"/>
      <c r="C33" s="17"/>
      <c r="D33" s="17"/>
      <c r="E33" s="17"/>
      <c r="F33" s="17"/>
      <c r="G33" s="17"/>
      <c r="H33" s="66" t="str">
        <f>IF(C33="XXL (&gt;160h)",168,IF(C33="XL (&gt;40h)",48,IF(C33="L (20-40h)",30,IF(C33="M (10-20h)",15,IF(C33="S (&lt;10h)",5,"")))))</f>
        <v/>
      </c>
      <c r="I33" s="16"/>
      <c r="J33" s="67" t="str">
        <f>IF($E33="Q12027",COUNTIF($E$3:$E33,"Q12027"),"")</f>
        <v/>
      </c>
      <c r="K33" s="67" t="str">
        <f>IF($E33="Q22027",COUNTIF($E$3:$E33,"Q22027"),"")</f>
        <v/>
      </c>
      <c r="L33" s="67" t="str">
        <f>IF($E33="Q32027",COUNTIF($E$3:$E33,"Q32027"),"")</f>
        <v/>
      </c>
      <c r="M33" s="67" t="str">
        <f>IF($E33="Q42027",COUNTIF($E$3:$E33,"Q42027"),"")</f>
        <v/>
      </c>
      <c r="N33" s="67" t="str">
        <f>IF($E33="Backlog",COUNTIF($E$3:$E33,"Backlog"),"")</f>
        <v/>
      </c>
    </row>
    <row r="34" spans="1:14" ht="19.5" customHeight="1">
      <c r="A34" s="68">
        <v>32</v>
      </c>
      <c r="B34" s="18"/>
      <c r="C34" s="19"/>
      <c r="D34" s="19"/>
      <c r="E34" s="19"/>
      <c r="F34" s="19"/>
      <c r="G34" s="19"/>
      <c r="H34" s="69" t="str">
        <f>IF(C34="XXL (&gt;160h)",168,IF(C34="XL (&gt;40h)",48,IF(C34="L (20-40h)",30,IF(C34="M (10-20h)",15,IF(C34="S (&lt;10h)",5,"")))))</f>
        <v/>
      </c>
      <c r="I34" s="18"/>
      <c r="J34" s="67" t="str">
        <f>IF($E34="Q12027",COUNTIF($E$3:$E34,"Q12027"),"")</f>
        <v/>
      </c>
      <c r="K34" s="67" t="str">
        <f>IF($E34="Q22027",COUNTIF($E$3:$E34,"Q22027"),"")</f>
        <v/>
      </c>
      <c r="L34" s="67" t="str">
        <f>IF($E34="Q32027",COUNTIF($E$3:$E34,"Q32027"),"")</f>
        <v/>
      </c>
      <c r="M34" s="67" t="str">
        <f>IF($E34="Q42027",COUNTIF($E$3:$E34,"Q42027"),"")</f>
        <v/>
      </c>
      <c r="N34" s="67" t="str">
        <f>IF($E34="Backlog",COUNTIF($E$3:$E34,"Backlog"),"")</f>
        <v/>
      </c>
    </row>
    <row r="35" spans="1:14" ht="19.5" customHeight="1">
      <c r="A35" s="65">
        <v>33</v>
      </c>
      <c r="B35" s="16"/>
      <c r="C35" s="17"/>
      <c r="D35" s="17"/>
      <c r="E35" s="17"/>
      <c r="F35" s="17"/>
      <c r="G35" s="17"/>
      <c r="H35" s="66" t="str">
        <f>IF(C35="XXL (&gt;160h)",168,IF(C35="XL (&gt;40h)",48,IF(C35="L (20-40h)",30,IF(C35="M (10-20h)",15,IF(C35="S (&lt;10h)",5,"")))))</f>
        <v/>
      </c>
      <c r="I35" s="16"/>
      <c r="J35" s="67" t="str">
        <f>IF($E35="Q12027",COUNTIF($E$3:$E35,"Q12027"),"")</f>
        <v/>
      </c>
      <c r="K35" s="67" t="str">
        <f>IF($E35="Q22027",COUNTIF($E$3:$E35,"Q22027"),"")</f>
        <v/>
      </c>
      <c r="L35" s="67" t="str">
        <f>IF($E35="Q32027",COUNTIF($E$3:$E35,"Q32027"),"")</f>
        <v/>
      </c>
      <c r="M35" s="67" t="str">
        <f>IF($E35="Q42027",COUNTIF($E$3:$E35,"Q42027"),"")</f>
        <v/>
      </c>
      <c r="N35" s="67" t="str">
        <f>IF($E35="Backlog",COUNTIF($E$3:$E35,"Backlog"),"")</f>
        <v/>
      </c>
    </row>
    <row r="36" spans="1:14" ht="19.5" customHeight="1">
      <c r="A36" s="68">
        <v>34</v>
      </c>
      <c r="B36" s="18"/>
      <c r="C36" s="19"/>
      <c r="D36" s="19"/>
      <c r="E36" s="19"/>
      <c r="F36" s="19"/>
      <c r="G36" s="19"/>
      <c r="H36" s="69" t="str">
        <f>IF(C36="XXL (&gt;160h)",168,IF(C36="XL (&gt;40h)",48,IF(C36="L (20-40h)",30,IF(C36="M (10-20h)",15,IF(C36="S (&lt;10h)",5,"")))))</f>
        <v/>
      </c>
      <c r="I36" s="18"/>
      <c r="J36" s="67" t="str">
        <f>IF($E36="Q12027",COUNTIF($E$3:$E36,"Q12027"),"")</f>
        <v/>
      </c>
      <c r="K36" s="67" t="str">
        <f>IF($E36="Q22027",COUNTIF($E$3:$E36,"Q22027"),"")</f>
        <v/>
      </c>
      <c r="L36" s="67" t="str">
        <f>IF($E36="Q32027",COUNTIF($E$3:$E36,"Q32027"),"")</f>
        <v/>
      </c>
      <c r="M36" s="67" t="str">
        <f>IF($E36="Q42027",COUNTIF($E$3:$E36,"Q42027"),"")</f>
        <v/>
      </c>
      <c r="N36" s="67" t="str">
        <f>IF($E36="Backlog",COUNTIF($E$3:$E36,"Backlog"),"")</f>
        <v/>
      </c>
    </row>
    <row r="37" spans="1:14" ht="19.5" customHeight="1">
      <c r="A37" s="65">
        <v>35</v>
      </c>
      <c r="B37" s="16"/>
      <c r="C37" s="17"/>
      <c r="D37" s="17"/>
      <c r="E37" s="17"/>
      <c r="F37" s="17"/>
      <c r="G37" s="17"/>
      <c r="H37" s="66" t="str">
        <f>IF(C37="XXL (&gt;160h)",168,IF(C37="XL (&gt;40h)",48,IF(C37="L (20-40h)",30,IF(C37="M (10-20h)",15,IF(C37="S (&lt;10h)",5,"")))))</f>
        <v/>
      </c>
      <c r="I37" s="16"/>
      <c r="J37" s="67" t="str">
        <f>IF($E37="Q12027",COUNTIF($E$3:$E37,"Q12027"),"")</f>
        <v/>
      </c>
      <c r="K37" s="67" t="str">
        <f>IF($E37="Q22027",COUNTIF($E$3:$E37,"Q22027"),"")</f>
        <v/>
      </c>
      <c r="L37" s="67" t="str">
        <f>IF($E37="Q32027",COUNTIF($E$3:$E37,"Q32027"),"")</f>
        <v/>
      </c>
      <c r="M37" s="67" t="str">
        <f>IF($E37="Q42027",COUNTIF($E$3:$E37,"Q42027"),"")</f>
        <v/>
      </c>
      <c r="N37" s="67" t="str">
        <f>IF($E37="Backlog",COUNTIF($E$3:$E37,"Backlog"),"")</f>
        <v/>
      </c>
    </row>
    <row r="38" spans="1:14" ht="19.5" customHeight="1">
      <c r="A38" s="68">
        <v>36</v>
      </c>
      <c r="B38" s="18"/>
      <c r="C38" s="19"/>
      <c r="D38" s="19"/>
      <c r="E38" s="19"/>
      <c r="F38" s="19"/>
      <c r="G38" s="19"/>
      <c r="H38" s="69" t="str">
        <f>IF(C38="XXL (&gt;160h)",168,IF(C38="XL (&gt;40h)",48,IF(C38="L (20-40h)",30,IF(C38="M (10-20h)",15,IF(C38="S (&lt;10h)",5,"")))))</f>
        <v/>
      </c>
      <c r="I38" s="18"/>
      <c r="J38" s="67" t="str">
        <f>IF($E38="Q12027",COUNTIF($E$3:$E38,"Q12027"),"")</f>
        <v/>
      </c>
      <c r="K38" s="67" t="str">
        <f>IF($E38="Q22027",COUNTIF($E$3:$E38,"Q22027"),"")</f>
        <v/>
      </c>
      <c r="L38" s="67" t="str">
        <f>IF($E38="Q32027",COUNTIF($E$3:$E38,"Q32027"),"")</f>
        <v/>
      </c>
      <c r="M38" s="67" t="str">
        <f>IF($E38="Q42027",COUNTIF($E$3:$E38,"Q42027"),"")</f>
        <v/>
      </c>
      <c r="N38" s="67" t="str">
        <f>IF($E38="Backlog",COUNTIF($E$3:$E38,"Backlog"),"")</f>
        <v/>
      </c>
    </row>
    <row r="39" spans="1:14" ht="19.5" customHeight="1">
      <c r="A39" s="65">
        <v>37</v>
      </c>
      <c r="B39" s="16"/>
      <c r="C39" s="17"/>
      <c r="D39" s="17"/>
      <c r="E39" s="17"/>
      <c r="F39" s="17"/>
      <c r="G39" s="17"/>
      <c r="H39" s="66" t="str">
        <f>IF(C39="XXL (&gt;160h)",168,IF(C39="XL (&gt;40h)",48,IF(C39="L (20-40h)",30,IF(C39="M (10-20h)",15,IF(C39="S (&lt;10h)",5,"")))))</f>
        <v/>
      </c>
      <c r="I39" s="16"/>
      <c r="J39" s="67" t="str">
        <f>IF($E39="Q12027",COUNTIF($E$3:$E39,"Q12027"),"")</f>
        <v/>
      </c>
      <c r="K39" s="67" t="str">
        <f>IF($E39="Q22027",COUNTIF($E$3:$E39,"Q22027"),"")</f>
        <v/>
      </c>
      <c r="L39" s="67" t="str">
        <f>IF($E39="Q32027",COUNTIF($E$3:$E39,"Q32027"),"")</f>
        <v/>
      </c>
      <c r="M39" s="67" t="str">
        <f>IF($E39="Q42027",COUNTIF($E$3:$E39,"Q42027"),"")</f>
        <v/>
      </c>
      <c r="N39" s="67" t="str">
        <f>IF($E39="Backlog",COUNTIF($E$3:$E39,"Backlog"),"")</f>
        <v/>
      </c>
    </row>
    <row r="40" spans="1:14" ht="19.5" customHeight="1">
      <c r="A40" s="68">
        <v>38</v>
      </c>
      <c r="B40" s="18"/>
      <c r="C40" s="19"/>
      <c r="D40" s="19"/>
      <c r="E40" s="19"/>
      <c r="F40" s="19"/>
      <c r="G40" s="19"/>
      <c r="H40" s="69" t="str">
        <f>IF(C40="XXL (&gt;160h)",168,IF(C40="XL (&gt;40h)",48,IF(C40="L (20-40h)",30,IF(C40="M (10-20h)",15,IF(C40="S (&lt;10h)",5,"")))))</f>
        <v/>
      </c>
      <c r="I40" s="18"/>
      <c r="J40" s="67" t="str">
        <f>IF($E40="Q12027",COUNTIF($E$3:$E40,"Q12027"),"")</f>
        <v/>
      </c>
      <c r="K40" s="67" t="str">
        <f>IF($E40="Q22027",COUNTIF($E$3:$E40,"Q22027"),"")</f>
        <v/>
      </c>
      <c r="L40" s="67" t="str">
        <f>IF($E40="Q32027",COUNTIF($E$3:$E40,"Q32027"),"")</f>
        <v/>
      </c>
      <c r="M40" s="67" t="str">
        <f>IF($E40="Q42027",COUNTIF($E$3:$E40,"Q42027"),"")</f>
        <v/>
      </c>
      <c r="N40" s="67" t="str">
        <f>IF($E40="Backlog",COUNTIF($E$3:$E40,"Backlog"),"")</f>
        <v/>
      </c>
    </row>
    <row r="41" spans="1:14" ht="19.5" customHeight="1">
      <c r="A41" s="65">
        <v>39</v>
      </c>
      <c r="B41" s="16"/>
      <c r="C41" s="17"/>
      <c r="D41" s="17"/>
      <c r="E41" s="17"/>
      <c r="F41" s="17"/>
      <c r="G41" s="17"/>
      <c r="H41" s="66" t="str">
        <f>IF(C41="XXL (&gt;160h)",168,IF(C41="XL (&gt;40h)",48,IF(C41="L (20-40h)",30,IF(C41="M (10-20h)",15,IF(C41="S (&lt;10h)",5,"")))))</f>
        <v/>
      </c>
      <c r="I41" s="16"/>
      <c r="J41" s="67" t="str">
        <f>IF($E41="Q12027",COUNTIF($E$3:$E41,"Q12027"),"")</f>
        <v/>
      </c>
      <c r="K41" s="67" t="str">
        <f>IF($E41="Q22027",COUNTIF($E$3:$E41,"Q22027"),"")</f>
        <v/>
      </c>
      <c r="L41" s="67" t="str">
        <f>IF($E41="Q32027",COUNTIF($E$3:$E41,"Q32027"),"")</f>
        <v/>
      </c>
      <c r="M41" s="67" t="str">
        <f>IF($E41="Q42027",COUNTIF($E$3:$E41,"Q42027"),"")</f>
        <v/>
      </c>
      <c r="N41" s="67" t="str">
        <f>IF($E41="Backlog",COUNTIF($E$3:$E41,"Backlog"),"")</f>
        <v/>
      </c>
    </row>
    <row r="42" spans="1:14" ht="19.5" customHeight="1">
      <c r="A42" s="68">
        <v>40</v>
      </c>
      <c r="B42" s="18"/>
      <c r="C42" s="19"/>
      <c r="D42" s="19"/>
      <c r="E42" s="19"/>
      <c r="F42" s="19"/>
      <c r="G42" s="19"/>
      <c r="H42" s="69" t="str">
        <f>IF(C42="XXL (&gt;160h)",168,IF(C42="XL (&gt;40h)",48,IF(C42="L (20-40h)",30,IF(C42="M (10-20h)",15,IF(C42="S (&lt;10h)",5,"")))))</f>
        <v/>
      </c>
      <c r="I42" s="18"/>
      <c r="J42" s="67" t="str">
        <f>IF($E42="Q12027",COUNTIF($E$3:$E42,"Q12027"),"")</f>
        <v/>
      </c>
      <c r="K42" s="67" t="str">
        <f>IF($E42="Q22027",COUNTIF($E$3:$E42,"Q22027"),"")</f>
        <v/>
      </c>
      <c r="L42" s="67" t="str">
        <f>IF($E42="Q32027",COUNTIF($E$3:$E42,"Q32027"),"")</f>
        <v/>
      </c>
      <c r="M42" s="67" t="str">
        <f>IF($E42="Q42027",COUNTIF($E$3:$E42,"Q42027"),"")</f>
        <v/>
      </c>
      <c r="N42" s="67" t="str">
        <f>IF($E42="Backlog",COUNTIF($E$3:$E42,"Backlog"),"")</f>
        <v/>
      </c>
    </row>
    <row r="43" spans="1:14" ht="19.5" customHeight="1">
      <c r="A43" s="65">
        <v>41</v>
      </c>
      <c r="B43" s="16"/>
      <c r="C43" s="17"/>
      <c r="D43" s="17"/>
      <c r="E43" s="17"/>
      <c r="F43" s="17"/>
      <c r="G43" s="17"/>
      <c r="H43" s="66" t="str">
        <f>IF(C43="XXL (&gt;160h)",168,IF(C43="XL (&gt;40h)",48,IF(C43="L (20-40h)",30,IF(C43="M (10-20h)",15,IF(C43="S (&lt;10h)",5,"")))))</f>
        <v/>
      </c>
      <c r="I43" s="16"/>
      <c r="J43" s="67" t="str">
        <f>IF($E43="Q12027",COUNTIF($E$3:$E43,"Q12027"),"")</f>
        <v/>
      </c>
      <c r="K43" s="67" t="str">
        <f>IF($E43="Q22027",COUNTIF($E$3:$E43,"Q22027"),"")</f>
        <v/>
      </c>
      <c r="L43" s="67" t="str">
        <f>IF($E43="Q32027",COUNTIF($E$3:$E43,"Q32027"),"")</f>
        <v/>
      </c>
      <c r="M43" s="67" t="str">
        <f>IF($E43="Q42027",COUNTIF($E$3:$E43,"Q42027"),"")</f>
        <v/>
      </c>
      <c r="N43" s="67" t="str">
        <f>IF($E43="Backlog",COUNTIF($E$3:$E43,"Backlog"),"")</f>
        <v/>
      </c>
    </row>
    <row r="44" spans="1:14" ht="19.5" customHeight="1">
      <c r="A44" s="68">
        <v>42</v>
      </c>
      <c r="B44" s="18"/>
      <c r="C44" s="19"/>
      <c r="D44" s="19"/>
      <c r="E44" s="19"/>
      <c r="F44" s="19"/>
      <c r="G44" s="19"/>
      <c r="H44" s="69" t="str">
        <f>IF(C44="XXL (&gt;160h)",168,IF(C44="XL (&gt;40h)",48,IF(C44="L (20-40h)",30,IF(C44="M (10-20h)",15,IF(C44="S (&lt;10h)",5,"")))))</f>
        <v/>
      </c>
      <c r="I44" s="18"/>
      <c r="J44" s="67" t="str">
        <f>IF($E44="Q12027",COUNTIF($E$3:$E44,"Q12027"),"")</f>
        <v/>
      </c>
      <c r="K44" s="67" t="str">
        <f>IF($E44="Q22027",COUNTIF($E$3:$E44,"Q22027"),"")</f>
        <v/>
      </c>
      <c r="L44" s="67" t="str">
        <f>IF($E44="Q32027",COUNTIF($E$3:$E44,"Q32027"),"")</f>
        <v/>
      </c>
      <c r="M44" s="67" t="str">
        <f>IF($E44="Q42027",COUNTIF($E$3:$E44,"Q42027"),"")</f>
        <v/>
      </c>
      <c r="N44" s="67" t="str">
        <f>IF($E44="Backlog",COUNTIF($E$3:$E44,"Backlog"),"")</f>
        <v/>
      </c>
    </row>
    <row r="45" spans="1:14" ht="19.5" customHeight="1">
      <c r="A45" s="65">
        <v>43</v>
      </c>
      <c r="B45" s="16"/>
      <c r="C45" s="17"/>
      <c r="D45" s="17"/>
      <c r="E45" s="17"/>
      <c r="F45" s="17"/>
      <c r="G45" s="17"/>
      <c r="H45" s="66" t="str">
        <f>IF(C45="XXL (&gt;160h)",168,IF(C45="XL (&gt;40h)",48,IF(C45="L (20-40h)",30,IF(C45="M (10-20h)",15,IF(C45="S (&lt;10h)",5,"")))))</f>
        <v/>
      </c>
      <c r="I45" s="16"/>
      <c r="J45" s="67" t="str">
        <f>IF($E45="Q12027",COUNTIF($E$3:$E45,"Q12027"),"")</f>
        <v/>
      </c>
      <c r="K45" s="67" t="str">
        <f>IF($E45="Q22027",COUNTIF($E$3:$E45,"Q22027"),"")</f>
        <v/>
      </c>
      <c r="L45" s="67" t="str">
        <f>IF($E45="Q32027",COUNTIF($E$3:$E45,"Q32027"),"")</f>
        <v/>
      </c>
      <c r="M45" s="67" t="str">
        <f>IF($E45="Q42027",COUNTIF($E$3:$E45,"Q42027"),"")</f>
        <v/>
      </c>
      <c r="N45" s="67" t="str">
        <f>IF($E45="Backlog",COUNTIF($E$3:$E45,"Backlog"),"")</f>
        <v/>
      </c>
    </row>
    <row r="46" spans="1:14" ht="19.5" customHeight="1">
      <c r="A46" s="68">
        <v>44</v>
      </c>
      <c r="B46" s="18"/>
      <c r="C46" s="19"/>
      <c r="D46" s="19"/>
      <c r="E46" s="19"/>
      <c r="F46" s="19"/>
      <c r="G46" s="19"/>
      <c r="H46" s="69" t="str">
        <f>IF(C46="XXL (&gt;160h)",168,IF(C46="XL (&gt;40h)",48,IF(C46="L (20-40h)",30,IF(C46="M (10-20h)",15,IF(C46="S (&lt;10h)",5,"")))))</f>
        <v/>
      </c>
      <c r="I46" s="18"/>
      <c r="J46" s="67" t="str">
        <f>IF($E46="Q12027",COUNTIF($E$3:$E46,"Q12027"),"")</f>
        <v/>
      </c>
      <c r="K46" s="67" t="str">
        <f>IF($E46="Q22027",COUNTIF($E$3:$E46,"Q22027"),"")</f>
        <v/>
      </c>
      <c r="L46" s="67" t="str">
        <f>IF($E46="Q32027",COUNTIF($E$3:$E46,"Q32027"),"")</f>
        <v/>
      </c>
      <c r="M46" s="67" t="str">
        <f>IF($E46="Q42027",COUNTIF($E$3:$E46,"Q42027"),"")</f>
        <v/>
      </c>
      <c r="N46" s="67" t="str">
        <f>IF($E46="Backlog",COUNTIF($E$3:$E46,"Backlog"),"")</f>
        <v/>
      </c>
    </row>
    <row r="47" spans="1:14" ht="19.5" customHeight="1">
      <c r="A47" s="65">
        <v>45</v>
      </c>
      <c r="B47" s="16"/>
      <c r="C47" s="17"/>
      <c r="D47" s="17"/>
      <c r="E47" s="17"/>
      <c r="F47" s="17"/>
      <c r="G47" s="17"/>
      <c r="H47" s="66" t="str">
        <f>IF(C47="XXL (&gt;160h)",168,IF(C47="XL (&gt;40h)",48,IF(C47="L (20-40h)",30,IF(C47="M (10-20h)",15,IF(C47="S (&lt;10h)",5,"")))))</f>
        <v/>
      </c>
      <c r="I47" s="16"/>
      <c r="J47" s="67" t="str">
        <f>IF($E47="Q12027",COUNTIF($E$3:$E47,"Q12027"),"")</f>
        <v/>
      </c>
      <c r="K47" s="67" t="str">
        <f>IF($E47="Q22027",COUNTIF($E$3:$E47,"Q22027"),"")</f>
        <v/>
      </c>
      <c r="L47" s="67" t="str">
        <f>IF($E47="Q32027",COUNTIF($E$3:$E47,"Q32027"),"")</f>
        <v/>
      </c>
      <c r="M47" s="67" t="str">
        <f>IF($E47="Q42027",COUNTIF($E$3:$E47,"Q42027"),"")</f>
        <v/>
      </c>
      <c r="N47" s="67" t="str">
        <f>IF($E47="Backlog",COUNTIF($E$3:$E47,"Backlog"),"")</f>
        <v/>
      </c>
    </row>
    <row r="48" spans="1:14" ht="19.5" customHeight="1">
      <c r="A48" s="68">
        <v>46</v>
      </c>
      <c r="B48" s="18"/>
      <c r="C48" s="19"/>
      <c r="D48" s="19"/>
      <c r="E48" s="19"/>
      <c r="F48" s="19"/>
      <c r="G48" s="19"/>
      <c r="H48" s="69" t="str">
        <f>IF(C48="XXL (&gt;160h)",168,IF(C48="XL (&gt;40h)",48,IF(C48="L (20-40h)",30,IF(C48="M (10-20h)",15,IF(C48="S (&lt;10h)",5,"")))))</f>
        <v/>
      </c>
      <c r="I48" s="18"/>
      <c r="J48" s="67" t="str">
        <f>IF($E48="Q12027",COUNTIF($E$3:$E48,"Q12027"),"")</f>
        <v/>
      </c>
      <c r="K48" s="67" t="str">
        <f>IF($E48="Q22027",COUNTIF($E$3:$E48,"Q22027"),"")</f>
        <v/>
      </c>
      <c r="L48" s="67" t="str">
        <f>IF($E48="Q32027",COUNTIF($E$3:$E48,"Q32027"),"")</f>
        <v/>
      </c>
      <c r="M48" s="67" t="str">
        <f>IF($E48="Q42027",COUNTIF($E$3:$E48,"Q42027"),"")</f>
        <v/>
      </c>
      <c r="N48" s="67" t="str">
        <f>IF($E48="Backlog",COUNTIF($E$3:$E48,"Backlog"),"")</f>
        <v/>
      </c>
    </row>
    <row r="49" spans="1:14" ht="19.5" customHeight="1">
      <c r="A49" s="65">
        <v>47</v>
      </c>
      <c r="B49" s="16"/>
      <c r="C49" s="17"/>
      <c r="D49" s="17"/>
      <c r="E49" s="17"/>
      <c r="F49" s="17"/>
      <c r="G49" s="17"/>
      <c r="H49" s="66" t="str">
        <f>IF(C49="XXL (&gt;160h)",168,IF(C49="XL (&gt;40h)",48,IF(C49="L (20-40h)",30,IF(C49="M (10-20h)",15,IF(C49="S (&lt;10h)",5,"")))))</f>
        <v/>
      </c>
      <c r="I49" s="16"/>
      <c r="J49" s="67" t="str">
        <f>IF($E49="Q12027",COUNTIF($E$3:$E49,"Q12027"),"")</f>
        <v/>
      </c>
      <c r="K49" s="67" t="str">
        <f>IF($E49="Q22027",COUNTIF($E$3:$E49,"Q22027"),"")</f>
        <v/>
      </c>
      <c r="L49" s="67" t="str">
        <f>IF($E49="Q32027",COUNTIF($E$3:$E49,"Q32027"),"")</f>
        <v/>
      </c>
      <c r="M49" s="67" t="str">
        <f>IF($E49="Q42027",COUNTIF($E$3:$E49,"Q42027"),"")</f>
        <v/>
      </c>
      <c r="N49" s="67" t="str">
        <f>IF($E49="Backlog",COUNTIF($E$3:$E49,"Backlog"),"")</f>
        <v/>
      </c>
    </row>
    <row r="50" spans="1:14" ht="19.5" customHeight="1">
      <c r="A50" s="68">
        <v>48</v>
      </c>
      <c r="B50" s="18"/>
      <c r="C50" s="19"/>
      <c r="D50" s="19"/>
      <c r="E50" s="19"/>
      <c r="F50" s="19"/>
      <c r="G50" s="19"/>
      <c r="H50" s="69" t="str">
        <f>IF(C50="XXL (&gt;160h)",168,IF(C50="XL (&gt;40h)",48,IF(C50="L (20-40h)",30,IF(C50="M (10-20h)",15,IF(C50="S (&lt;10h)",5,"")))))</f>
        <v/>
      </c>
      <c r="I50" s="18"/>
      <c r="J50" s="67" t="str">
        <f>IF($E50="Q12027",COUNTIF($E$3:$E50,"Q12027"),"")</f>
        <v/>
      </c>
      <c r="K50" s="67" t="str">
        <f>IF($E50="Q22027",COUNTIF($E$3:$E50,"Q22027"),"")</f>
        <v/>
      </c>
      <c r="L50" s="67" t="str">
        <f>IF($E50="Q32027",COUNTIF($E$3:$E50,"Q32027"),"")</f>
        <v/>
      </c>
      <c r="M50" s="67" t="str">
        <f>IF($E50="Q42027",COUNTIF($E$3:$E50,"Q42027"),"")</f>
        <v/>
      </c>
      <c r="N50" s="67" t="str">
        <f>IF($E50="Backlog",COUNTIF($E$3:$E50,"Backlog"),"")</f>
        <v/>
      </c>
    </row>
    <row r="51" spans="1:14" ht="19.5" customHeight="1">
      <c r="A51" s="65">
        <v>49</v>
      </c>
      <c r="B51" s="16"/>
      <c r="C51" s="17"/>
      <c r="D51" s="17"/>
      <c r="E51" s="17"/>
      <c r="F51" s="17"/>
      <c r="G51" s="17"/>
      <c r="H51" s="66" t="str">
        <f>IF(C51="XXL (&gt;160h)",168,IF(C51="XL (&gt;40h)",48,IF(C51="L (20-40h)",30,IF(C51="M (10-20h)",15,IF(C51="S (&lt;10h)",5,"")))))</f>
        <v/>
      </c>
      <c r="I51" s="16"/>
      <c r="J51" s="67" t="str">
        <f>IF($E51="Q12027",COUNTIF($E$3:$E51,"Q12027"),"")</f>
        <v/>
      </c>
      <c r="K51" s="67" t="str">
        <f>IF($E51="Q22027",COUNTIF($E$3:$E51,"Q22027"),"")</f>
        <v/>
      </c>
      <c r="L51" s="67" t="str">
        <f>IF($E51="Q32027",COUNTIF($E$3:$E51,"Q32027"),"")</f>
        <v/>
      </c>
      <c r="M51" s="67" t="str">
        <f>IF($E51="Q42027",COUNTIF($E$3:$E51,"Q42027"),"")</f>
        <v/>
      </c>
      <c r="N51" s="67" t="str">
        <f>IF($E51="Backlog",COUNTIF($E$3:$E51,"Backlog"),"")</f>
        <v/>
      </c>
    </row>
    <row r="52" spans="1:14" ht="19.5" customHeight="1">
      <c r="A52" s="68">
        <v>50</v>
      </c>
      <c r="B52" s="18"/>
      <c r="C52" s="19"/>
      <c r="D52" s="19"/>
      <c r="E52" s="19"/>
      <c r="F52" s="19"/>
      <c r="G52" s="19"/>
      <c r="H52" s="69" t="str">
        <f>IF(C52="XXL (&gt;160h)",168,IF(C52="XL (&gt;40h)",48,IF(C52="L (20-40h)",30,IF(C52="M (10-20h)",15,IF(C52="S (&lt;10h)",5,"")))))</f>
        <v/>
      </c>
      <c r="I52" s="18"/>
      <c r="J52" s="67" t="str">
        <f>IF($E52="Q12027",COUNTIF($E$3:$E52,"Q12027"),"")</f>
        <v/>
      </c>
      <c r="K52" s="67" t="str">
        <f>IF($E52="Q22027",COUNTIF($E$3:$E52,"Q22027"),"")</f>
        <v/>
      </c>
      <c r="L52" s="67" t="str">
        <f>IF($E52="Q32027",COUNTIF($E$3:$E52,"Q32027"),"")</f>
        <v/>
      </c>
      <c r="M52" s="67" t="str">
        <f>IF($E52="Q42027",COUNTIF($E$3:$E52,"Q42027"),"")</f>
        <v/>
      </c>
      <c r="N52" s="67" t="str">
        <f>IF($E52="Backlog",COUNTIF($E$3:$E52,"Backlog"),"")</f>
        <v/>
      </c>
    </row>
    <row r="53" spans="1:14" ht="19.5" customHeight="1">
      <c r="A53" s="65">
        <v>51</v>
      </c>
      <c r="B53" s="16"/>
      <c r="C53" s="17"/>
      <c r="D53" s="17"/>
      <c r="E53" s="17"/>
      <c r="F53" s="17"/>
      <c r="G53" s="17"/>
      <c r="H53" s="66" t="str">
        <f>IF(C53="XXL (&gt;160h)",168,IF(C53="XL (&gt;40h)",48,IF(C53="L (20-40h)",30,IF(C53="M (10-20h)",15,IF(C53="S (&lt;10h)",5,"")))))</f>
        <v/>
      </c>
      <c r="I53" s="16"/>
      <c r="J53" s="67" t="str">
        <f>IF($E53="Q12027",COUNTIF($E$3:$E53,"Q12027"),"")</f>
        <v/>
      </c>
      <c r="K53" s="67" t="str">
        <f>IF($E53="Q22027",COUNTIF($E$3:$E53,"Q22027"),"")</f>
        <v/>
      </c>
      <c r="L53" s="67" t="str">
        <f>IF($E53="Q32027",COUNTIF($E$3:$E53,"Q32027"),"")</f>
        <v/>
      </c>
      <c r="M53" s="67" t="str">
        <f>IF($E53="Q42027",COUNTIF($E$3:$E53,"Q42027"),"")</f>
        <v/>
      </c>
      <c r="N53" s="67" t="str">
        <f>IF($E53="Backlog",COUNTIF($E$3:$E53,"Backlog"),"")</f>
        <v/>
      </c>
    </row>
    <row r="54" spans="1:14" ht="19.5" customHeight="1">
      <c r="A54" s="68">
        <v>52</v>
      </c>
      <c r="B54" s="18"/>
      <c r="C54" s="19"/>
      <c r="D54" s="19"/>
      <c r="E54" s="19"/>
      <c r="F54" s="19"/>
      <c r="G54" s="19"/>
      <c r="H54" s="69" t="str">
        <f>IF(C54="XXL (&gt;160h)",168,IF(C54="XL (&gt;40h)",48,IF(C54="L (20-40h)",30,IF(C54="M (10-20h)",15,IF(C54="S (&lt;10h)",5,"")))))</f>
        <v/>
      </c>
      <c r="I54" s="18"/>
      <c r="J54" s="67" t="str">
        <f>IF($E54="Q12027",COUNTIF($E$3:$E54,"Q12027"),"")</f>
        <v/>
      </c>
      <c r="K54" s="67" t="str">
        <f>IF($E54="Q22027",COUNTIF($E$3:$E54,"Q22027"),"")</f>
        <v/>
      </c>
      <c r="L54" s="67" t="str">
        <f>IF($E54="Q32027",COUNTIF($E$3:$E54,"Q32027"),"")</f>
        <v/>
      </c>
      <c r="M54" s="67" t="str">
        <f>IF($E54="Q42027",COUNTIF($E$3:$E54,"Q42027"),"")</f>
        <v/>
      </c>
      <c r="N54" s="67" t="str">
        <f>IF($E54="Backlog",COUNTIF($E$3:$E54,"Backlog"),"")</f>
        <v/>
      </c>
    </row>
    <row r="55" spans="1:14" ht="19.5" customHeight="1">
      <c r="A55" s="65">
        <v>53</v>
      </c>
      <c r="B55" s="16"/>
      <c r="C55" s="17"/>
      <c r="D55" s="17"/>
      <c r="E55" s="17"/>
      <c r="F55" s="17"/>
      <c r="G55" s="17"/>
      <c r="H55" s="66" t="str">
        <f>IF(C55="XXL (&gt;160h)",168,IF(C55="XL (&gt;40h)",48,IF(C55="L (20-40h)",30,IF(C55="M (10-20h)",15,IF(C55="S (&lt;10h)",5,"")))))</f>
        <v/>
      </c>
      <c r="I55" s="16"/>
      <c r="J55" s="67" t="str">
        <f>IF($E55="Q12027",COUNTIF($E$3:$E55,"Q12027"),"")</f>
        <v/>
      </c>
      <c r="K55" s="67" t="str">
        <f>IF($E55="Q22027",COUNTIF($E$3:$E55,"Q22027"),"")</f>
        <v/>
      </c>
      <c r="L55" s="67" t="str">
        <f>IF($E55="Q32027",COUNTIF($E$3:$E55,"Q32027"),"")</f>
        <v/>
      </c>
      <c r="M55" s="67" t="str">
        <f>IF($E55="Q42027",COUNTIF($E$3:$E55,"Q42027"),"")</f>
        <v/>
      </c>
      <c r="N55" s="67" t="str">
        <f>IF($E55="Backlog",COUNTIF($E$3:$E55,"Backlog"),"")</f>
        <v/>
      </c>
    </row>
    <row r="56" spans="1:14" ht="19.5" customHeight="1">
      <c r="A56" s="68">
        <v>54</v>
      </c>
      <c r="B56" s="18"/>
      <c r="C56" s="19"/>
      <c r="D56" s="19"/>
      <c r="E56" s="19"/>
      <c r="F56" s="19"/>
      <c r="G56" s="19"/>
      <c r="H56" s="69" t="str">
        <f>IF(C56="XXL (&gt;160h)",168,IF(C56="XL (&gt;40h)",48,IF(C56="L (20-40h)",30,IF(C56="M (10-20h)",15,IF(C56="S (&lt;10h)",5,"")))))</f>
        <v/>
      </c>
      <c r="I56" s="18"/>
      <c r="J56" s="67" t="str">
        <f>IF($E56="Q12027",COUNTIF($E$3:$E56,"Q12027"),"")</f>
        <v/>
      </c>
      <c r="K56" s="67" t="str">
        <f>IF($E56="Q22027",COUNTIF($E$3:$E56,"Q22027"),"")</f>
        <v/>
      </c>
      <c r="L56" s="67" t="str">
        <f>IF($E56="Q32027",COUNTIF($E$3:$E56,"Q32027"),"")</f>
        <v/>
      </c>
      <c r="M56" s="67" t="str">
        <f>IF($E56="Q42027",COUNTIF($E$3:$E56,"Q42027"),"")</f>
        <v/>
      </c>
      <c r="N56" s="67" t="str">
        <f>IF($E56="Backlog",COUNTIF($E$3:$E56,"Backlog"),"")</f>
        <v/>
      </c>
    </row>
    <row r="57" spans="1:14" ht="19.5" customHeight="1">
      <c r="A57" s="65">
        <v>55</v>
      </c>
      <c r="B57" s="16"/>
      <c r="C57" s="17"/>
      <c r="D57" s="17"/>
      <c r="E57" s="17"/>
      <c r="F57" s="17"/>
      <c r="G57" s="17"/>
      <c r="H57" s="66" t="str">
        <f>IF(C57="XXL (&gt;160h)",168,IF(C57="XL (&gt;40h)",48,IF(C57="L (20-40h)",30,IF(C57="M (10-20h)",15,IF(C57="S (&lt;10h)",5,"")))))</f>
        <v/>
      </c>
      <c r="I57" s="16"/>
      <c r="J57" s="67" t="str">
        <f>IF($E57="Q12027",COUNTIF($E$3:$E57,"Q12027"),"")</f>
        <v/>
      </c>
      <c r="K57" s="67" t="str">
        <f>IF($E57="Q22027",COUNTIF($E$3:$E57,"Q22027"),"")</f>
        <v/>
      </c>
      <c r="L57" s="67" t="str">
        <f>IF($E57="Q32027",COUNTIF($E$3:$E57,"Q32027"),"")</f>
        <v/>
      </c>
      <c r="M57" s="67" t="str">
        <f>IF($E57="Q42027",COUNTIF($E$3:$E57,"Q42027"),"")</f>
        <v/>
      </c>
      <c r="N57" s="67" t="str">
        <f>IF($E57="Backlog",COUNTIF($E$3:$E57,"Backlog"),"")</f>
        <v/>
      </c>
    </row>
    <row r="58" spans="1:14" ht="19.5" customHeight="1">
      <c r="A58" s="68">
        <v>56</v>
      </c>
      <c r="B58" s="18"/>
      <c r="C58" s="19"/>
      <c r="D58" s="19"/>
      <c r="E58" s="19"/>
      <c r="F58" s="19"/>
      <c r="G58" s="19"/>
      <c r="H58" s="69" t="str">
        <f>IF(C58="XXL (&gt;160h)",168,IF(C58="XL (&gt;40h)",48,IF(C58="L (20-40h)",30,IF(C58="M (10-20h)",15,IF(C58="S (&lt;10h)",5,"")))))</f>
        <v/>
      </c>
      <c r="I58" s="18"/>
      <c r="J58" s="67" t="str">
        <f>IF($E58="Q12027",COUNTIF($E$3:$E58,"Q12027"),"")</f>
        <v/>
      </c>
      <c r="K58" s="67" t="str">
        <f>IF($E58="Q22027",COUNTIF($E$3:$E58,"Q22027"),"")</f>
        <v/>
      </c>
      <c r="L58" s="67" t="str">
        <f>IF($E58="Q32027",COUNTIF($E$3:$E58,"Q32027"),"")</f>
        <v/>
      </c>
      <c r="M58" s="67" t="str">
        <f>IF($E58="Q42027",COUNTIF($E$3:$E58,"Q42027"),"")</f>
        <v/>
      </c>
      <c r="N58" s="67" t="str">
        <f>IF($E58="Backlog",COUNTIF($E$3:$E58,"Backlog"),"")</f>
        <v/>
      </c>
    </row>
    <row r="59" spans="1:14" ht="19.5" customHeight="1">
      <c r="A59" s="65">
        <v>57</v>
      </c>
      <c r="B59" s="16"/>
      <c r="C59" s="17"/>
      <c r="D59" s="17"/>
      <c r="E59" s="17"/>
      <c r="F59" s="17"/>
      <c r="G59" s="17"/>
      <c r="H59" s="66" t="str">
        <f>IF(C59="XXL (&gt;160h)",168,IF(C59="XL (&gt;40h)",48,IF(C59="L (20-40h)",30,IF(C59="M (10-20h)",15,IF(C59="S (&lt;10h)",5,"")))))</f>
        <v/>
      </c>
      <c r="I59" s="16"/>
      <c r="J59" s="67" t="str">
        <f>IF($E59="Q12027",COUNTIF($E$3:$E59,"Q12027"),"")</f>
        <v/>
      </c>
      <c r="K59" s="67" t="str">
        <f>IF($E59="Q22027",COUNTIF($E$3:$E59,"Q22027"),"")</f>
        <v/>
      </c>
      <c r="L59" s="67" t="str">
        <f>IF($E59="Q32027",COUNTIF($E$3:$E59,"Q32027"),"")</f>
        <v/>
      </c>
      <c r="M59" s="67" t="str">
        <f>IF($E59="Q42027",COUNTIF($E$3:$E59,"Q42027"),"")</f>
        <v/>
      </c>
      <c r="N59" s="67" t="str">
        <f>IF($E59="Backlog",COUNTIF($E$3:$E59,"Backlog"),"")</f>
        <v/>
      </c>
    </row>
    <row r="60" spans="1:14" ht="19.5" customHeight="1">
      <c r="A60" s="68">
        <v>58</v>
      </c>
      <c r="B60" s="18"/>
      <c r="C60" s="19"/>
      <c r="D60" s="19"/>
      <c r="E60" s="19"/>
      <c r="F60" s="19"/>
      <c r="G60" s="19"/>
      <c r="H60" s="69" t="str">
        <f>IF(C60="XXL (&gt;160h)",168,IF(C60="XL (&gt;40h)",48,IF(C60="L (20-40h)",30,IF(C60="M (10-20h)",15,IF(C60="S (&lt;10h)",5,"")))))</f>
        <v/>
      </c>
      <c r="I60" s="18"/>
      <c r="J60" s="67" t="str">
        <f>IF($E60="Q12027",COUNTIF($E$3:$E60,"Q12027"),"")</f>
        <v/>
      </c>
      <c r="K60" s="67" t="str">
        <f>IF($E60="Q22027",COUNTIF($E$3:$E60,"Q22027"),"")</f>
        <v/>
      </c>
      <c r="L60" s="67" t="str">
        <f>IF($E60="Q32027",COUNTIF($E$3:$E60,"Q32027"),"")</f>
        <v/>
      </c>
      <c r="M60" s="67" t="str">
        <f>IF($E60="Q42027",COUNTIF($E$3:$E60,"Q42027"),"")</f>
        <v/>
      </c>
      <c r="N60" s="67" t="str">
        <f>IF($E60="Backlog",COUNTIF($E$3:$E60,"Backlog"),"")</f>
        <v/>
      </c>
    </row>
    <row r="61" spans="1:14" ht="19.5" customHeight="1">
      <c r="A61" s="65">
        <v>59</v>
      </c>
      <c r="B61" s="16"/>
      <c r="C61" s="17"/>
      <c r="D61" s="17"/>
      <c r="E61" s="17"/>
      <c r="F61" s="17"/>
      <c r="G61" s="17"/>
      <c r="H61" s="66" t="str">
        <f>IF(C61="XXL (&gt;160h)",168,IF(C61="XL (&gt;40h)",48,IF(C61="L (20-40h)",30,IF(C61="M (10-20h)",15,IF(C61="S (&lt;10h)",5,"")))))</f>
        <v/>
      </c>
      <c r="I61" s="16"/>
      <c r="J61" s="67" t="str">
        <f>IF($E61="Q12027",COUNTIF($E$3:$E61,"Q12027"),"")</f>
        <v/>
      </c>
      <c r="K61" s="67" t="str">
        <f>IF($E61="Q22027",COUNTIF($E$3:$E61,"Q22027"),"")</f>
        <v/>
      </c>
      <c r="L61" s="67" t="str">
        <f>IF($E61="Q32027",COUNTIF($E$3:$E61,"Q32027"),"")</f>
        <v/>
      </c>
      <c r="M61" s="67" t="str">
        <f>IF($E61="Q42027",COUNTIF($E$3:$E61,"Q42027"),"")</f>
        <v/>
      </c>
      <c r="N61" s="67" t="str">
        <f>IF($E61="Backlog",COUNTIF($E$3:$E61,"Backlog"),"")</f>
        <v/>
      </c>
    </row>
    <row r="62" spans="1:14" ht="19.5" customHeight="1">
      <c r="A62" s="68">
        <v>60</v>
      </c>
      <c r="B62" s="18"/>
      <c r="C62" s="19"/>
      <c r="D62" s="19"/>
      <c r="E62" s="19"/>
      <c r="F62" s="19"/>
      <c r="G62" s="19"/>
      <c r="H62" s="69" t="str">
        <f>IF(C62="XXL (&gt;160h)",168,IF(C62="XL (&gt;40h)",48,IF(C62="L (20-40h)",30,IF(C62="M (10-20h)",15,IF(C62="S (&lt;10h)",5,"")))))</f>
        <v/>
      </c>
      <c r="I62" s="18"/>
      <c r="J62" s="67" t="str">
        <f>IF($E62="Q12027",COUNTIF($E$3:$E62,"Q12027"),"")</f>
        <v/>
      </c>
      <c r="K62" s="67" t="str">
        <f>IF($E62="Q22027",COUNTIF($E$3:$E62,"Q22027"),"")</f>
        <v/>
      </c>
      <c r="L62" s="67" t="str">
        <f>IF($E62="Q32027",COUNTIF($E$3:$E62,"Q32027"),"")</f>
        <v/>
      </c>
      <c r="M62" s="67" t="str">
        <f>IF($E62="Q42027",COUNTIF($E$3:$E62,"Q42027"),"")</f>
        <v/>
      </c>
      <c r="N62" s="67" t="str">
        <f>IF($E62="Backlog",COUNTIF($E$3:$E62,"Backlog"),"")</f>
        <v/>
      </c>
    </row>
    <row r="63" spans="1:14" ht="19.5" customHeight="1">
      <c r="A63" s="65">
        <v>61</v>
      </c>
      <c r="B63" s="16"/>
      <c r="C63" s="17"/>
      <c r="D63" s="17"/>
      <c r="E63" s="17"/>
      <c r="F63" s="17"/>
      <c r="G63" s="17"/>
      <c r="H63" s="66" t="str">
        <f>IF(C63="XXL (&gt;160h)",168,IF(C63="XL (&gt;40h)",48,IF(C63="L (20-40h)",30,IF(C63="M (10-20h)",15,IF(C63="S (&lt;10h)",5,"")))))</f>
        <v/>
      </c>
      <c r="I63" s="16"/>
      <c r="J63" s="67" t="str">
        <f>IF($E63="Q12027",COUNTIF($E$3:$E63,"Q12027"),"")</f>
        <v/>
      </c>
      <c r="K63" s="67" t="str">
        <f>IF($E63="Q22027",COUNTIF($E$3:$E63,"Q22027"),"")</f>
        <v/>
      </c>
      <c r="L63" s="67" t="str">
        <f>IF($E63="Q32027",COUNTIF($E$3:$E63,"Q32027"),"")</f>
        <v/>
      </c>
      <c r="M63" s="67" t="str">
        <f>IF($E63="Q42027",COUNTIF($E$3:$E63,"Q42027"),"")</f>
        <v/>
      </c>
      <c r="N63" s="67" t="str">
        <f>IF($E63="Backlog",COUNTIF($E$3:$E63,"Backlog"),"")</f>
        <v/>
      </c>
    </row>
    <row r="64" spans="1:14" ht="19.5" customHeight="1">
      <c r="A64" s="68">
        <v>62</v>
      </c>
      <c r="B64" s="18"/>
      <c r="C64" s="19"/>
      <c r="D64" s="19"/>
      <c r="E64" s="19"/>
      <c r="F64" s="19"/>
      <c r="G64" s="19"/>
      <c r="H64" s="69" t="str">
        <f>IF(C64="XXL (&gt;160h)",168,IF(C64="XL (&gt;40h)",48,IF(C64="L (20-40h)",30,IF(C64="M (10-20h)",15,IF(C64="S (&lt;10h)",5,"")))))</f>
        <v/>
      </c>
      <c r="I64" s="18"/>
      <c r="J64" s="67" t="str">
        <f>IF($E64="Q12027",COUNTIF($E$3:$E64,"Q12027"),"")</f>
        <v/>
      </c>
      <c r="K64" s="67" t="str">
        <f>IF($E64="Q22027",COUNTIF($E$3:$E64,"Q22027"),"")</f>
        <v/>
      </c>
      <c r="L64" s="67" t="str">
        <f>IF($E64="Q32027",COUNTIF($E$3:$E64,"Q32027"),"")</f>
        <v/>
      </c>
      <c r="M64" s="67" t="str">
        <f>IF($E64="Q42027",COUNTIF($E$3:$E64,"Q42027"),"")</f>
        <v/>
      </c>
      <c r="N64" s="67" t="str">
        <f>IF($E64="Backlog",COUNTIF($E$3:$E64,"Backlog"),"")</f>
        <v/>
      </c>
    </row>
    <row r="65" spans="1:14" ht="19.5" customHeight="1">
      <c r="A65" s="65">
        <v>63</v>
      </c>
      <c r="B65" s="16"/>
      <c r="C65" s="17"/>
      <c r="D65" s="17"/>
      <c r="E65" s="17"/>
      <c r="F65" s="17"/>
      <c r="G65" s="17"/>
      <c r="H65" s="66" t="str">
        <f>IF(C65="XXL (&gt;160h)",168,IF(C65="XL (&gt;40h)",48,IF(C65="L (20-40h)",30,IF(C65="M (10-20h)",15,IF(C65="S (&lt;10h)",5,"")))))</f>
        <v/>
      </c>
      <c r="I65" s="16"/>
      <c r="J65" s="67" t="str">
        <f>IF($E65="Q12027",COUNTIF($E$3:$E65,"Q12027"),"")</f>
        <v/>
      </c>
      <c r="K65" s="67" t="str">
        <f>IF($E65="Q22027",COUNTIF($E$3:$E65,"Q22027"),"")</f>
        <v/>
      </c>
      <c r="L65" s="67" t="str">
        <f>IF($E65="Q32027",COUNTIF($E$3:$E65,"Q32027"),"")</f>
        <v/>
      </c>
      <c r="M65" s="67" t="str">
        <f>IF($E65="Q42027",COUNTIF($E$3:$E65,"Q42027"),"")</f>
        <v/>
      </c>
      <c r="N65" s="67" t="str">
        <f>IF($E65="Backlog",COUNTIF($E$3:$E65,"Backlog"),"")</f>
        <v/>
      </c>
    </row>
    <row r="66" spans="1:14" ht="19.5" customHeight="1">
      <c r="A66" s="68">
        <v>64</v>
      </c>
      <c r="B66" s="18"/>
      <c r="C66" s="19"/>
      <c r="D66" s="19"/>
      <c r="E66" s="19"/>
      <c r="F66" s="19"/>
      <c r="G66" s="19"/>
      <c r="H66" s="69" t="str">
        <f>IF(C66="XXL (&gt;160h)",168,IF(C66="XL (&gt;40h)",48,IF(C66="L (20-40h)",30,IF(C66="M (10-20h)",15,IF(C66="S (&lt;10h)",5,"")))))</f>
        <v/>
      </c>
      <c r="I66" s="18"/>
      <c r="J66" s="67" t="str">
        <f>IF($E66="Q12027",COUNTIF($E$3:$E66,"Q12027"),"")</f>
        <v/>
      </c>
      <c r="K66" s="67" t="str">
        <f>IF($E66="Q22027",COUNTIF($E$3:$E66,"Q22027"),"")</f>
        <v/>
      </c>
      <c r="L66" s="67" t="str">
        <f>IF($E66="Q32027",COUNTIF($E$3:$E66,"Q32027"),"")</f>
        <v/>
      </c>
      <c r="M66" s="67" t="str">
        <f>IF($E66="Q42027",COUNTIF($E$3:$E66,"Q42027"),"")</f>
        <v/>
      </c>
      <c r="N66" s="67" t="str">
        <f>IF($E66="Backlog",COUNTIF($E$3:$E66,"Backlog"),"")</f>
        <v/>
      </c>
    </row>
    <row r="67" spans="1:14" ht="19.5" customHeight="1">
      <c r="A67" s="65">
        <v>65</v>
      </c>
      <c r="B67" s="16"/>
      <c r="C67" s="17"/>
      <c r="D67" s="17"/>
      <c r="E67" s="17"/>
      <c r="F67" s="17"/>
      <c r="G67" s="17"/>
      <c r="H67" s="66" t="str">
        <f>IF(C67="XXL (&gt;160h)",168,IF(C67="XL (&gt;40h)",48,IF(C67="L (20-40h)",30,IF(C67="M (10-20h)",15,IF(C67="S (&lt;10h)",5,"")))))</f>
        <v/>
      </c>
      <c r="I67" s="16"/>
      <c r="J67" s="67" t="str">
        <f>IF($E67="Q12027",COUNTIF($E$3:$E67,"Q12027"),"")</f>
        <v/>
      </c>
      <c r="K67" s="67" t="str">
        <f>IF($E67="Q22027",COUNTIF($E$3:$E67,"Q22027"),"")</f>
        <v/>
      </c>
      <c r="L67" s="67" t="str">
        <f>IF($E67="Q32027",COUNTIF($E$3:$E67,"Q32027"),"")</f>
        <v/>
      </c>
      <c r="M67" s="67" t="str">
        <f>IF($E67="Q42027",COUNTIF($E$3:$E67,"Q42027"),"")</f>
        <v/>
      </c>
      <c r="N67" s="67" t="str">
        <f>IF($E67="Backlog",COUNTIF($E$3:$E67,"Backlog"),"")</f>
        <v/>
      </c>
    </row>
    <row r="68" spans="1:14" ht="19.5" customHeight="1">
      <c r="A68" s="68">
        <v>66</v>
      </c>
      <c r="B68" s="18"/>
      <c r="C68" s="19"/>
      <c r="D68" s="19"/>
      <c r="E68" s="19"/>
      <c r="F68" s="19"/>
      <c r="G68" s="19"/>
      <c r="H68" s="69" t="str">
        <f>IF(C68="XXL (&gt;160h)",168,IF(C68="XL (&gt;40h)",48,IF(C68="L (20-40h)",30,IF(C68="M (10-20h)",15,IF(C68="S (&lt;10h)",5,"")))))</f>
        <v/>
      </c>
      <c r="I68" s="18"/>
      <c r="J68" s="67" t="str">
        <f>IF($E68="Q12027",COUNTIF($E$3:$E68,"Q12027"),"")</f>
        <v/>
      </c>
      <c r="K68" s="67" t="str">
        <f>IF($E68="Q22027",COUNTIF($E$3:$E68,"Q22027"),"")</f>
        <v/>
      </c>
      <c r="L68" s="67" t="str">
        <f>IF($E68="Q32027",COUNTIF($E$3:$E68,"Q32027"),"")</f>
        <v/>
      </c>
      <c r="M68" s="67" t="str">
        <f>IF($E68="Q42027",COUNTIF($E$3:$E68,"Q42027"),"")</f>
        <v/>
      </c>
      <c r="N68" s="67" t="str">
        <f>IF($E68="Backlog",COUNTIF($E$3:$E68,"Backlog"),"")</f>
        <v/>
      </c>
    </row>
    <row r="69" spans="1:14" ht="19.5" customHeight="1">
      <c r="A69" s="65">
        <v>67</v>
      </c>
      <c r="B69" s="16"/>
      <c r="C69" s="17"/>
      <c r="D69" s="17"/>
      <c r="E69" s="17"/>
      <c r="F69" s="17"/>
      <c r="G69" s="17"/>
      <c r="H69" s="66" t="str">
        <f>IF(C69="XXL (&gt;160h)",168,IF(C69="XL (&gt;40h)",48,IF(C69="L (20-40h)",30,IF(C69="M (10-20h)",15,IF(C69="S (&lt;10h)",5,"")))))</f>
        <v/>
      </c>
      <c r="I69" s="16"/>
      <c r="J69" s="67" t="str">
        <f>IF($E69="Q12027",COUNTIF($E$3:$E69,"Q12027"),"")</f>
        <v/>
      </c>
      <c r="K69" s="67" t="str">
        <f>IF($E69="Q22027",COUNTIF($E$3:$E69,"Q22027"),"")</f>
        <v/>
      </c>
      <c r="L69" s="67" t="str">
        <f>IF($E69="Q32027",COUNTIF($E$3:$E69,"Q32027"),"")</f>
        <v/>
      </c>
      <c r="M69" s="67" t="str">
        <f>IF($E69="Q42027",COUNTIF($E$3:$E69,"Q42027"),"")</f>
        <v/>
      </c>
      <c r="N69" s="67" t="str">
        <f>IF($E69="Backlog",COUNTIF($E$3:$E69,"Backlog"),"")</f>
        <v/>
      </c>
    </row>
    <row r="70" spans="1:14" ht="19.5" customHeight="1">
      <c r="A70" s="68">
        <v>68</v>
      </c>
      <c r="B70" s="18"/>
      <c r="C70" s="19"/>
      <c r="D70" s="19"/>
      <c r="E70" s="19"/>
      <c r="F70" s="19"/>
      <c r="G70" s="19"/>
      <c r="H70" s="69" t="str">
        <f>IF(C70="XXL (&gt;160h)",168,IF(C70="XL (&gt;40h)",48,IF(C70="L (20-40h)",30,IF(C70="M (10-20h)",15,IF(C70="S (&lt;10h)",5,"")))))</f>
        <v/>
      </c>
      <c r="I70" s="18"/>
      <c r="J70" s="67" t="str">
        <f>IF($E70="Q12027",COUNTIF($E$3:$E70,"Q12027"),"")</f>
        <v/>
      </c>
      <c r="K70" s="67" t="str">
        <f>IF($E70="Q22027",COUNTIF($E$3:$E70,"Q22027"),"")</f>
        <v/>
      </c>
      <c r="L70" s="67" t="str">
        <f>IF($E70="Q32027",COUNTIF($E$3:$E70,"Q32027"),"")</f>
        <v/>
      </c>
      <c r="M70" s="67" t="str">
        <f>IF($E70="Q42027",COUNTIF($E$3:$E70,"Q42027"),"")</f>
        <v/>
      </c>
      <c r="N70" s="67" t="str">
        <f>IF($E70="Backlog",COUNTIF($E$3:$E70,"Backlog"),"")</f>
        <v/>
      </c>
    </row>
    <row r="71" spans="1:14" ht="19.5" customHeight="1">
      <c r="A71" s="65">
        <v>69</v>
      </c>
      <c r="B71" s="16"/>
      <c r="C71" s="17"/>
      <c r="D71" s="17"/>
      <c r="E71" s="17"/>
      <c r="F71" s="17"/>
      <c r="G71" s="17"/>
      <c r="H71" s="66" t="str">
        <f>IF(C71="XXL (&gt;160h)",168,IF(C71="XL (&gt;40h)",48,IF(C71="L (20-40h)",30,IF(C71="M (10-20h)",15,IF(C71="S (&lt;10h)",5,"")))))</f>
        <v/>
      </c>
      <c r="I71" s="16"/>
      <c r="J71" s="67" t="str">
        <f>IF($E71="Q12027",COUNTIF($E$3:$E71,"Q12027"),"")</f>
        <v/>
      </c>
      <c r="K71" s="67" t="str">
        <f>IF($E71="Q22027",COUNTIF($E$3:$E71,"Q22027"),"")</f>
        <v/>
      </c>
      <c r="L71" s="67" t="str">
        <f>IF($E71="Q32027",COUNTIF($E$3:$E71,"Q32027"),"")</f>
        <v/>
      </c>
      <c r="M71" s="67" t="str">
        <f>IF($E71="Q42027",COUNTIF($E$3:$E71,"Q42027"),"")</f>
        <v/>
      </c>
      <c r="N71" s="67" t="str">
        <f>IF($E71="Backlog",COUNTIF($E$3:$E71,"Backlog"),"")</f>
        <v/>
      </c>
    </row>
    <row r="72" spans="1:14" ht="19.5" customHeight="1">
      <c r="A72" s="68">
        <v>70</v>
      </c>
      <c r="B72" s="18"/>
      <c r="C72" s="19"/>
      <c r="D72" s="19"/>
      <c r="E72" s="19"/>
      <c r="F72" s="19"/>
      <c r="G72" s="19"/>
      <c r="H72" s="69" t="str">
        <f>IF(C72="XXL (&gt;160h)",168,IF(C72="XL (&gt;40h)",48,IF(C72="L (20-40h)",30,IF(C72="M (10-20h)",15,IF(C72="S (&lt;10h)",5,"")))))</f>
        <v/>
      </c>
      <c r="I72" s="18"/>
      <c r="J72" s="67" t="str">
        <f>IF($E72="Q12027",COUNTIF($E$3:$E72,"Q12027"),"")</f>
        <v/>
      </c>
      <c r="K72" s="67" t="str">
        <f>IF($E72="Q22027",COUNTIF($E$3:$E72,"Q22027"),"")</f>
        <v/>
      </c>
      <c r="L72" s="67" t="str">
        <f>IF($E72="Q32027",COUNTIF($E$3:$E72,"Q32027"),"")</f>
        <v/>
      </c>
      <c r="M72" s="67" t="str">
        <f>IF($E72="Q42027",COUNTIF($E$3:$E72,"Q42027"),"")</f>
        <v/>
      </c>
      <c r="N72" s="67" t="str">
        <f>IF($E72="Backlog",COUNTIF($E$3:$E72,"Backlog"),"")</f>
        <v/>
      </c>
    </row>
    <row r="73" spans="1:14" ht="19.5" customHeight="1">
      <c r="A73" s="65">
        <v>71</v>
      </c>
      <c r="B73" s="16"/>
      <c r="C73" s="17"/>
      <c r="D73" s="17"/>
      <c r="E73" s="17"/>
      <c r="F73" s="17"/>
      <c r="G73" s="17"/>
      <c r="H73" s="66" t="str">
        <f>IF(C73="XXL (&gt;160h)",168,IF(C73="XL (&gt;40h)",48,IF(C73="L (20-40h)",30,IF(C73="M (10-20h)",15,IF(C73="S (&lt;10h)",5,"")))))</f>
        <v/>
      </c>
      <c r="I73" s="16"/>
      <c r="J73" s="67" t="str">
        <f>IF($E73="Q12027",COUNTIF($E$3:$E73,"Q12027"),"")</f>
        <v/>
      </c>
      <c r="K73" s="67" t="str">
        <f>IF($E73="Q22027",COUNTIF($E$3:$E73,"Q22027"),"")</f>
        <v/>
      </c>
      <c r="L73" s="67" t="str">
        <f>IF($E73="Q32027",COUNTIF($E$3:$E73,"Q32027"),"")</f>
        <v/>
      </c>
      <c r="M73" s="67" t="str">
        <f>IF($E73="Q42027",COUNTIF($E$3:$E73,"Q42027"),"")</f>
        <v/>
      </c>
      <c r="N73" s="67" t="str">
        <f>IF($E73="Backlog",COUNTIF($E$3:$E73,"Backlog"),"")</f>
        <v/>
      </c>
    </row>
    <row r="74" spans="1:14" ht="19.5" customHeight="1">
      <c r="A74" s="68">
        <v>72</v>
      </c>
      <c r="B74" s="18"/>
      <c r="C74" s="19"/>
      <c r="D74" s="19"/>
      <c r="E74" s="19"/>
      <c r="F74" s="19"/>
      <c r="G74" s="19"/>
      <c r="H74" s="69" t="str">
        <f>IF(C74="XXL (&gt;160h)",168,IF(C74="XL (&gt;40h)",48,IF(C74="L (20-40h)",30,IF(C74="M (10-20h)",15,IF(C74="S (&lt;10h)",5,"")))))</f>
        <v/>
      </c>
      <c r="I74" s="18"/>
      <c r="J74" s="67" t="str">
        <f>IF($E74="Q12027",COUNTIF($E$3:$E74,"Q12027"),"")</f>
        <v/>
      </c>
      <c r="K74" s="67" t="str">
        <f>IF($E74="Q22027",COUNTIF($E$3:$E74,"Q22027"),"")</f>
        <v/>
      </c>
      <c r="L74" s="67" t="str">
        <f>IF($E74="Q32027",COUNTIF($E$3:$E74,"Q32027"),"")</f>
        <v/>
      </c>
      <c r="M74" s="67" t="str">
        <f>IF($E74="Q42027",COUNTIF($E$3:$E74,"Q42027"),"")</f>
        <v/>
      </c>
      <c r="N74" s="67" t="str">
        <f>IF($E74="Backlog",COUNTIF($E$3:$E74,"Backlog"),"")</f>
        <v/>
      </c>
    </row>
    <row r="75" spans="1:14" ht="19.5" customHeight="1">
      <c r="A75" s="65">
        <v>73</v>
      </c>
      <c r="B75" s="16"/>
      <c r="C75" s="17"/>
      <c r="D75" s="17"/>
      <c r="E75" s="17"/>
      <c r="F75" s="17"/>
      <c r="G75" s="17"/>
      <c r="H75" s="66" t="str">
        <f>IF(C75="XXL (&gt;160h)",168,IF(C75="XL (&gt;40h)",48,IF(C75="L (20-40h)",30,IF(C75="M (10-20h)",15,IF(C75="S (&lt;10h)",5,"")))))</f>
        <v/>
      </c>
      <c r="I75" s="16"/>
      <c r="J75" s="67" t="str">
        <f>IF($E75="Q12027",COUNTIF($E$3:$E75,"Q12027"),"")</f>
        <v/>
      </c>
      <c r="K75" s="67" t="str">
        <f>IF($E75="Q22027",COUNTIF($E$3:$E75,"Q22027"),"")</f>
        <v/>
      </c>
      <c r="L75" s="67" t="str">
        <f>IF($E75="Q32027",COUNTIF($E$3:$E75,"Q32027"),"")</f>
        <v/>
      </c>
      <c r="M75" s="67" t="str">
        <f>IF($E75="Q42027",COUNTIF($E$3:$E75,"Q42027"),"")</f>
        <v/>
      </c>
      <c r="N75" s="67" t="str">
        <f>IF($E75="Backlog",COUNTIF($E$3:$E75,"Backlog"),"")</f>
        <v/>
      </c>
    </row>
    <row r="76" spans="1:14" ht="19.5" customHeight="1">
      <c r="A76" s="68">
        <v>74</v>
      </c>
      <c r="B76" s="18"/>
      <c r="C76" s="19"/>
      <c r="D76" s="19"/>
      <c r="E76" s="19"/>
      <c r="F76" s="19"/>
      <c r="G76" s="19"/>
      <c r="H76" s="69" t="str">
        <f>IF(C76="XXL (&gt;160h)",168,IF(C76="XL (&gt;40h)",48,IF(C76="L (20-40h)",30,IF(C76="M (10-20h)",15,IF(C76="S (&lt;10h)",5,"")))))</f>
        <v/>
      </c>
      <c r="I76" s="18"/>
      <c r="J76" s="67" t="str">
        <f>IF($E76="Q12027",COUNTIF($E$3:$E76,"Q12027"),"")</f>
        <v/>
      </c>
      <c r="K76" s="67" t="str">
        <f>IF($E76="Q22027",COUNTIF($E$3:$E76,"Q22027"),"")</f>
        <v/>
      </c>
      <c r="L76" s="67" t="str">
        <f>IF($E76="Q32027",COUNTIF($E$3:$E76,"Q32027"),"")</f>
        <v/>
      </c>
      <c r="M76" s="67" t="str">
        <f>IF($E76="Q42027",COUNTIF($E$3:$E76,"Q42027"),"")</f>
        <v/>
      </c>
      <c r="N76" s="67" t="str">
        <f>IF($E76="Backlog",COUNTIF($E$3:$E76,"Backlog"),"")</f>
        <v/>
      </c>
    </row>
    <row r="77" spans="1:14" ht="19.5" customHeight="1">
      <c r="A77" s="65">
        <v>75</v>
      </c>
      <c r="B77" s="16"/>
      <c r="C77" s="17"/>
      <c r="D77" s="17"/>
      <c r="E77" s="17"/>
      <c r="F77" s="17"/>
      <c r="G77" s="17"/>
      <c r="H77" s="66" t="str">
        <f>IF(C77="XXL (&gt;160h)",168,IF(C77="XL (&gt;40h)",48,IF(C77="L (20-40h)",30,IF(C77="M (10-20h)",15,IF(C77="S (&lt;10h)",5,"")))))</f>
        <v/>
      </c>
      <c r="I77" s="16"/>
      <c r="J77" s="67" t="str">
        <f>IF($E77="Q12027",COUNTIF($E$3:$E77,"Q12027"),"")</f>
        <v/>
      </c>
      <c r="K77" s="67" t="str">
        <f>IF($E77="Q22027",COUNTIF($E$3:$E77,"Q22027"),"")</f>
        <v/>
      </c>
      <c r="L77" s="67" t="str">
        <f>IF($E77="Q32027",COUNTIF($E$3:$E77,"Q32027"),"")</f>
        <v/>
      </c>
      <c r="M77" s="67" t="str">
        <f>IF($E77="Q42027",COUNTIF($E$3:$E77,"Q42027"),"")</f>
        <v/>
      </c>
      <c r="N77" s="67" t="str">
        <f>IF($E77="Backlog",COUNTIF($E$3:$E77,"Backlog"),"")</f>
        <v/>
      </c>
    </row>
    <row r="78" spans="1:14" ht="19.5" customHeight="1">
      <c r="A78" s="68">
        <v>76</v>
      </c>
      <c r="B78" s="18"/>
      <c r="C78" s="19"/>
      <c r="D78" s="19"/>
      <c r="E78" s="19"/>
      <c r="F78" s="19"/>
      <c r="G78" s="19"/>
      <c r="H78" s="69" t="str">
        <f>IF(C78="XXL (&gt;160h)",168,IF(C78="XL (&gt;40h)",48,IF(C78="L (20-40h)",30,IF(C78="M (10-20h)",15,IF(C78="S (&lt;10h)",5,"")))))</f>
        <v/>
      </c>
      <c r="I78" s="18"/>
      <c r="J78" s="67" t="str">
        <f>IF($E78="Q12027",COUNTIF($E$3:$E78,"Q12027"),"")</f>
        <v/>
      </c>
      <c r="K78" s="67" t="str">
        <f>IF($E78="Q22027",COUNTIF($E$3:$E78,"Q22027"),"")</f>
        <v/>
      </c>
      <c r="L78" s="67" t="str">
        <f>IF($E78="Q32027",COUNTIF($E$3:$E78,"Q32027"),"")</f>
        <v/>
      </c>
      <c r="M78" s="67" t="str">
        <f>IF($E78="Q42027",COUNTIF($E$3:$E78,"Q42027"),"")</f>
        <v/>
      </c>
      <c r="N78" s="67" t="str">
        <f>IF($E78="Backlog",COUNTIF($E$3:$E78,"Backlog"),"")</f>
        <v/>
      </c>
    </row>
    <row r="79" spans="1:14" ht="19.5" customHeight="1">
      <c r="A79" s="65">
        <v>77</v>
      </c>
      <c r="B79" s="16"/>
      <c r="C79" s="17"/>
      <c r="D79" s="17"/>
      <c r="E79" s="17"/>
      <c r="F79" s="17"/>
      <c r="G79" s="17"/>
      <c r="H79" s="66" t="str">
        <f>IF(C79="XXL (&gt;160h)",168,IF(C79="XL (&gt;40h)",48,IF(C79="L (20-40h)",30,IF(C79="M (10-20h)",15,IF(C79="S (&lt;10h)",5,"")))))</f>
        <v/>
      </c>
      <c r="I79" s="16"/>
      <c r="J79" s="67" t="str">
        <f>IF($E79="Q12027",COUNTIF($E$3:$E79,"Q12027"),"")</f>
        <v/>
      </c>
      <c r="K79" s="67" t="str">
        <f>IF($E79="Q22027",COUNTIF($E$3:$E79,"Q22027"),"")</f>
        <v/>
      </c>
      <c r="L79" s="67" t="str">
        <f>IF($E79="Q32027",COUNTIF($E$3:$E79,"Q32027"),"")</f>
        <v/>
      </c>
      <c r="M79" s="67" t="str">
        <f>IF($E79="Q42027",COUNTIF($E$3:$E79,"Q42027"),"")</f>
        <v/>
      </c>
      <c r="N79" s="67" t="str">
        <f>IF($E79="Backlog",COUNTIF($E$3:$E79,"Backlog"),"")</f>
        <v/>
      </c>
    </row>
    <row r="80" spans="1:14" ht="19.5" customHeight="1">
      <c r="A80" s="68">
        <v>78</v>
      </c>
      <c r="B80" s="18"/>
      <c r="C80" s="19"/>
      <c r="D80" s="19"/>
      <c r="E80" s="19"/>
      <c r="F80" s="19"/>
      <c r="G80" s="19"/>
      <c r="H80" s="69" t="str">
        <f>IF(C80="XXL (&gt;160h)",168,IF(C80="XL (&gt;40h)",48,IF(C80="L (20-40h)",30,IF(C80="M (10-20h)",15,IF(C80="S (&lt;10h)",5,"")))))</f>
        <v/>
      </c>
      <c r="I80" s="18"/>
      <c r="J80" s="67" t="str">
        <f>IF($E80="Q12027",COUNTIF($E$3:$E80,"Q12027"),"")</f>
        <v/>
      </c>
      <c r="K80" s="67" t="str">
        <f>IF($E80="Q22027",COUNTIF($E$3:$E80,"Q22027"),"")</f>
        <v/>
      </c>
      <c r="L80" s="67" t="str">
        <f>IF($E80="Q32027",COUNTIF($E$3:$E80,"Q32027"),"")</f>
        <v/>
      </c>
      <c r="M80" s="67" t="str">
        <f>IF($E80="Q42027",COUNTIF($E$3:$E80,"Q42027"),"")</f>
        <v/>
      </c>
      <c r="N80" s="67" t="str">
        <f>IF($E80="Backlog",COUNTIF($E$3:$E80,"Backlog"),"")</f>
        <v/>
      </c>
    </row>
    <row r="81" spans="1:14" ht="19.5" customHeight="1">
      <c r="A81" s="65">
        <v>79</v>
      </c>
      <c r="B81" s="16"/>
      <c r="C81" s="17"/>
      <c r="D81" s="17"/>
      <c r="E81" s="17"/>
      <c r="F81" s="17"/>
      <c r="G81" s="17"/>
      <c r="H81" s="66" t="str">
        <f>IF(C81="XXL (&gt;160h)",168,IF(C81="XL (&gt;40h)",48,IF(C81="L (20-40h)",30,IF(C81="M (10-20h)",15,IF(C81="S (&lt;10h)",5,"")))))</f>
        <v/>
      </c>
      <c r="I81" s="16"/>
      <c r="J81" s="67" t="str">
        <f>IF($E81="Q12027",COUNTIF($E$3:$E81,"Q12027"),"")</f>
        <v/>
      </c>
      <c r="K81" s="67" t="str">
        <f>IF($E81="Q22027",COUNTIF($E$3:$E81,"Q22027"),"")</f>
        <v/>
      </c>
      <c r="L81" s="67" t="str">
        <f>IF($E81="Q32027",COUNTIF($E$3:$E81,"Q32027"),"")</f>
        <v/>
      </c>
      <c r="M81" s="67" t="str">
        <f>IF($E81="Q42027",COUNTIF($E$3:$E81,"Q42027"),"")</f>
        <v/>
      </c>
      <c r="N81" s="67" t="str">
        <f>IF($E81="Backlog",COUNTIF($E$3:$E81,"Backlog"),"")</f>
        <v/>
      </c>
    </row>
    <row r="82" spans="1:14" ht="19.5" customHeight="1">
      <c r="A82" s="68">
        <v>80</v>
      </c>
      <c r="B82" s="18"/>
      <c r="C82" s="19"/>
      <c r="D82" s="19"/>
      <c r="E82" s="19"/>
      <c r="F82" s="19"/>
      <c r="G82" s="19"/>
      <c r="H82" s="69" t="str">
        <f>IF(C82="XXL (&gt;160h)",168,IF(C82="XL (&gt;40h)",48,IF(C82="L (20-40h)",30,IF(C82="M (10-20h)",15,IF(C82="S (&lt;10h)",5,"")))))</f>
        <v/>
      </c>
      <c r="I82" s="18"/>
      <c r="J82" s="67" t="str">
        <f>IF($E82="Q12027",COUNTIF($E$3:$E82,"Q12027"),"")</f>
        <v/>
      </c>
      <c r="K82" s="67" t="str">
        <f>IF($E82="Q22027",COUNTIF($E$3:$E82,"Q22027"),"")</f>
        <v/>
      </c>
      <c r="L82" s="67" t="str">
        <f>IF($E82="Q32027",COUNTIF($E$3:$E82,"Q32027"),"")</f>
        <v/>
      </c>
      <c r="M82" s="67" t="str">
        <f>IF($E82="Q42027",COUNTIF($E$3:$E82,"Q42027"),"")</f>
        <v/>
      </c>
      <c r="N82" s="67" t="str">
        <f>IF($E82="Backlog",COUNTIF($E$3:$E82,"Backlog"),"")</f>
        <v/>
      </c>
    </row>
    <row r="83" spans="1:14" ht="21.75" customHeight="1">
      <c r="A83" s="130" t="s">
        <v>56</v>
      </c>
      <c r="B83" s="130"/>
      <c r="C83" s="130"/>
      <c r="D83" s="130"/>
      <c r="E83" s="130"/>
      <c r="F83" s="130"/>
      <c r="G83" s="130"/>
      <c r="H83" s="23">
        <f>SUM(H3:H82)</f>
        <v>0</v>
      </c>
      <c r="I83" s="73"/>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33" priority="2" operator="equal">
      <formula>"Strengthen"</formula>
    </cfRule>
    <cfRule type="cellIs" dxfId="32" priority="3" operator="equal">
      <formula>"Innovation"</formula>
    </cfRule>
    <cfRule type="cellIs" dxfId="31" priority="4" operator="equal">
      <formula>"Repair"</formula>
    </cfRule>
  </conditionalFormatting>
  <dataValidations count="5">
    <dataValidation type="list" allowBlank="1" sqref="D3:D82" xr:uid="{00000000-0002-0000-0D00-000000000000}">
      <formula1>"Strengthen,Innovation,Repair"</formula1>
      <formula2>0</formula2>
    </dataValidation>
    <dataValidation type="list" allowBlank="1" sqref="C3:C82" xr:uid="{00000000-0002-0000-0D00-000001000000}">
      <formula1>"XXL (&gt;160h),XL (&gt;40h),L (20-40h),M (10-20h),S (&lt;10h)"</formula1>
      <formula2>0</formula2>
    </dataValidation>
    <dataValidation type="list" allowBlank="1" sqref="E3:E82" xr:uid="{00000000-0002-0000-0D00-000002000000}">
      <formula1>"Q12027,Q22027,Q32027,Q42027,Backlog"</formula1>
      <formula2>0</formula2>
    </dataValidation>
    <dataValidation type="list" allowBlank="1" sqref="F3:F82" xr:uid="{00000000-0002-0000-0D00-000003000000}">
      <formula1>"Must,Should,Could,Won't"</formula1>
      <formula2>0</formula2>
    </dataValidation>
    <dataValidation type="list" allowBlank="1" sqref="G3:G82" xr:uid="{00000000-0002-0000-0D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401"/>
  <sheetViews>
    <sheetView zoomScaleNormal="100" workbookViewId="0"/>
  </sheetViews>
  <sheetFormatPr defaultColWidth="8.7109375" defaultRowHeight="15"/>
  <sheetData>
    <row r="1" spans="1:13">
      <c r="A1" t="s">
        <v>5</v>
      </c>
      <c r="B1" t="s">
        <v>219</v>
      </c>
      <c r="C1" t="s">
        <v>3</v>
      </c>
      <c r="D1" t="s">
        <v>78</v>
      </c>
      <c r="E1" t="s">
        <v>64</v>
      </c>
      <c r="F1" t="s">
        <v>6</v>
      </c>
      <c r="G1" t="s">
        <v>7</v>
      </c>
      <c r="H1" t="s">
        <v>220</v>
      </c>
      <c r="I1" t="s">
        <v>249</v>
      </c>
      <c r="J1" t="s">
        <v>250</v>
      </c>
      <c r="K1" t="s">
        <v>251</v>
      </c>
      <c r="L1" t="s">
        <v>252</v>
      </c>
      <c r="M1" t="s">
        <v>225</v>
      </c>
    </row>
    <row r="2" spans="1:13">
      <c r="A2" t="str">
        <f>IF(AND('Q12027'!B3&lt;&gt;"",'Q12027'!E3&lt;&gt;""),'Q12027'!E3,"")</f>
        <v>Q12027</v>
      </c>
      <c r="B2" t="str">
        <f>IF(AND('Q12027'!B3&lt;&gt;"",'Q12027'!E3&lt;&gt;""),'Q12027'!B3,"")</f>
        <v>Artikelbestandteile im eCom abwählen</v>
      </c>
      <c r="C2">
        <f>IF(AND('Q12027'!B3&lt;&gt;"",'Q12027'!E3&lt;&gt;""),'Q12027'!C3,"")</f>
        <v>0</v>
      </c>
      <c r="D2" t="str">
        <f>IF(AND('Q12027'!B3&lt;&gt;"",'Q12027'!E3&lt;&gt;""),'Q12027'!D3,"")</f>
        <v>Innovation</v>
      </c>
      <c r="E2" t="str">
        <f>IF(AND('Q12027'!B3&lt;&gt;"",'Q12027'!E3&lt;&gt;""),'Q12027'!H3,"")</f>
        <v/>
      </c>
      <c r="F2" t="str">
        <f>IF(AND('Q12027'!B3&lt;&gt;"",'Q12027'!E3&lt;&gt;""),'Q12027'!F3,"")</f>
        <v>Should</v>
      </c>
      <c r="G2">
        <f>IF(AND('Q12027'!B3&lt;&gt;"",'Q12027'!E3&lt;&gt;""),'Q12027'!G3,"")</f>
        <v>0</v>
      </c>
      <c r="H2" t="str">
        <f>IF(AND('Q12027'!B3&lt;&gt;"",'Q12027'!E3&lt;&gt;""),"Q12027","")</f>
        <v>Q12027</v>
      </c>
      <c r="I2">
        <f>IF(A2="Q12027",COUNTIF($A$2:$A2,"Q12027"),"")</f>
        <v>1</v>
      </c>
      <c r="J2" t="str">
        <f>IF(A2="Q22027",COUNTIF($A$2:$A2,"Q22027"),"")</f>
        <v/>
      </c>
      <c r="K2" t="str">
        <f>IF(A2="Q32027",COUNTIF($A$2:$A2,"Q32027"),"")</f>
        <v/>
      </c>
      <c r="L2" t="str">
        <f>IF(A2="Q42027",COUNTIF($A$2:$A2,"Q42027"),"")</f>
        <v/>
      </c>
      <c r="M2" t="str">
        <f>IF(A2="Backlog",COUNTIF($A$2:$A2,"Backlog"),"")</f>
        <v/>
      </c>
    </row>
    <row r="3" spans="1:13">
      <c r="A3" t="str">
        <f>IF(AND('Q12027'!B4&lt;&gt;"",'Q12027'!E4&lt;&gt;""),'Q12027'!E4,"")</f>
        <v>Q12027</v>
      </c>
      <c r="B3" t="str">
        <f>IF(AND('Q12027'!B4&lt;&gt;"",'Q12027'!E4&lt;&gt;""),'Q12027'!B4,"")</f>
        <v>Neue Oracle Cloud- Schnittstelle auf Artikelebene</v>
      </c>
      <c r="C3">
        <f>IF(AND('Q12027'!B4&lt;&gt;"",'Q12027'!E4&lt;&gt;""),'Q12027'!C4,"")</f>
        <v>0</v>
      </c>
      <c r="D3" t="str">
        <f>IF(AND('Q12027'!B4&lt;&gt;"",'Q12027'!E4&lt;&gt;""),'Q12027'!D4,"")</f>
        <v>Strengthen</v>
      </c>
      <c r="E3" t="str">
        <f>IF(AND('Q12027'!B4&lt;&gt;"",'Q12027'!E4&lt;&gt;""),'Q12027'!H4,"")</f>
        <v/>
      </c>
      <c r="F3" t="str">
        <f>IF(AND('Q12027'!B4&lt;&gt;"",'Q12027'!E4&lt;&gt;""),'Q12027'!F4,"")</f>
        <v>Should</v>
      </c>
      <c r="G3">
        <f>IF(AND('Q12027'!B4&lt;&gt;"",'Q12027'!E4&lt;&gt;""),'Q12027'!G4,"")</f>
        <v>0</v>
      </c>
      <c r="H3" t="str">
        <f>IF(AND('Q12027'!B4&lt;&gt;"",'Q12027'!E4&lt;&gt;""),"Q12027","")</f>
        <v>Q12027</v>
      </c>
      <c r="I3">
        <f>IF(A3="Q12027",COUNTIF($A$2:$A3,"Q12027"),"")</f>
        <v>2</v>
      </c>
      <c r="J3" t="str">
        <f>IF(A3="Q22027",COUNTIF($A$2:$A3,"Q22027"),"")</f>
        <v/>
      </c>
      <c r="K3" t="str">
        <f>IF(A3="Q32027",COUNTIF($A$2:$A3,"Q32027"),"")</f>
        <v/>
      </c>
      <c r="L3" t="str">
        <f>IF(A3="Q42027",COUNTIF($A$2:$A3,"Q42027"),"")</f>
        <v/>
      </c>
      <c r="M3" t="str">
        <f>IF(A3="Backlog",COUNTIF($A$2:$A3,"Backlog"),"")</f>
        <v/>
      </c>
    </row>
    <row r="4" spans="1:13">
      <c r="A4" t="str">
        <f>IF(AND('Q12027'!B5&lt;&gt;"",'Q12027'!E5&lt;&gt;""),'Q12027'!E5,"")</f>
        <v>Q12027</v>
      </c>
      <c r="B4" t="str">
        <f>IF(AND('Q12027'!B5&lt;&gt;"",'Q12027'!E5&lt;&gt;""),'Q12027'!B5,"")</f>
        <v>Adyen Finance Plattform (AFP)</v>
      </c>
      <c r="C4">
        <f>IF(AND('Q12027'!B5&lt;&gt;"",'Q12027'!E5&lt;&gt;""),'Q12027'!C5,"")</f>
        <v>0</v>
      </c>
      <c r="D4" t="str">
        <f>IF(AND('Q12027'!B5&lt;&gt;"",'Q12027'!E5&lt;&gt;""),'Q12027'!D5,"")</f>
        <v>Innovation</v>
      </c>
      <c r="E4" t="str">
        <f>IF(AND('Q12027'!B5&lt;&gt;"",'Q12027'!E5&lt;&gt;""),'Q12027'!H5,"")</f>
        <v/>
      </c>
      <c r="F4" t="str">
        <f>IF(AND('Q12027'!B5&lt;&gt;"",'Q12027'!E5&lt;&gt;""),'Q12027'!F5,"")</f>
        <v>Should</v>
      </c>
      <c r="G4">
        <f>IF(AND('Q12027'!B5&lt;&gt;"",'Q12027'!E5&lt;&gt;""),'Q12027'!G5,"")</f>
        <v>0</v>
      </c>
      <c r="H4" t="str">
        <f>IF(AND('Q12027'!B5&lt;&gt;"",'Q12027'!E5&lt;&gt;""),"Q12027","")</f>
        <v>Q12027</v>
      </c>
      <c r="I4">
        <f>IF(A4="Q12027",COUNTIF($A$2:$A4,"Q12027"),"")</f>
        <v>3</v>
      </c>
      <c r="J4" t="str">
        <f>IF(A4="Q22027",COUNTIF($A$2:$A4,"Q22027"),"")</f>
        <v/>
      </c>
      <c r="K4" t="str">
        <f>IF(A4="Q32027",COUNTIF($A$2:$A4,"Q32027"),"")</f>
        <v/>
      </c>
      <c r="L4" t="str">
        <f>IF(A4="Q42027",COUNTIF($A$2:$A4,"Q42027"),"")</f>
        <v/>
      </c>
      <c r="M4" t="str">
        <f>IF(A4="Backlog",COUNTIF($A$2:$A4,"Backlog"),"")</f>
        <v/>
      </c>
    </row>
    <row r="5" spans="1:13">
      <c r="A5" t="str">
        <f>IF(AND('Q12027'!B6&lt;&gt;"",'Q12027'!E6&lt;&gt;""),'Q12027'!E6,"")</f>
        <v>Q12027</v>
      </c>
      <c r="B5" t="str">
        <f>IF(AND('Q12027'!B6&lt;&gt;"",'Q12027'!E6&lt;&gt;""),'Q12027'!B6,"")</f>
        <v>Apaleo PMS</v>
      </c>
      <c r="C5">
        <f>IF(AND('Q12027'!B6&lt;&gt;"",'Q12027'!E6&lt;&gt;""),'Q12027'!C6,"")</f>
        <v>0</v>
      </c>
      <c r="D5" t="str">
        <f>IF(AND('Q12027'!B6&lt;&gt;"",'Q12027'!E6&lt;&gt;""),'Q12027'!D6,"")</f>
        <v>Strengthen</v>
      </c>
      <c r="E5" t="str">
        <f>IF(AND('Q12027'!B6&lt;&gt;"",'Q12027'!E6&lt;&gt;""),'Q12027'!H6,"")</f>
        <v/>
      </c>
      <c r="F5" t="str">
        <f>IF(AND('Q12027'!B6&lt;&gt;"",'Q12027'!E6&lt;&gt;""),'Q12027'!F6,"")</f>
        <v>Should</v>
      </c>
      <c r="G5">
        <f>IF(AND('Q12027'!B6&lt;&gt;"",'Q12027'!E6&lt;&gt;""),'Q12027'!G6,"")</f>
        <v>0</v>
      </c>
      <c r="H5" t="str">
        <f>IF(AND('Q12027'!B6&lt;&gt;"",'Q12027'!E6&lt;&gt;""),"Q12027","")</f>
        <v>Q12027</v>
      </c>
      <c r="I5">
        <f>IF(A5="Q12027",COUNTIF($A$2:$A5,"Q12027"),"")</f>
        <v>4</v>
      </c>
      <c r="J5" t="str">
        <f>IF(A5="Q22027",COUNTIF($A$2:$A5,"Q22027"),"")</f>
        <v/>
      </c>
      <c r="K5" t="str">
        <f>IF(A5="Q32027",COUNTIF($A$2:$A5,"Q32027"),"")</f>
        <v/>
      </c>
      <c r="L5" t="str">
        <f>IF(A5="Q42027",COUNTIF($A$2:$A5,"Q42027"),"")</f>
        <v/>
      </c>
      <c r="M5" t="str">
        <f>IF(A5="Backlog",COUNTIF($A$2:$A5,"Backlog"),"")</f>
        <v/>
      </c>
    </row>
    <row r="6" spans="1:13">
      <c r="A6" t="str">
        <f>IF(AND('Q12027'!B7&lt;&gt;"",'Q12027'!E7&lt;&gt;""),'Q12027'!E7,"")</f>
        <v>Q12027</v>
      </c>
      <c r="B6" t="str">
        <f>IF(AND('Q12027'!B7&lt;&gt;"",'Q12027'!E7&lt;&gt;""),'Q12027'!B7,"")</f>
        <v>ASA PMS | Artikelgenau XML-Schnittstelle / Protel?</v>
      </c>
      <c r="C6">
        <f>IF(AND('Q12027'!B7&lt;&gt;"",'Q12027'!E7&lt;&gt;""),'Q12027'!C7,"")</f>
        <v>0</v>
      </c>
      <c r="D6" t="str">
        <f>IF(AND('Q12027'!B7&lt;&gt;"",'Q12027'!E7&lt;&gt;""),'Q12027'!D7,"")</f>
        <v>Strengthen</v>
      </c>
      <c r="E6" t="str">
        <f>IF(AND('Q12027'!B7&lt;&gt;"",'Q12027'!E7&lt;&gt;""),'Q12027'!H7,"")</f>
        <v/>
      </c>
      <c r="F6" t="str">
        <f>IF(AND('Q12027'!B7&lt;&gt;"",'Q12027'!E7&lt;&gt;""),'Q12027'!F7,"")</f>
        <v>Should</v>
      </c>
      <c r="G6">
        <f>IF(AND('Q12027'!B7&lt;&gt;"",'Q12027'!E7&lt;&gt;""),'Q12027'!G7,"")</f>
        <v>0</v>
      </c>
      <c r="H6" t="str">
        <f>IF(AND('Q12027'!B7&lt;&gt;"",'Q12027'!E7&lt;&gt;""),"Q12027","")</f>
        <v>Q12027</v>
      </c>
      <c r="I6">
        <f>IF(A6="Q12027",COUNTIF($A$2:$A6,"Q12027"),"")</f>
        <v>5</v>
      </c>
      <c r="J6" t="str">
        <f>IF(A6="Q22027",COUNTIF($A$2:$A6,"Q22027"),"")</f>
        <v/>
      </c>
      <c r="K6" t="str">
        <f>IF(A6="Q32027",COUNTIF($A$2:$A6,"Q32027"),"")</f>
        <v/>
      </c>
      <c r="L6" t="str">
        <f>IF(A6="Q42027",COUNTIF($A$2:$A6,"Q42027"),"")</f>
        <v/>
      </c>
      <c r="M6" t="str">
        <f>IF(A6="Backlog",COUNTIF($A$2:$A6,"Backlog"),"")</f>
        <v/>
      </c>
    </row>
    <row r="7" spans="1:13">
      <c r="A7" t="str">
        <f>IF(AND('Q12027'!B8&lt;&gt;"",'Q12027'!E8&lt;&gt;""),'Q12027'!E8,"")</f>
        <v>Q12027</v>
      </c>
      <c r="B7" t="str">
        <f>IF(AND('Q12027'!B8&lt;&gt;"",'Q12027'!E8&lt;&gt;""),'Q12027'!B8,"")</f>
        <v>SOT Nach Verkaustelle (Statt HypCusNr) Optional</v>
      </c>
      <c r="C7" t="str">
        <f>IF(AND('Q12027'!B8&lt;&gt;"",'Q12027'!E8&lt;&gt;""),'Q12027'!C8,"")</f>
        <v>XXL (&gt;160h)</v>
      </c>
      <c r="D7" t="str">
        <f>IF(AND('Q12027'!B8&lt;&gt;"",'Q12027'!E8&lt;&gt;""),'Q12027'!D8,"")</f>
        <v>Repair</v>
      </c>
      <c r="E7">
        <f>IF(AND('Q12027'!B8&lt;&gt;"",'Q12027'!E8&lt;&gt;""),'Q12027'!H8,"")</f>
        <v>168</v>
      </c>
      <c r="F7" t="str">
        <f>IF(AND('Q12027'!B8&lt;&gt;"",'Q12027'!E8&lt;&gt;""),'Q12027'!F8,"")</f>
        <v>Should</v>
      </c>
      <c r="G7">
        <f>IF(AND('Q12027'!B8&lt;&gt;"",'Q12027'!E8&lt;&gt;""),'Q12027'!G8,"")</f>
        <v>0</v>
      </c>
      <c r="H7" t="str">
        <f>IF(AND('Q12027'!B8&lt;&gt;"",'Q12027'!E8&lt;&gt;""),"Q12027","")</f>
        <v>Q12027</v>
      </c>
      <c r="I7">
        <f>IF(A7="Q12027",COUNTIF($A$2:$A7,"Q12027"),"")</f>
        <v>6</v>
      </c>
      <c r="J7" t="str">
        <f>IF(A7="Q22027",COUNTIF($A$2:$A7,"Q22027"),"")</f>
        <v/>
      </c>
      <c r="K7" t="str">
        <f>IF(A7="Q32027",COUNTIF($A$2:$A7,"Q32027"),"")</f>
        <v/>
      </c>
      <c r="L7" t="str">
        <f>IF(A7="Q42027",COUNTIF($A$2:$A7,"Q42027"),"")</f>
        <v/>
      </c>
      <c r="M7" t="str">
        <f>IF(A7="Backlog",COUNTIF($A$2:$A7,"Backlog"),"")</f>
        <v/>
      </c>
    </row>
    <row r="8" spans="1:13">
      <c r="A8" t="str">
        <f>IF(AND('Q12027'!B9&lt;&gt;"",'Q12027'!E9&lt;&gt;""),'Q12027'!E9,"")</f>
        <v/>
      </c>
      <c r="B8" t="str">
        <f>IF(AND('Q12027'!B9&lt;&gt;"",'Q12027'!E9&lt;&gt;""),'Q12027'!B9,"")</f>
        <v/>
      </c>
      <c r="C8" t="str">
        <f>IF(AND('Q12027'!B9&lt;&gt;"",'Q12027'!E9&lt;&gt;""),'Q12027'!C9,"")</f>
        <v/>
      </c>
      <c r="D8" t="str">
        <f>IF(AND('Q12027'!B9&lt;&gt;"",'Q12027'!E9&lt;&gt;""),'Q12027'!D9,"")</f>
        <v/>
      </c>
      <c r="E8" t="str">
        <f>IF(AND('Q12027'!B9&lt;&gt;"",'Q12027'!E9&lt;&gt;""),'Q12027'!H9,"")</f>
        <v/>
      </c>
      <c r="F8" t="str">
        <f>IF(AND('Q12027'!B9&lt;&gt;"",'Q12027'!E9&lt;&gt;""),'Q12027'!F9,"")</f>
        <v/>
      </c>
      <c r="G8" t="str">
        <f>IF(AND('Q12027'!B9&lt;&gt;"",'Q12027'!E9&lt;&gt;""),'Q12027'!G9,"")</f>
        <v/>
      </c>
      <c r="H8" t="str">
        <f>IF(AND('Q12027'!B9&lt;&gt;"",'Q12027'!E9&lt;&gt;""),"Q12027","")</f>
        <v/>
      </c>
      <c r="I8" t="str">
        <f>IF(A8="Q12027",COUNTIF($A$2:$A8,"Q12027"),"")</f>
        <v/>
      </c>
      <c r="J8" t="str">
        <f>IF(A8="Q22027",COUNTIF($A$2:$A8,"Q22027"),"")</f>
        <v/>
      </c>
      <c r="K8" t="str">
        <f>IF(A8="Q32027",COUNTIF($A$2:$A8,"Q32027"),"")</f>
        <v/>
      </c>
      <c r="L8" t="str">
        <f>IF(A8="Q42027",COUNTIF($A$2:$A8,"Q42027"),"")</f>
        <v/>
      </c>
      <c r="M8" t="str">
        <f>IF(A8="Backlog",COUNTIF($A$2:$A8,"Backlog"),"")</f>
        <v/>
      </c>
    </row>
    <row r="9" spans="1:13">
      <c r="A9" t="str">
        <f>IF(AND('Q12027'!B10&lt;&gt;"",'Q12027'!E10&lt;&gt;""),'Q12027'!E10,"")</f>
        <v/>
      </c>
      <c r="B9" t="str">
        <f>IF(AND('Q12027'!B10&lt;&gt;"",'Q12027'!E10&lt;&gt;""),'Q12027'!B10,"")</f>
        <v/>
      </c>
      <c r="C9" t="str">
        <f>IF(AND('Q12027'!B10&lt;&gt;"",'Q12027'!E10&lt;&gt;""),'Q12027'!C10,"")</f>
        <v/>
      </c>
      <c r="D9" t="str">
        <f>IF(AND('Q12027'!B10&lt;&gt;"",'Q12027'!E10&lt;&gt;""),'Q12027'!D10,"")</f>
        <v/>
      </c>
      <c r="E9" t="str">
        <f>IF(AND('Q12027'!B10&lt;&gt;"",'Q12027'!E10&lt;&gt;""),'Q12027'!H10,"")</f>
        <v/>
      </c>
      <c r="F9" t="str">
        <f>IF(AND('Q12027'!B10&lt;&gt;"",'Q12027'!E10&lt;&gt;""),'Q12027'!F10,"")</f>
        <v/>
      </c>
      <c r="G9" t="str">
        <f>IF(AND('Q12027'!B10&lt;&gt;"",'Q12027'!E10&lt;&gt;""),'Q12027'!G10,"")</f>
        <v/>
      </c>
      <c r="H9" t="str">
        <f>IF(AND('Q12027'!B10&lt;&gt;"",'Q12027'!E10&lt;&gt;""),"Q12027","")</f>
        <v/>
      </c>
      <c r="I9" t="str">
        <f>IF(A9="Q12027",COUNTIF($A$2:$A9,"Q12027"),"")</f>
        <v/>
      </c>
      <c r="J9" t="str">
        <f>IF(A9="Q22027",COUNTIF($A$2:$A9,"Q22027"),"")</f>
        <v/>
      </c>
      <c r="K9" t="str">
        <f>IF(A9="Q32027",COUNTIF($A$2:$A9,"Q32027"),"")</f>
        <v/>
      </c>
      <c r="L9" t="str">
        <f>IF(A9="Q42027",COUNTIF($A$2:$A9,"Q42027"),"")</f>
        <v/>
      </c>
      <c r="M9" t="str">
        <f>IF(A9="Backlog",COUNTIF($A$2:$A9,"Backlog"),"")</f>
        <v/>
      </c>
    </row>
    <row r="10" spans="1:13">
      <c r="A10" t="str">
        <f>IF(AND('Q12027'!B11&lt;&gt;"",'Q12027'!E11&lt;&gt;""),'Q12027'!E11,"")</f>
        <v/>
      </c>
      <c r="B10" t="str">
        <f>IF(AND('Q12027'!B11&lt;&gt;"",'Q12027'!E11&lt;&gt;""),'Q12027'!B11,"")</f>
        <v/>
      </c>
      <c r="C10" t="str">
        <f>IF(AND('Q12027'!B11&lt;&gt;"",'Q12027'!E11&lt;&gt;""),'Q12027'!C11,"")</f>
        <v/>
      </c>
      <c r="D10" t="str">
        <f>IF(AND('Q12027'!B11&lt;&gt;"",'Q12027'!E11&lt;&gt;""),'Q12027'!D11,"")</f>
        <v/>
      </c>
      <c r="E10" t="str">
        <f>IF(AND('Q12027'!B11&lt;&gt;"",'Q12027'!E11&lt;&gt;""),'Q12027'!H11,"")</f>
        <v/>
      </c>
      <c r="F10" t="str">
        <f>IF(AND('Q12027'!B11&lt;&gt;"",'Q12027'!E11&lt;&gt;""),'Q12027'!F11,"")</f>
        <v/>
      </c>
      <c r="G10" t="str">
        <f>IF(AND('Q12027'!B11&lt;&gt;"",'Q12027'!E11&lt;&gt;""),'Q12027'!G11,"")</f>
        <v/>
      </c>
      <c r="H10" t="str">
        <f>IF(AND('Q12027'!B11&lt;&gt;"",'Q12027'!E11&lt;&gt;""),"Q12027","")</f>
        <v/>
      </c>
      <c r="I10" t="str">
        <f>IF(A10="Q12027",COUNTIF($A$2:$A10,"Q12027"),"")</f>
        <v/>
      </c>
      <c r="J10" t="str">
        <f>IF(A10="Q22027",COUNTIF($A$2:$A10,"Q22027"),"")</f>
        <v/>
      </c>
      <c r="K10" t="str">
        <f>IF(A10="Q32027",COUNTIF($A$2:$A10,"Q32027"),"")</f>
        <v/>
      </c>
      <c r="L10" t="str">
        <f>IF(A10="Q42027",COUNTIF($A$2:$A10,"Q42027"),"")</f>
        <v/>
      </c>
      <c r="M10" t="str">
        <f>IF(A10="Backlog",COUNTIF($A$2:$A10,"Backlog"),"")</f>
        <v/>
      </c>
    </row>
    <row r="11" spans="1:13">
      <c r="A11" t="str">
        <f>IF(AND('Q12027'!B12&lt;&gt;"",'Q12027'!E12&lt;&gt;""),'Q12027'!E12,"")</f>
        <v/>
      </c>
      <c r="B11" t="str">
        <f>IF(AND('Q12027'!B12&lt;&gt;"",'Q12027'!E12&lt;&gt;""),'Q12027'!B12,"")</f>
        <v/>
      </c>
      <c r="C11" t="str">
        <f>IF(AND('Q12027'!B12&lt;&gt;"",'Q12027'!E12&lt;&gt;""),'Q12027'!C12,"")</f>
        <v/>
      </c>
      <c r="D11" t="str">
        <f>IF(AND('Q12027'!B12&lt;&gt;"",'Q12027'!E12&lt;&gt;""),'Q12027'!D12,"")</f>
        <v/>
      </c>
      <c r="E11" t="str">
        <f>IF(AND('Q12027'!B12&lt;&gt;"",'Q12027'!E12&lt;&gt;""),'Q12027'!H12,"")</f>
        <v/>
      </c>
      <c r="F11" t="str">
        <f>IF(AND('Q12027'!B12&lt;&gt;"",'Q12027'!E12&lt;&gt;""),'Q12027'!F12,"")</f>
        <v/>
      </c>
      <c r="G11" t="str">
        <f>IF(AND('Q12027'!B12&lt;&gt;"",'Q12027'!E12&lt;&gt;""),'Q12027'!G12,"")</f>
        <v/>
      </c>
      <c r="H11" t="str">
        <f>IF(AND('Q12027'!B12&lt;&gt;"",'Q12027'!E12&lt;&gt;""),"Q12027","")</f>
        <v/>
      </c>
      <c r="I11" t="str">
        <f>IF(A11="Q12027",COUNTIF($A$2:$A11,"Q12027"),"")</f>
        <v/>
      </c>
      <c r="J11" t="str">
        <f>IF(A11="Q22027",COUNTIF($A$2:$A11,"Q22027"),"")</f>
        <v/>
      </c>
      <c r="K11" t="str">
        <f>IF(A11="Q32027",COUNTIF($A$2:$A11,"Q32027"),"")</f>
        <v/>
      </c>
      <c r="L11" t="str">
        <f>IF(A11="Q42027",COUNTIF($A$2:$A11,"Q42027"),"")</f>
        <v/>
      </c>
      <c r="M11" t="str">
        <f>IF(A11="Backlog",COUNTIF($A$2:$A11,"Backlog"),"")</f>
        <v/>
      </c>
    </row>
    <row r="12" spans="1:13">
      <c r="A12" t="str">
        <f>IF(AND('Q12027'!B13&lt;&gt;"",'Q12027'!E13&lt;&gt;""),'Q12027'!E13,"")</f>
        <v/>
      </c>
      <c r="B12" t="str">
        <f>IF(AND('Q12027'!B13&lt;&gt;"",'Q12027'!E13&lt;&gt;""),'Q12027'!B13,"")</f>
        <v/>
      </c>
      <c r="C12" t="str">
        <f>IF(AND('Q12027'!B13&lt;&gt;"",'Q12027'!E13&lt;&gt;""),'Q12027'!C13,"")</f>
        <v/>
      </c>
      <c r="D12" t="str">
        <f>IF(AND('Q12027'!B13&lt;&gt;"",'Q12027'!E13&lt;&gt;""),'Q12027'!D13,"")</f>
        <v/>
      </c>
      <c r="E12" t="str">
        <f>IF(AND('Q12027'!B13&lt;&gt;"",'Q12027'!E13&lt;&gt;""),'Q12027'!H13,"")</f>
        <v/>
      </c>
      <c r="F12" t="str">
        <f>IF(AND('Q12027'!B13&lt;&gt;"",'Q12027'!E13&lt;&gt;""),'Q12027'!F13,"")</f>
        <v/>
      </c>
      <c r="G12" t="str">
        <f>IF(AND('Q12027'!B13&lt;&gt;"",'Q12027'!E13&lt;&gt;""),'Q12027'!G13,"")</f>
        <v/>
      </c>
      <c r="H12" t="str">
        <f>IF(AND('Q12027'!B13&lt;&gt;"",'Q12027'!E13&lt;&gt;""),"Q12027","")</f>
        <v/>
      </c>
      <c r="I12" t="str">
        <f>IF(A12="Q12027",COUNTIF($A$2:$A12,"Q12027"),"")</f>
        <v/>
      </c>
      <c r="J12" t="str">
        <f>IF(A12="Q22027",COUNTIF($A$2:$A12,"Q22027"),"")</f>
        <v/>
      </c>
      <c r="K12" t="str">
        <f>IF(A12="Q32027",COUNTIF($A$2:$A12,"Q32027"),"")</f>
        <v/>
      </c>
      <c r="L12" t="str">
        <f>IF(A12="Q42027",COUNTIF($A$2:$A12,"Q42027"),"")</f>
        <v/>
      </c>
      <c r="M12" t="str">
        <f>IF(A12="Backlog",COUNTIF($A$2:$A12,"Backlog"),"")</f>
        <v/>
      </c>
    </row>
    <row r="13" spans="1:13">
      <c r="A13" t="str">
        <f>IF(AND('Q12027'!B14&lt;&gt;"",'Q12027'!E14&lt;&gt;""),'Q12027'!E14,"")</f>
        <v/>
      </c>
      <c r="B13" t="str">
        <f>IF(AND('Q12027'!B14&lt;&gt;"",'Q12027'!E14&lt;&gt;""),'Q12027'!B14,"")</f>
        <v/>
      </c>
      <c r="C13" t="str">
        <f>IF(AND('Q12027'!B14&lt;&gt;"",'Q12027'!E14&lt;&gt;""),'Q12027'!C14,"")</f>
        <v/>
      </c>
      <c r="D13" t="str">
        <f>IF(AND('Q12027'!B14&lt;&gt;"",'Q12027'!E14&lt;&gt;""),'Q12027'!D14,"")</f>
        <v/>
      </c>
      <c r="E13" t="str">
        <f>IF(AND('Q12027'!B14&lt;&gt;"",'Q12027'!E14&lt;&gt;""),'Q12027'!H14,"")</f>
        <v/>
      </c>
      <c r="F13" t="str">
        <f>IF(AND('Q12027'!B14&lt;&gt;"",'Q12027'!E14&lt;&gt;""),'Q12027'!F14,"")</f>
        <v/>
      </c>
      <c r="G13" t="str">
        <f>IF(AND('Q12027'!B14&lt;&gt;"",'Q12027'!E14&lt;&gt;""),'Q12027'!G14,"")</f>
        <v/>
      </c>
      <c r="H13" t="str">
        <f>IF(AND('Q12027'!B14&lt;&gt;"",'Q12027'!E14&lt;&gt;""),"Q12027","")</f>
        <v/>
      </c>
      <c r="I13" t="str">
        <f>IF(A13="Q12027",COUNTIF($A$2:$A13,"Q12027"),"")</f>
        <v/>
      </c>
      <c r="J13" t="str">
        <f>IF(A13="Q22027",COUNTIF($A$2:$A13,"Q22027"),"")</f>
        <v/>
      </c>
      <c r="K13" t="str">
        <f>IF(A13="Q32027",COUNTIF($A$2:$A13,"Q32027"),"")</f>
        <v/>
      </c>
      <c r="L13" t="str">
        <f>IF(A13="Q42027",COUNTIF($A$2:$A13,"Q42027"),"")</f>
        <v/>
      </c>
      <c r="M13" t="str">
        <f>IF(A13="Backlog",COUNTIF($A$2:$A13,"Backlog"),"")</f>
        <v/>
      </c>
    </row>
    <row r="14" spans="1:13">
      <c r="A14" t="str">
        <f>IF(AND('Q12027'!B15&lt;&gt;"",'Q12027'!E15&lt;&gt;""),'Q12027'!E15,"")</f>
        <v/>
      </c>
      <c r="B14" t="str">
        <f>IF(AND('Q12027'!B15&lt;&gt;"",'Q12027'!E15&lt;&gt;""),'Q12027'!B15,"")</f>
        <v/>
      </c>
      <c r="C14" t="str">
        <f>IF(AND('Q12027'!B15&lt;&gt;"",'Q12027'!E15&lt;&gt;""),'Q12027'!C15,"")</f>
        <v/>
      </c>
      <c r="D14" t="str">
        <f>IF(AND('Q12027'!B15&lt;&gt;"",'Q12027'!E15&lt;&gt;""),'Q12027'!D15,"")</f>
        <v/>
      </c>
      <c r="E14" t="str">
        <f>IF(AND('Q12027'!B15&lt;&gt;"",'Q12027'!E15&lt;&gt;""),'Q12027'!H15,"")</f>
        <v/>
      </c>
      <c r="F14" t="str">
        <f>IF(AND('Q12027'!B15&lt;&gt;"",'Q12027'!E15&lt;&gt;""),'Q12027'!F15,"")</f>
        <v/>
      </c>
      <c r="G14" t="str">
        <f>IF(AND('Q12027'!B15&lt;&gt;"",'Q12027'!E15&lt;&gt;""),'Q12027'!G15,"")</f>
        <v/>
      </c>
      <c r="H14" t="str">
        <f>IF(AND('Q12027'!B15&lt;&gt;"",'Q12027'!E15&lt;&gt;""),"Q12027","")</f>
        <v/>
      </c>
      <c r="I14" t="str">
        <f>IF(A14="Q12027",COUNTIF($A$2:$A14,"Q12027"),"")</f>
        <v/>
      </c>
      <c r="J14" t="str">
        <f>IF(A14="Q22027",COUNTIF($A$2:$A14,"Q22027"),"")</f>
        <v/>
      </c>
      <c r="K14" t="str">
        <f>IF(A14="Q32027",COUNTIF($A$2:$A14,"Q32027"),"")</f>
        <v/>
      </c>
      <c r="L14" t="str">
        <f>IF(A14="Q42027",COUNTIF($A$2:$A14,"Q42027"),"")</f>
        <v/>
      </c>
      <c r="M14" t="str">
        <f>IF(A14="Backlog",COUNTIF($A$2:$A14,"Backlog"),"")</f>
        <v/>
      </c>
    </row>
    <row r="15" spans="1:13">
      <c r="A15" t="str">
        <f>IF(AND('Q12027'!B16&lt;&gt;"",'Q12027'!E16&lt;&gt;""),'Q12027'!E16,"")</f>
        <v/>
      </c>
      <c r="B15" t="str">
        <f>IF(AND('Q12027'!B16&lt;&gt;"",'Q12027'!E16&lt;&gt;""),'Q12027'!B16,"")</f>
        <v/>
      </c>
      <c r="C15" t="str">
        <f>IF(AND('Q12027'!B16&lt;&gt;"",'Q12027'!E16&lt;&gt;""),'Q12027'!C16,"")</f>
        <v/>
      </c>
      <c r="D15" t="str">
        <f>IF(AND('Q12027'!B16&lt;&gt;"",'Q12027'!E16&lt;&gt;""),'Q12027'!D16,"")</f>
        <v/>
      </c>
      <c r="E15" t="str">
        <f>IF(AND('Q12027'!B16&lt;&gt;"",'Q12027'!E16&lt;&gt;""),'Q12027'!H16,"")</f>
        <v/>
      </c>
      <c r="F15" t="str">
        <f>IF(AND('Q12027'!B16&lt;&gt;"",'Q12027'!E16&lt;&gt;""),'Q12027'!F16,"")</f>
        <v/>
      </c>
      <c r="G15" t="str">
        <f>IF(AND('Q12027'!B16&lt;&gt;"",'Q12027'!E16&lt;&gt;""),'Q12027'!G16,"")</f>
        <v/>
      </c>
      <c r="H15" t="str">
        <f>IF(AND('Q12027'!B16&lt;&gt;"",'Q12027'!E16&lt;&gt;""),"Q12027","")</f>
        <v/>
      </c>
      <c r="I15" t="str">
        <f>IF(A15="Q12027",COUNTIF($A$2:$A15,"Q12027"),"")</f>
        <v/>
      </c>
      <c r="J15" t="str">
        <f>IF(A15="Q22027",COUNTIF($A$2:$A15,"Q22027"),"")</f>
        <v/>
      </c>
      <c r="K15" t="str">
        <f>IF(A15="Q32027",COUNTIF($A$2:$A15,"Q32027"),"")</f>
        <v/>
      </c>
      <c r="L15" t="str">
        <f>IF(A15="Q42027",COUNTIF($A$2:$A15,"Q42027"),"")</f>
        <v/>
      </c>
      <c r="M15" t="str">
        <f>IF(A15="Backlog",COUNTIF($A$2:$A15,"Backlog"),"")</f>
        <v/>
      </c>
    </row>
    <row r="16" spans="1:13">
      <c r="A16" t="str">
        <f>IF(AND('Q12027'!B17&lt;&gt;"",'Q12027'!E17&lt;&gt;""),'Q12027'!E17,"")</f>
        <v/>
      </c>
      <c r="B16" t="str">
        <f>IF(AND('Q12027'!B17&lt;&gt;"",'Q12027'!E17&lt;&gt;""),'Q12027'!B17,"")</f>
        <v/>
      </c>
      <c r="C16" t="str">
        <f>IF(AND('Q12027'!B17&lt;&gt;"",'Q12027'!E17&lt;&gt;""),'Q12027'!C17,"")</f>
        <v/>
      </c>
      <c r="D16" t="str">
        <f>IF(AND('Q12027'!B17&lt;&gt;"",'Q12027'!E17&lt;&gt;""),'Q12027'!D17,"")</f>
        <v/>
      </c>
      <c r="E16" t="str">
        <f>IF(AND('Q12027'!B17&lt;&gt;"",'Q12027'!E17&lt;&gt;""),'Q12027'!H17,"")</f>
        <v/>
      </c>
      <c r="F16" t="str">
        <f>IF(AND('Q12027'!B17&lt;&gt;"",'Q12027'!E17&lt;&gt;""),'Q12027'!F17,"")</f>
        <v/>
      </c>
      <c r="G16" t="str">
        <f>IF(AND('Q12027'!B17&lt;&gt;"",'Q12027'!E17&lt;&gt;""),'Q12027'!G17,"")</f>
        <v/>
      </c>
      <c r="H16" t="str">
        <f>IF(AND('Q12027'!B17&lt;&gt;"",'Q12027'!E17&lt;&gt;""),"Q12027","")</f>
        <v/>
      </c>
      <c r="I16" t="str">
        <f>IF(A16="Q12027",COUNTIF($A$2:$A16,"Q12027"),"")</f>
        <v/>
      </c>
      <c r="J16" t="str">
        <f>IF(A16="Q22027",COUNTIF($A$2:$A16,"Q22027"),"")</f>
        <v/>
      </c>
      <c r="K16" t="str">
        <f>IF(A16="Q32027",COUNTIF($A$2:$A16,"Q32027"),"")</f>
        <v/>
      </c>
      <c r="L16" t="str">
        <f>IF(A16="Q42027",COUNTIF($A$2:$A16,"Q42027"),"")</f>
        <v/>
      </c>
      <c r="M16" t="str">
        <f>IF(A16="Backlog",COUNTIF($A$2:$A16,"Backlog"),"")</f>
        <v/>
      </c>
    </row>
    <row r="17" spans="1:13">
      <c r="A17" t="str">
        <f>IF(AND('Q12027'!B18&lt;&gt;"",'Q12027'!E18&lt;&gt;""),'Q12027'!E18,"")</f>
        <v/>
      </c>
      <c r="B17" t="str">
        <f>IF(AND('Q12027'!B18&lt;&gt;"",'Q12027'!E18&lt;&gt;""),'Q12027'!B18,"")</f>
        <v/>
      </c>
      <c r="C17" t="str">
        <f>IF(AND('Q12027'!B18&lt;&gt;"",'Q12027'!E18&lt;&gt;""),'Q12027'!C18,"")</f>
        <v/>
      </c>
      <c r="D17" t="str">
        <f>IF(AND('Q12027'!B18&lt;&gt;"",'Q12027'!E18&lt;&gt;""),'Q12027'!D18,"")</f>
        <v/>
      </c>
      <c r="E17" t="str">
        <f>IF(AND('Q12027'!B18&lt;&gt;"",'Q12027'!E18&lt;&gt;""),'Q12027'!H18,"")</f>
        <v/>
      </c>
      <c r="F17" t="str">
        <f>IF(AND('Q12027'!B18&lt;&gt;"",'Q12027'!E18&lt;&gt;""),'Q12027'!F18,"")</f>
        <v/>
      </c>
      <c r="G17" t="str">
        <f>IF(AND('Q12027'!B18&lt;&gt;"",'Q12027'!E18&lt;&gt;""),'Q12027'!G18,"")</f>
        <v/>
      </c>
      <c r="H17" t="str">
        <f>IF(AND('Q12027'!B18&lt;&gt;"",'Q12027'!E18&lt;&gt;""),"Q12027","")</f>
        <v/>
      </c>
      <c r="I17" t="str">
        <f>IF(A17="Q12027",COUNTIF($A$2:$A17,"Q12027"),"")</f>
        <v/>
      </c>
      <c r="J17" t="str">
        <f>IF(A17="Q22027",COUNTIF($A$2:$A17,"Q22027"),"")</f>
        <v/>
      </c>
      <c r="K17" t="str">
        <f>IF(A17="Q32027",COUNTIF($A$2:$A17,"Q32027"),"")</f>
        <v/>
      </c>
      <c r="L17" t="str">
        <f>IF(A17="Q42027",COUNTIF($A$2:$A17,"Q42027"),"")</f>
        <v/>
      </c>
      <c r="M17" t="str">
        <f>IF(A17="Backlog",COUNTIF($A$2:$A17,"Backlog"),"")</f>
        <v/>
      </c>
    </row>
    <row r="18" spans="1:13">
      <c r="A18" t="str">
        <f>IF(AND('Q12027'!B19&lt;&gt;"",'Q12027'!E19&lt;&gt;""),'Q12027'!E19,"")</f>
        <v/>
      </c>
      <c r="B18" t="str">
        <f>IF(AND('Q12027'!B19&lt;&gt;"",'Q12027'!E19&lt;&gt;""),'Q12027'!B19,"")</f>
        <v/>
      </c>
      <c r="C18" t="str">
        <f>IF(AND('Q12027'!B19&lt;&gt;"",'Q12027'!E19&lt;&gt;""),'Q12027'!C19,"")</f>
        <v/>
      </c>
      <c r="D18" t="str">
        <f>IF(AND('Q12027'!B19&lt;&gt;"",'Q12027'!E19&lt;&gt;""),'Q12027'!D19,"")</f>
        <v/>
      </c>
      <c r="E18" t="str">
        <f>IF(AND('Q12027'!B19&lt;&gt;"",'Q12027'!E19&lt;&gt;""),'Q12027'!H19,"")</f>
        <v/>
      </c>
      <c r="F18" t="str">
        <f>IF(AND('Q12027'!B19&lt;&gt;"",'Q12027'!E19&lt;&gt;""),'Q12027'!F19,"")</f>
        <v/>
      </c>
      <c r="G18" t="str">
        <f>IF(AND('Q12027'!B19&lt;&gt;"",'Q12027'!E19&lt;&gt;""),'Q12027'!G19,"")</f>
        <v/>
      </c>
      <c r="H18" t="str">
        <f>IF(AND('Q12027'!B19&lt;&gt;"",'Q12027'!E19&lt;&gt;""),"Q12027","")</f>
        <v/>
      </c>
      <c r="I18" t="str">
        <f>IF(A18="Q12027",COUNTIF($A$2:$A18,"Q12027"),"")</f>
        <v/>
      </c>
      <c r="J18" t="str">
        <f>IF(A18="Q22027",COUNTIF($A$2:$A18,"Q22027"),"")</f>
        <v/>
      </c>
      <c r="K18" t="str">
        <f>IF(A18="Q32027",COUNTIF($A$2:$A18,"Q32027"),"")</f>
        <v/>
      </c>
      <c r="L18" t="str">
        <f>IF(A18="Q42027",COUNTIF($A$2:$A18,"Q42027"),"")</f>
        <v/>
      </c>
      <c r="M18" t="str">
        <f>IF(A18="Backlog",COUNTIF($A$2:$A18,"Backlog"),"")</f>
        <v/>
      </c>
    </row>
    <row r="19" spans="1:13">
      <c r="A19" t="str">
        <f>IF(AND('Q12027'!B20&lt;&gt;"",'Q12027'!E20&lt;&gt;""),'Q12027'!E20,"")</f>
        <v/>
      </c>
      <c r="B19" t="str">
        <f>IF(AND('Q12027'!B20&lt;&gt;"",'Q12027'!E20&lt;&gt;""),'Q12027'!B20,"")</f>
        <v/>
      </c>
      <c r="C19" t="str">
        <f>IF(AND('Q12027'!B20&lt;&gt;"",'Q12027'!E20&lt;&gt;""),'Q12027'!C20,"")</f>
        <v/>
      </c>
      <c r="D19" t="str">
        <f>IF(AND('Q12027'!B20&lt;&gt;"",'Q12027'!E20&lt;&gt;""),'Q12027'!D20,"")</f>
        <v/>
      </c>
      <c r="E19" t="str">
        <f>IF(AND('Q12027'!B20&lt;&gt;"",'Q12027'!E20&lt;&gt;""),'Q12027'!H20,"")</f>
        <v/>
      </c>
      <c r="F19" t="str">
        <f>IF(AND('Q12027'!B20&lt;&gt;"",'Q12027'!E20&lt;&gt;""),'Q12027'!F20,"")</f>
        <v/>
      </c>
      <c r="G19" t="str">
        <f>IF(AND('Q12027'!B20&lt;&gt;"",'Q12027'!E20&lt;&gt;""),'Q12027'!G20,"")</f>
        <v/>
      </c>
      <c r="H19" t="str">
        <f>IF(AND('Q12027'!B20&lt;&gt;"",'Q12027'!E20&lt;&gt;""),"Q12027","")</f>
        <v/>
      </c>
      <c r="I19" t="str">
        <f>IF(A19="Q12027",COUNTIF($A$2:$A19,"Q12027"),"")</f>
        <v/>
      </c>
      <c r="J19" t="str">
        <f>IF(A19="Q22027",COUNTIF($A$2:$A19,"Q22027"),"")</f>
        <v/>
      </c>
      <c r="K19" t="str">
        <f>IF(A19="Q32027",COUNTIF($A$2:$A19,"Q32027"),"")</f>
        <v/>
      </c>
      <c r="L19" t="str">
        <f>IF(A19="Q42027",COUNTIF($A$2:$A19,"Q42027"),"")</f>
        <v/>
      </c>
      <c r="M19" t="str">
        <f>IF(A19="Backlog",COUNTIF($A$2:$A19,"Backlog"),"")</f>
        <v/>
      </c>
    </row>
    <row r="20" spans="1:13">
      <c r="A20" t="str">
        <f>IF(AND('Q12027'!B21&lt;&gt;"",'Q12027'!E21&lt;&gt;""),'Q12027'!E21,"")</f>
        <v/>
      </c>
      <c r="B20" t="str">
        <f>IF(AND('Q12027'!B21&lt;&gt;"",'Q12027'!E21&lt;&gt;""),'Q12027'!B21,"")</f>
        <v/>
      </c>
      <c r="C20" t="str">
        <f>IF(AND('Q12027'!B21&lt;&gt;"",'Q12027'!E21&lt;&gt;""),'Q12027'!C21,"")</f>
        <v/>
      </c>
      <c r="D20" t="str">
        <f>IF(AND('Q12027'!B21&lt;&gt;"",'Q12027'!E21&lt;&gt;""),'Q12027'!D21,"")</f>
        <v/>
      </c>
      <c r="E20" t="str">
        <f>IF(AND('Q12027'!B21&lt;&gt;"",'Q12027'!E21&lt;&gt;""),'Q12027'!H21,"")</f>
        <v/>
      </c>
      <c r="F20" t="str">
        <f>IF(AND('Q12027'!B21&lt;&gt;"",'Q12027'!E21&lt;&gt;""),'Q12027'!F21,"")</f>
        <v/>
      </c>
      <c r="G20" t="str">
        <f>IF(AND('Q12027'!B21&lt;&gt;"",'Q12027'!E21&lt;&gt;""),'Q12027'!G21,"")</f>
        <v/>
      </c>
      <c r="H20" t="str">
        <f>IF(AND('Q12027'!B21&lt;&gt;"",'Q12027'!E21&lt;&gt;""),"Q12027","")</f>
        <v/>
      </c>
      <c r="I20" t="str">
        <f>IF(A20="Q12027",COUNTIF($A$2:$A20,"Q12027"),"")</f>
        <v/>
      </c>
      <c r="J20" t="str">
        <f>IF(A20="Q22027",COUNTIF($A$2:$A20,"Q22027"),"")</f>
        <v/>
      </c>
      <c r="K20" t="str">
        <f>IF(A20="Q32027",COUNTIF($A$2:$A20,"Q32027"),"")</f>
        <v/>
      </c>
      <c r="L20" t="str">
        <f>IF(A20="Q42027",COUNTIF($A$2:$A20,"Q42027"),"")</f>
        <v/>
      </c>
      <c r="M20" t="str">
        <f>IF(A20="Backlog",COUNTIF($A$2:$A20,"Backlog"),"")</f>
        <v/>
      </c>
    </row>
    <row r="21" spans="1:13">
      <c r="A21" t="str">
        <f>IF(AND('Q12027'!B22&lt;&gt;"",'Q12027'!E22&lt;&gt;""),'Q12027'!E22,"")</f>
        <v/>
      </c>
      <c r="B21" t="str">
        <f>IF(AND('Q12027'!B22&lt;&gt;"",'Q12027'!E22&lt;&gt;""),'Q12027'!B22,"")</f>
        <v/>
      </c>
      <c r="C21" t="str">
        <f>IF(AND('Q12027'!B22&lt;&gt;"",'Q12027'!E22&lt;&gt;""),'Q12027'!C22,"")</f>
        <v/>
      </c>
      <c r="D21" t="str">
        <f>IF(AND('Q12027'!B22&lt;&gt;"",'Q12027'!E22&lt;&gt;""),'Q12027'!D22,"")</f>
        <v/>
      </c>
      <c r="E21" t="str">
        <f>IF(AND('Q12027'!B22&lt;&gt;"",'Q12027'!E22&lt;&gt;""),'Q12027'!H22,"")</f>
        <v/>
      </c>
      <c r="F21" t="str">
        <f>IF(AND('Q12027'!B22&lt;&gt;"",'Q12027'!E22&lt;&gt;""),'Q12027'!F22,"")</f>
        <v/>
      </c>
      <c r="G21" t="str">
        <f>IF(AND('Q12027'!B22&lt;&gt;"",'Q12027'!E22&lt;&gt;""),'Q12027'!G22,"")</f>
        <v/>
      </c>
      <c r="H21" t="str">
        <f>IF(AND('Q12027'!B22&lt;&gt;"",'Q12027'!E22&lt;&gt;""),"Q12027","")</f>
        <v/>
      </c>
      <c r="I21" t="str">
        <f>IF(A21="Q12027",COUNTIF($A$2:$A21,"Q12027"),"")</f>
        <v/>
      </c>
      <c r="J21" t="str">
        <f>IF(A21="Q22027",COUNTIF($A$2:$A21,"Q22027"),"")</f>
        <v/>
      </c>
      <c r="K21" t="str">
        <f>IF(A21="Q32027",COUNTIF($A$2:$A21,"Q32027"),"")</f>
        <v/>
      </c>
      <c r="L21" t="str">
        <f>IF(A21="Q42027",COUNTIF($A$2:$A21,"Q42027"),"")</f>
        <v/>
      </c>
      <c r="M21" t="str">
        <f>IF(A21="Backlog",COUNTIF($A$2:$A21,"Backlog"),"")</f>
        <v/>
      </c>
    </row>
    <row r="22" spans="1:13">
      <c r="A22" t="str">
        <f>IF(AND('Q12027'!B23&lt;&gt;"",'Q12027'!E23&lt;&gt;""),'Q12027'!E23,"")</f>
        <v/>
      </c>
      <c r="B22" t="str">
        <f>IF(AND('Q12027'!B23&lt;&gt;"",'Q12027'!E23&lt;&gt;""),'Q12027'!B23,"")</f>
        <v/>
      </c>
      <c r="C22" t="str">
        <f>IF(AND('Q12027'!B23&lt;&gt;"",'Q12027'!E23&lt;&gt;""),'Q12027'!C23,"")</f>
        <v/>
      </c>
      <c r="D22" t="str">
        <f>IF(AND('Q12027'!B23&lt;&gt;"",'Q12027'!E23&lt;&gt;""),'Q12027'!D23,"")</f>
        <v/>
      </c>
      <c r="E22" t="str">
        <f>IF(AND('Q12027'!B23&lt;&gt;"",'Q12027'!E23&lt;&gt;""),'Q12027'!H23,"")</f>
        <v/>
      </c>
      <c r="F22" t="str">
        <f>IF(AND('Q12027'!B23&lt;&gt;"",'Q12027'!E23&lt;&gt;""),'Q12027'!F23,"")</f>
        <v/>
      </c>
      <c r="G22" t="str">
        <f>IF(AND('Q12027'!B23&lt;&gt;"",'Q12027'!E23&lt;&gt;""),'Q12027'!G23,"")</f>
        <v/>
      </c>
      <c r="H22" t="str">
        <f>IF(AND('Q12027'!B23&lt;&gt;"",'Q12027'!E23&lt;&gt;""),"Q12027","")</f>
        <v/>
      </c>
      <c r="I22" t="str">
        <f>IF(A22="Q12027",COUNTIF($A$2:$A22,"Q12027"),"")</f>
        <v/>
      </c>
      <c r="J22" t="str">
        <f>IF(A22="Q22027",COUNTIF($A$2:$A22,"Q22027"),"")</f>
        <v/>
      </c>
      <c r="K22" t="str">
        <f>IF(A22="Q32027",COUNTIF($A$2:$A22,"Q32027"),"")</f>
        <v/>
      </c>
      <c r="L22" t="str">
        <f>IF(A22="Q42027",COUNTIF($A$2:$A22,"Q42027"),"")</f>
        <v/>
      </c>
      <c r="M22" t="str">
        <f>IF(A22="Backlog",COUNTIF($A$2:$A22,"Backlog"),"")</f>
        <v/>
      </c>
    </row>
    <row r="23" spans="1:13">
      <c r="A23" t="str">
        <f>IF(AND('Q12027'!B24&lt;&gt;"",'Q12027'!E24&lt;&gt;""),'Q12027'!E24,"")</f>
        <v/>
      </c>
      <c r="B23" t="str">
        <f>IF(AND('Q12027'!B24&lt;&gt;"",'Q12027'!E24&lt;&gt;""),'Q12027'!B24,"")</f>
        <v/>
      </c>
      <c r="C23" t="str">
        <f>IF(AND('Q12027'!B24&lt;&gt;"",'Q12027'!E24&lt;&gt;""),'Q12027'!C24,"")</f>
        <v/>
      </c>
      <c r="D23" t="str">
        <f>IF(AND('Q12027'!B24&lt;&gt;"",'Q12027'!E24&lt;&gt;""),'Q12027'!D24,"")</f>
        <v/>
      </c>
      <c r="E23" t="str">
        <f>IF(AND('Q12027'!B24&lt;&gt;"",'Q12027'!E24&lt;&gt;""),'Q12027'!H24,"")</f>
        <v/>
      </c>
      <c r="F23" t="str">
        <f>IF(AND('Q12027'!B24&lt;&gt;"",'Q12027'!E24&lt;&gt;""),'Q12027'!F24,"")</f>
        <v/>
      </c>
      <c r="G23" t="str">
        <f>IF(AND('Q12027'!B24&lt;&gt;"",'Q12027'!E24&lt;&gt;""),'Q12027'!G24,"")</f>
        <v/>
      </c>
      <c r="H23" t="str">
        <f>IF(AND('Q12027'!B24&lt;&gt;"",'Q12027'!E24&lt;&gt;""),"Q12027","")</f>
        <v/>
      </c>
      <c r="I23" t="str">
        <f>IF(A23="Q12027",COUNTIF($A$2:$A23,"Q12027"),"")</f>
        <v/>
      </c>
      <c r="J23" t="str">
        <f>IF(A23="Q22027",COUNTIF($A$2:$A23,"Q22027"),"")</f>
        <v/>
      </c>
      <c r="K23" t="str">
        <f>IF(A23="Q32027",COUNTIF($A$2:$A23,"Q32027"),"")</f>
        <v/>
      </c>
      <c r="L23" t="str">
        <f>IF(A23="Q42027",COUNTIF($A$2:$A23,"Q42027"),"")</f>
        <v/>
      </c>
      <c r="M23" t="str">
        <f>IF(A23="Backlog",COUNTIF($A$2:$A23,"Backlog"),"")</f>
        <v/>
      </c>
    </row>
    <row r="24" spans="1:13">
      <c r="A24" t="str">
        <f>IF(AND('Q12027'!B25&lt;&gt;"",'Q12027'!E25&lt;&gt;""),'Q12027'!E25,"")</f>
        <v/>
      </c>
      <c r="B24" t="str">
        <f>IF(AND('Q12027'!B25&lt;&gt;"",'Q12027'!E25&lt;&gt;""),'Q12027'!B25,"")</f>
        <v/>
      </c>
      <c r="C24" t="str">
        <f>IF(AND('Q12027'!B25&lt;&gt;"",'Q12027'!E25&lt;&gt;""),'Q12027'!C25,"")</f>
        <v/>
      </c>
      <c r="D24" t="str">
        <f>IF(AND('Q12027'!B25&lt;&gt;"",'Q12027'!E25&lt;&gt;""),'Q12027'!D25,"")</f>
        <v/>
      </c>
      <c r="E24" t="str">
        <f>IF(AND('Q12027'!B25&lt;&gt;"",'Q12027'!E25&lt;&gt;""),'Q12027'!H25,"")</f>
        <v/>
      </c>
      <c r="F24" t="str">
        <f>IF(AND('Q12027'!B25&lt;&gt;"",'Q12027'!E25&lt;&gt;""),'Q12027'!F25,"")</f>
        <v/>
      </c>
      <c r="G24" t="str">
        <f>IF(AND('Q12027'!B25&lt;&gt;"",'Q12027'!E25&lt;&gt;""),'Q12027'!G25,"")</f>
        <v/>
      </c>
      <c r="H24" t="str">
        <f>IF(AND('Q12027'!B25&lt;&gt;"",'Q12027'!E25&lt;&gt;""),"Q12027","")</f>
        <v/>
      </c>
      <c r="I24" t="str">
        <f>IF(A24="Q12027",COUNTIF($A$2:$A24,"Q12027"),"")</f>
        <v/>
      </c>
      <c r="J24" t="str">
        <f>IF(A24="Q22027",COUNTIF($A$2:$A24,"Q22027"),"")</f>
        <v/>
      </c>
      <c r="K24" t="str">
        <f>IF(A24="Q32027",COUNTIF($A$2:$A24,"Q32027"),"")</f>
        <v/>
      </c>
      <c r="L24" t="str">
        <f>IF(A24="Q42027",COUNTIF($A$2:$A24,"Q42027"),"")</f>
        <v/>
      </c>
      <c r="M24" t="str">
        <f>IF(A24="Backlog",COUNTIF($A$2:$A24,"Backlog"),"")</f>
        <v/>
      </c>
    </row>
    <row r="25" spans="1:13">
      <c r="A25" t="str">
        <f>IF(AND('Q12027'!B26&lt;&gt;"",'Q12027'!E26&lt;&gt;""),'Q12027'!E26,"")</f>
        <v/>
      </c>
      <c r="B25" t="str">
        <f>IF(AND('Q12027'!B26&lt;&gt;"",'Q12027'!E26&lt;&gt;""),'Q12027'!B26,"")</f>
        <v/>
      </c>
      <c r="C25" t="str">
        <f>IF(AND('Q12027'!B26&lt;&gt;"",'Q12027'!E26&lt;&gt;""),'Q12027'!C26,"")</f>
        <v/>
      </c>
      <c r="D25" t="str">
        <f>IF(AND('Q12027'!B26&lt;&gt;"",'Q12027'!E26&lt;&gt;""),'Q12027'!D26,"")</f>
        <v/>
      </c>
      <c r="E25" t="str">
        <f>IF(AND('Q12027'!B26&lt;&gt;"",'Q12027'!E26&lt;&gt;""),'Q12027'!H26,"")</f>
        <v/>
      </c>
      <c r="F25" t="str">
        <f>IF(AND('Q12027'!B26&lt;&gt;"",'Q12027'!E26&lt;&gt;""),'Q12027'!F26,"")</f>
        <v/>
      </c>
      <c r="G25" t="str">
        <f>IF(AND('Q12027'!B26&lt;&gt;"",'Q12027'!E26&lt;&gt;""),'Q12027'!G26,"")</f>
        <v/>
      </c>
      <c r="H25" t="str">
        <f>IF(AND('Q12027'!B26&lt;&gt;"",'Q12027'!E26&lt;&gt;""),"Q12027","")</f>
        <v/>
      </c>
      <c r="I25" t="str">
        <f>IF(A25="Q12027",COUNTIF($A$2:$A25,"Q12027"),"")</f>
        <v/>
      </c>
      <c r="J25" t="str">
        <f>IF(A25="Q22027",COUNTIF($A$2:$A25,"Q22027"),"")</f>
        <v/>
      </c>
      <c r="K25" t="str">
        <f>IF(A25="Q32027",COUNTIF($A$2:$A25,"Q32027"),"")</f>
        <v/>
      </c>
      <c r="L25" t="str">
        <f>IF(A25="Q42027",COUNTIF($A$2:$A25,"Q42027"),"")</f>
        <v/>
      </c>
      <c r="M25" t="str">
        <f>IF(A25="Backlog",COUNTIF($A$2:$A25,"Backlog"),"")</f>
        <v/>
      </c>
    </row>
    <row r="26" spans="1:13">
      <c r="A26" t="str">
        <f>IF(AND('Q12027'!B27&lt;&gt;"",'Q12027'!E27&lt;&gt;""),'Q12027'!E27,"")</f>
        <v/>
      </c>
      <c r="B26" t="str">
        <f>IF(AND('Q12027'!B27&lt;&gt;"",'Q12027'!E27&lt;&gt;""),'Q12027'!B27,"")</f>
        <v/>
      </c>
      <c r="C26" t="str">
        <f>IF(AND('Q12027'!B27&lt;&gt;"",'Q12027'!E27&lt;&gt;""),'Q12027'!C27,"")</f>
        <v/>
      </c>
      <c r="D26" t="str">
        <f>IF(AND('Q12027'!B27&lt;&gt;"",'Q12027'!E27&lt;&gt;""),'Q12027'!D27,"")</f>
        <v/>
      </c>
      <c r="E26" t="str">
        <f>IF(AND('Q12027'!B27&lt;&gt;"",'Q12027'!E27&lt;&gt;""),'Q12027'!H27,"")</f>
        <v/>
      </c>
      <c r="F26" t="str">
        <f>IF(AND('Q12027'!B27&lt;&gt;"",'Q12027'!E27&lt;&gt;""),'Q12027'!F27,"")</f>
        <v/>
      </c>
      <c r="G26" t="str">
        <f>IF(AND('Q12027'!B27&lt;&gt;"",'Q12027'!E27&lt;&gt;""),'Q12027'!G27,"")</f>
        <v/>
      </c>
      <c r="H26" t="str">
        <f>IF(AND('Q12027'!B27&lt;&gt;"",'Q12027'!E27&lt;&gt;""),"Q12027","")</f>
        <v/>
      </c>
      <c r="I26" t="str">
        <f>IF(A26="Q12027",COUNTIF($A$2:$A26,"Q12027"),"")</f>
        <v/>
      </c>
      <c r="J26" t="str">
        <f>IF(A26="Q22027",COUNTIF($A$2:$A26,"Q22027"),"")</f>
        <v/>
      </c>
      <c r="K26" t="str">
        <f>IF(A26="Q32027",COUNTIF($A$2:$A26,"Q32027"),"")</f>
        <v/>
      </c>
      <c r="L26" t="str">
        <f>IF(A26="Q42027",COUNTIF($A$2:$A26,"Q42027"),"")</f>
        <v/>
      </c>
      <c r="M26" t="str">
        <f>IF(A26="Backlog",COUNTIF($A$2:$A26,"Backlog"),"")</f>
        <v/>
      </c>
    </row>
    <row r="27" spans="1:13">
      <c r="A27" t="str">
        <f>IF(AND('Q12027'!B28&lt;&gt;"",'Q12027'!E28&lt;&gt;""),'Q12027'!E28,"")</f>
        <v/>
      </c>
      <c r="B27" t="str">
        <f>IF(AND('Q12027'!B28&lt;&gt;"",'Q12027'!E28&lt;&gt;""),'Q12027'!B28,"")</f>
        <v/>
      </c>
      <c r="C27" t="str">
        <f>IF(AND('Q12027'!B28&lt;&gt;"",'Q12027'!E28&lt;&gt;""),'Q12027'!C28,"")</f>
        <v/>
      </c>
      <c r="D27" t="str">
        <f>IF(AND('Q12027'!B28&lt;&gt;"",'Q12027'!E28&lt;&gt;""),'Q12027'!D28,"")</f>
        <v/>
      </c>
      <c r="E27" t="str">
        <f>IF(AND('Q12027'!B28&lt;&gt;"",'Q12027'!E28&lt;&gt;""),'Q12027'!H28,"")</f>
        <v/>
      </c>
      <c r="F27" t="str">
        <f>IF(AND('Q12027'!B28&lt;&gt;"",'Q12027'!E28&lt;&gt;""),'Q12027'!F28,"")</f>
        <v/>
      </c>
      <c r="G27" t="str">
        <f>IF(AND('Q12027'!B28&lt;&gt;"",'Q12027'!E28&lt;&gt;""),'Q12027'!G28,"")</f>
        <v/>
      </c>
      <c r="H27" t="str">
        <f>IF(AND('Q12027'!B28&lt;&gt;"",'Q12027'!E28&lt;&gt;""),"Q12027","")</f>
        <v/>
      </c>
      <c r="I27" t="str">
        <f>IF(A27="Q12027",COUNTIF($A$2:$A27,"Q12027"),"")</f>
        <v/>
      </c>
      <c r="J27" t="str">
        <f>IF(A27="Q22027",COUNTIF($A$2:$A27,"Q22027"),"")</f>
        <v/>
      </c>
      <c r="K27" t="str">
        <f>IF(A27="Q32027",COUNTIF($A$2:$A27,"Q32027"),"")</f>
        <v/>
      </c>
      <c r="L27" t="str">
        <f>IF(A27="Q42027",COUNTIF($A$2:$A27,"Q42027"),"")</f>
        <v/>
      </c>
      <c r="M27" t="str">
        <f>IF(A27="Backlog",COUNTIF($A$2:$A27,"Backlog"),"")</f>
        <v/>
      </c>
    </row>
    <row r="28" spans="1:13">
      <c r="A28" t="str">
        <f>IF(AND('Q12027'!B29&lt;&gt;"",'Q12027'!E29&lt;&gt;""),'Q12027'!E29,"")</f>
        <v/>
      </c>
      <c r="B28" t="str">
        <f>IF(AND('Q12027'!B29&lt;&gt;"",'Q12027'!E29&lt;&gt;""),'Q12027'!B29,"")</f>
        <v/>
      </c>
      <c r="C28" t="str">
        <f>IF(AND('Q12027'!B29&lt;&gt;"",'Q12027'!E29&lt;&gt;""),'Q12027'!C29,"")</f>
        <v/>
      </c>
      <c r="D28" t="str">
        <f>IF(AND('Q12027'!B29&lt;&gt;"",'Q12027'!E29&lt;&gt;""),'Q12027'!D29,"")</f>
        <v/>
      </c>
      <c r="E28" t="str">
        <f>IF(AND('Q12027'!B29&lt;&gt;"",'Q12027'!E29&lt;&gt;""),'Q12027'!H29,"")</f>
        <v/>
      </c>
      <c r="F28" t="str">
        <f>IF(AND('Q12027'!B29&lt;&gt;"",'Q12027'!E29&lt;&gt;""),'Q12027'!F29,"")</f>
        <v/>
      </c>
      <c r="G28" t="str">
        <f>IF(AND('Q12027'!B29&lt;&gt;"",'Q12027'!E29&lt;&gt;""),'Q12027'!G29,"")</f>
        <v/>
      </c>
      <c r="H28" t="str">
        <f>IF(AND('Q12027'!B29&lt;&gt;"",'Q12027'!E29&lt;&gt;""),"Q12027","")</f>
        <v/>
      </c>
      <c r="I28" t="str">
        <f>IF(A28="Q12027",COUNTIF($A$2:$A28,"Q12027"),"")</f>
        <v/>
      </c>
      <c r="J28" t="str">
        <f>IF(A28="Q22027",COUNTIF($A$2:$A28,"Q22027"),"")</f>
        <v/>
      </c>
      <c r="K28" t="str">
        <f>IF(A28="Q32027",COUNTIF($A$2:$A28,"Q32027"),"")</f>
        <v/>
      </c>
      <c r="L28" t="str">
        <f>IF(A28="Q42027",COUNTIF($A$2:$A28,"Q42027"),"")</f>
        <v/>
      </c>
      <c r="M28" t="str">
        <f>IF(A28="Backlog",COUNTIF($A$2:$A28,"Backlog"),"")</f>
        <v/>
      </c>
    </row>
    <row r="29" spans="1:13">
      <c r="A29" t="str">
        <f>IF(AND('Q12027'!B30&lt;&gt;"",'Q12027'!E30&lt;&gt;""),'Q12027'!E30,"")</f>
        <v/>
      </c>
      <c r="B29" t="str">
        <f>IF(AND('Q12027'!B30&lt;&gt;"",'Q12027'!E30&lt;&gt;""),'Q12027'!B30,"")</f>
        <v/>
      </c>
      <c r="C29" t="str">
        <f>IF(AND('Q12027'!B30&lt;&gt;"",'Q12027'!E30&lt;&gt;""),'Q12027'!C30,"")</f>
        <v/>
      </c>
      <c r="D29" t="str">
        <f>IF(AND('Q12027'!B30&lt;&gt;"",'Q12027'!E30&lt;&gt;""),'Q12027'!D30,"")</f>
        <v/>
      </c>
      <c r="E29" t="str">
        <f>IF(AND('Q12027'!B30&lt;&gt;"",'Q12027'!E30&lt;&gt;""),'Q12027'!H30,"")</f>
        <v/>
      </c>
      <c r="F29" t="str">
        <f>IF(AND('Q12027'!B30&lt;&gt;"",'Q12027'!E30&lt;&gt;""),'Q12027'!F30,"")</f>
        <v/>
      </c>
      <c r="G29" t="str">
        <f>IF(AND('Q12027'!B30&lt;&gt;"",'Q12027'!E30&lt;&gt;""),'Q12027'!G30,"")</f>
        <v/>
      </c>
      <c r="H29" t="str">
        <f>IF(AND('Q12027'!B30&lt;&gt;"",'Q12027'!E30&lt;&gt;""),"Q12027","")</f>
        <v/>
      </c>
      <c r="I29" t="str">
        <f>IF(A29="Q12027",COUNTIF($A$2:$A29,"Q12027"),"")</f>
        <v/>
      </c>
      <c r="J29" t="str">
        <f>IF(A29="Q22027",COUNTIF($A$2:$A29,"Q22027"),"")</f>
        <v/>
      </c>
      <c r="K29" t="str">
        <f>IF(A29="Q32027",COUNTIF($A$2:$A29,"Q32027"),"")</f>
        <v/>
      </c>
      <c r="L29" t="str">
        <f>IF(A29="Q42027",COUNTIF($A$2:$A29,"Q42027"),"")</f>
        <v/>
      </c>
      <c r="M29" t="str">
        <f>IF(A29="Backlog",COUNTIF($A$2:$A29,"Backlog"),"")</f>
        <v/>
      </c>
    </row>
    <row r="30" spans="1:13">
      <c r="A30" t="str">
        <f>IF(AND('Q12027'!B31&lt;&gt;"",'Q12027'!E31&lt;&gt;""),'Q12027'!E31,"")</f>
        <v/>
      </c>
      <c r="B30" t="str">
        <f>IF(AND('Q12027'!B31&lt;&gt;"",'Q12027'!E31&lt;&gt;""),'Q12027'!B31,"")</f>
        <v/>
      </c>
      <c r="C30" t="str">
        <f>IF(AND('Q12027'!B31&lt;&gt;"",'Q12027'!E31&lt;&gt;""),'Q12027'!C31,"")</f>
        <v/>
      </c>
      <c r="D30" t="str">
        <f>IF(AND('Q12027'!B31&lt;&gt;"",'Q12027'!E31&lt;&gt;""),'Q12027'!D31,"")</f>
        <v/>
      </c>
      <c r="E30" t="str">
        <f>IF(AND('Q12027'!B31&lt;&gt;"",'Q12027'!E31&lt;&gt;""),'Q12027'!H31,"")</f>
        <v/>
      </c>
      <c r="F30" t="str">
        <f>IF(AND('Q12027'!B31&lt;&gt;"",'Q12027'!E31&lt;&gt;""),'Q12027'!F31,"")</f>
        <v/>
      </c>
      <c r="G30" t="str">
        <f>IF(AND('Q12027'!B31&lt;&gt;"",'Q12027'!E31&lt;&gt;""),'Q12027'!G31,"")</f>
        <v/>
      </c>
      <c r="H30" t="str">
        <f>IF(AND('Q12027'!B31&lt;&gt;"",'Q12027'!E31&lt;&gt;""),"Q12027","")</f>
        <v/>
      </c>
      <c r="I30" t="str">
        <f>IF(A30="Q12027",COUNTIF($A$2:$A30,"Q12027"),"")</f>
        <v/>
      </c>
      <c r="J30" t="str">
        <f>IF(A30="Q22027",COUNTIF($A$2:$A30,"Q22027"),"")</f>
        <v/>
      </c>
      <c r="K30" t="str">
        <f>IF(A30="Q32027",COUNTIF($A$2:$A30,"Q32027"),"")</f>
        <v/>
      </c>
      <c r="L30" t="str">
        <f>IF(A30="Q42027",COUNTIF($A$2:$A30,"Q42027"),"")</f>
        <v/>
      </c>
      <c r="M30" t="str">
        <f>IF(A30="Backlog",COUNTIF($A$2:$A30,"Backlog"),"")</f>
        <v/>
      </c>
    </row>
    <row r="31" spans="1:13">
      <c r="A31" t="str">
        <f>IF(AND('Q12027'!B32&lt;&gt;"",'Q12027'!E32&lt;&gt;""),'Q12027'!E32,"")</f>
        <v/>
      </c>
      <c r="B31" t="str">
        <f>IF(AND('Q12027'!B32&lt;&gt;"",'Q12027'!E32&lt;&gt;""),'Q12027'!B32,"")</f>
        <v/>
      </c>
      <c r="C31" t="str">
        <f>IF(AND('Q12027'!B32&lt;&gt;"",'Q12027'!E32&lt;&gt;""),'Q12027'!C32,"")</f>
        <v/>
      </c>
      <c r="D31" t="str">
        <f>IF(AND('Q12027'!B32&lt;&gt;"",'Q12027'!E32&lt;&gt;""),'Q12027'!D32,"")</f>
        <v/>
      </c>
      <c r="E31" t="str">
        <f>IF(AND('Q12027'!B32&lt;&gt;"",'Q12027'!E32&lt;&gt;""),'Q12027'!H32,"")</f>
        <v/>
      </c>
      <c r="F31" t="str">
        <f>IF(AND('Q12027'!B32&lt;&gt;"",'Q12027'!E32&lt;&gt;""),'Q12027'!F32,"")</f>
        <v/>
      </c>
      <c r="G31" t="str">
        <f>IF(AND('Q12027'!B32&lt;&gt;"",'Q12027'!E32&lt;&gt;""),'Q12027'!G32,"")</f>
        <v/>
      </c>
      <c r="H31" t="str">
        <f>IF(AND('Q12027'!B32&lt;&gt;"",'Q12027'!E32&lt;&gt;""),"Q12027","")</f>
        <v/>
      </c>
      <c r="I31" t="str">
        <f>IF(A31="Q12027",COUNTIF($A$2:$A31,"Q12027"),"")</f>
        <v/>
      </c>
      <c r="J31" t="str">
        <f>IF(A31="Q22027",COUNTIF($A$2:$A31,"Q22027"),"")</f>
        <v/>
      </c>
      <c r="K31" t="str">
        <f>IF(A31="Q32027",COUNTIF($A$2:$A31,"Q32027"),"")</f>
        <v/>
      </c>
      <c r="L31" t="str">
        <f>IF(A31="Q42027",COUNTIF($A$2:$A31,"Q42027"),"")</f>
        <v/>
      </c>
      <c r="M31" t="str">
        <f>IF(A31="Backlog",COUNTIF($A$2:$A31,"Backlog"),"")</f>
        <v/>
      </c>
    </row>
    <row r="32" spans="1:13">
      <c r="A32" t="str">
        <f>IF(AND('Q12027'!B33&lt;&gt;"",'Q12027'!E33&lt;&gt;""),'Q12027'!E33,"")</f>
        <v/>
      </c>
      <c r="B32" t="str">
        <f>IF(AND('Q12027'!B33&lt;&gt;"",'Q12027'!E33&lt;&gt;""),'Q12027'!B33,"")</f>
        <v/>
      </c>
      <c r="C32" t="str">
        <f>IF(AND('Q12027'!B33&lt;&gt;"",'Q12027'!E33&lt;&gt;""),'Q12027'!C33,"")</f>
        <v/>
      </c>
      <c r="D32" t="str">
        <f>IF(AND('Q12027'!B33&lt;&gt;"",'Q12027'!E33&lt;&gt;""),'Q12027'!D33,"")</f>
        <v/>
      </c>
      <c r="E32" t="str">
        <f>IF(AND('Q12027'!B33&lt;&gt;"",'Q12027'!E33&lt;&gt;""),'Q12027'!H33,"")</f>
        <v/>
      </c>
      <c r="F32" t="str">
        <f>IF(AND('Q12027'!B33&lt;&gt;"",'Q12027'!E33&lt;&gt;""),'Q12027'!F33,"")</f>
        <v/>
      </c>
      <c r="G32" t="str">
        <f>IF(AND('Q12027'!B33&lt;&gt;"",'Q12027'!E33&lt;&gt;""),'Q12027'!G33,"")</f>
        <v/>
      </c>
      <c r="H32" t="str">
        <f>IF(AND('Q12027'!B33&lt;&gt;"",'Q12027'!E33&lt;&gt;""),"Q12027","")</f>
        <v/>
      </c>
      <c r="I32" t="str">
        <f>IF(A32="Q12027",COUNTIF($A$2:$A32,"Q12027"),"")</f>
        <v/>
      </c>
      <c r="J32" t="str">
        <f>IF(A32="Q22027",COUNTIF($A$2:$A32,"Q22027"),"")</f>
        <v/>
      </c>
      <c r="K32" t="str">
        <f>IF(A32="Q32027",COUNTIF($A$2:$A32,"Q32027"),"")</f>
        <v/>
      </c>
      <c r="L32" t="str">
        <f>IF(A32="Q42027",COUNTIF($A$2:$A32,"Q42027"),"")</f>
        <v/>
      </c>
      <c r="M32" t="str">
        <f>IF(A32="Backlog",COUNTIF($A$2:$A32,"Backlog"),"")</f>
        <v/>
      </c>
    </row>
    <row r="33" spans="1:13">
      <c r="A33" t="str">
        <f>IF(AND('Q12027'!B34&lt;&gt;"",'Q12027'!E34&lt;&gt;""),'Q12027'!E34,"")</f>
        <v/>
      </c>
      <c r="B33" t="str">
        <f>IF(AND('Q12027'!B34&lt;&gt;"",'Q12027'!E34&lt;&gt;""),'Q12027'!B34,"")</f>
        <v/>
      </c>
      <c r="C33" t="str">
        <f>IF(AND('Q12027'!B34&lt;&gt;"",'Q12027'!E34&lt;&gt;""),'Q12027'!C34,"")</f>
        <v/>
      </c>
      <c r="D33" t="str">
        <f>IF(AND('Q12027'!B34&lt;&gt;"",'Q12027'!E34&lt;&gt;""),'Q12027'!D34,"")</f>
        <v/>
      </c>
      <c r="E33" t="str">
        <f>IF(AND('Q12027'!B34&lt;&gt;"",'Q12027'!E34&lt;&gt;""),'Q12027'!H34,"")</f>
        <v/>
      </c>
      <c r="F33" t="str">
        <f>IF(AND('Q12027'!B34&lt;&gt;"",'Q12027'!E34&lt;&gt;""),'Q12027'!F34,"")</f>
        <v/>
      </c>
      <c r="G33" t="str">
        <f>IF(AND('Q12027'!B34&lt;&gt;"",'Q12027'!E34&lt;&gt;""),'Q12027'!G34,"")</f>
        <v/>
      </c>
      <c r="H33" t="str">
        <f>IF(AND('Q12027'!B34&lt;&gt;"",'Q12027'!E34&lt;&gt;""),"Q12027","")</f>
        <v/>
      </c>
      <c r="I33" t="str">
        <f>IF(A33="Q12027",COUNTIF($A$2:$A33,"Q12027"),"")</f>
        <v/>
      </c>
      <c r="J33" t="str">
        <f>IF(A33="Q22027",COUNTIF($A$2:$A33,"Q22027"),"")</f>
        <v/>
      </c>
      <c r="K33" t="str">
        <f>IF(A33="Q32027",COUNTIF($A$2:$A33,"Q32027"),"")</f>
        <v/>
      </c>
      <c r="L33" t="str">
        <f>IF(A33="Q42027",COUNTIF($A$2:$A33,"Q42027"),"")</f>
        <v/>
      </c>
      <c r="M33" t="str">
        <f>IF(A33="Backlog",COUNTIF($A$2:$A33,"Backlog"),"")</f>
        <v/>
      </c>
    </row>
    <row r="34" spans="1:13">
      <c r="A34" t="str">
        <f>IF(AND('Q12027'!B35&lt;&gt;"",'Q12027'!E35&lt;&gt;""),'Q12027'!E35,"")</f>
        <v/>
      </c>
      <c r="B34" t="str">
        <f>IF(AND('Q12027'!B35&lt;&gt;"",'Q12027'!E35&lt;&gt;""),'Q12027'!B35,"")</f>
        <v/>
      </c>
      <c r="C34" t="str">
        <f>IF(AND('Q12027'!B35&lt;&gt;"",'Q12027'!E35&lt;&gt;""),'Q12027'!C35,"")</f>
        <v/>
      </c>
      <c r="D34" t="str">
        <f>IF(AND('Q12027'!B35&lt;&gt;"",'Q12027'!E35&lt;&gt;""),'Q12027'!D35,"")</f>
        <v/>
      </c>
      <c r="E34" t="str">
        <f>IF(AND('Q12027'!B35&lt;&gt;"",'Q12027'!E35&lt;&gt;""),'Q12027'!H35,"")</f>
        <v/>
      </c>
      <c r="F34" t="str">
        <f>IF(AND('Q12027'!B35&lt;&gt;"",'Q12027'!E35&lt;&gt;""),'Q12027'!F35,"")</f>
        <v/>
      </c>
      <c r="G34" t="str">
        <f>IF(AND('Q12027'!B35&lt;&gt;"",'Q12027'!E35&lt;&gt;""),'Q12027'!G35,"")</f>
        <v/>
      </c>
      <c r="H34" t="str">
        <f>IF(AND('Q12027'!B35&lt;&gt;"",'Q12027'!E35&lt;&gt;""),"Q12027","")</f>
        <v/>
      </c>
      <c r="I34" t="str">
        <f>IF(A34="Q12027",COUNTIF($A$2:$A34,"Q12027"),"")</f>
        <v/>
      </c>
      <c r="J34" t="str">
        <f>IF(A34="Q22027",COUNTIF($A$2:$A34,"Q22027"),"")</f>
        <v/>
      </c>
      <c r="K34" t="str">
        <f>IF(A34="Q32027",COUNTIF($A$2:$A34,"Q32027"),"")</f>
        <v/>
      </c>
      <c r="L34" t="str">
        <f>IF(A34="Q42027",COUNTIF($A$2:$A34,"Q42027"),"")</f>
        <v/>
      </c>
      <c r="M34" t="str">
        <f>IF(A34="Backlog",COUNTIF($A$2:$A34,"Backlog"),"")</f>
        <v/>
      </c>
    </row>
    <row r="35" spans="1:13">
      <c r="A35" t="str">
        <f>IF(AND('Q12027'!B36&lt;&gt;"",'Q12027'!E36&lt;&gt;""),'Q12027'!E36,"")</f>
        <v/>
      </c>
      <c r="B35" t="str">
        <f>IF(AND('Q12027'!B36&lt;&gt;"",'Q12027'!E36&lt;&gt;""),'Q12027'!B36,"")</f>
        <v/>
      </c>
      <c r="C35" t="str">
        <f>IF(AND('Q12027'!B36&lt;&gt;"",'Q12027'!E36&lt;&gt;""),'Q12027'!C36,"")</f>
        <v/>
      </c>
      <c r="D35" t="str">
        <f>IF(AND('Q12027'!B36&lt;&gt;"",'Q12027'!E36&lt;&gt;""),'Q12027'!D36,"")</f>
        <v/>
      </c>
      <c r="E35" t="str">
        <f>IF(AND('Q12027'!B36&lt;&gt;"",'Q12027'!E36&lt;&gt;""),'Q12027'!H36,"")</f>
        <v/>
      </c>
      <c r="F35" t="str">
        <f>IF(AND('Q12027'!B36&lt;&gt;"",'Q12027'!E36&lt;&gt;""),'Q12027'!F36,"")</f>
        <v/>
      </c>
      <c r="G35" t="str">
        <f>IF(AND('Q12027'!B36&lt;&gt;"",'Q12027'!E36&lt;&gt;""),'Q12027'!G36,"")</f>
        <v/>
      </c>
      <c r="H35" t="str">
        <f>IF(AND('Q12027'!B36&lt;&gt;"",'Q12027'!E36&lt;&gt;""),"Q12027","")</f>
        <v/>
      </c>
      <c r="I35" t="str">
        <f>IF(A35="Q12027",COUNTIF($A$2:$A35,"Q12027"),"")</f>
        <v/>
      </c>
      <c r="J35" t="str">
        <f>IF(A35="Q22027",COUNTIF($A$2:$A35,"Q22027"),"")</f>
        <v/>
      </c>
      <c r="K35" t="str">
        <f>IF(A35="Q32027",COUNTIF($A$2:$A35,"Q32027"),"")</f>
        <v/>
      </c>
      <c r="L35" t="str">
        <f>IF(A35="Q42027",COUNTIF($A$2:$A35,"Q42027"),"")</f>
        <v/>
      </c>
      <c r="M35" t="str">
        <f>IF(A35="Backlog",COUNTIF($A$2:$A35,"Backlog"),"")</f>
        <v/>
      </c>
    </row>
    <row r="36" spans="1:13">
      <c r="A36" t="str">
        <f>IF(AND('Q12027'!B37&lt;&gt;"",'Q12027'!E37&lt;&gt;""),'Q12027'!E37,"")</f>
        <v/>
      </c>
      <c r="B36" t="str">
        <f>IF(AND('Q12027'!B37&lt;&gt;"",'Q12027'!E37&lt;&gt;""),'Q12027'!B37,"")</f>
        <v/>
      </c>
      <c r="C36" t="str">
        <f>IF(AND('Q12027'!B37&lt;&gt;"",'Q12027'!E37&lt;&gt;""),'Q12027'!C37,"")</f>
        <v/>
      </c>
      <c r="D36" t="str">
        <f>IF(AND('Q12027'!B37&lt;&gt;"",'Q12027'!E37&lt;&gt;""),'Q12027'!D37,"")</f>
        <v/>
      </c>
      <c r="E36" t="str">
        <f>IF(AND('Q12027'!B37&lt;&gt;"",'Q12027'!E37&lt;&gt;""),'Q12027'!H37,"")</f>
        <v/>
      </c>
      <c r="F36" t="str">
        <f>IF(AND('Q12027'!B37&lt;&gt;"",'Q12027'!E37&lt;&gt;""),'Q12027'!F37,"")</f>
        <v/>
      </c>
      <c r="G36" t="str">
        <f>IF(AND('Q12027'!B37&lt;&gt;"",'Q12027'!E37&lt;&gt;""),'Q12027'!G37,"")</f>
        <v/>
      </c>
      <c r="H36" t="str">
        <f>IF(AND('Q12027'!B37&lt;&gt;"",'Q12027'!E37&lt;&gt;""),"Q12027","")</f>
        <v/>
      </c>
      <c r="I36" t="str">
        <f>IF(A36="Q12027",COUNTIF($A$2:$A36,"Q12027"),"")</f>
        <v/>
      </c>
      <c r="J36" t="str">
        <f>IF(A36="Q22027",COUNTIF($A$2:$A36,"Q22027"),"")</f>
        <v/>
      </c>
      <c r="K36" t="str">
        <f>IF(A36="Q32027",COUNTIF($A$2:$A36,"Q32027"),"")</f>
        <v/>
      </c>
      <c r="L36" t="str">
        <f>IF(A36="Q42027",COUNTIF($A$2:$A36,"Q42027"),"")</f>
        <v/>
      </c>
      <c r="M36" t="str">
        <f>IF(A36="Backlog",COUNTIF($A$2:$A36,"Backlog"),"")</f>
        <v/>
      </c>
    </row>
    <row r="37" spans="1:13">
      <c r="A37" t="str">
        <f>IF(AND('Q12027'!B38&lt;&gt;"",'Q12027'!E38&lt;&gt;""),'Q12027'!E38,"")</f>
        <v/>
      </c>
      <c r="B37" t="str">
        <f>IF(AND('Q12027'!B38&lt;&gt;"",'Q12027'!E38&lt;&gt;""),'Q12027'!B38,"")</f>
        <v/>
      </c>
      <c r="C37" t="str">
        <f>IF(AND('Q12027'!B38&lt;&gt;"",'Q12027'!E38&lt;&gt;""),'Q12027'!C38,"")</f>
        <v/>
      </c>
      <c r="D37" t="str">
        <f>IF(AND('Q12027'!B38&lt;&gt;"",'Q12027'!E38&lt;&gt;""),'Q12027'!D38,"")</f>
        <v/>
      </c>
      <c r="E37" t="str">
        <f>IF(AND('Q12027'!B38&lt;&gt;"",'Q12027'!E38&lt;&gt;""),'Q12027'!H38,"")</f>
        <v/>
      </c>
      <c r="F37" t="str">
        <f>IF(AND('Q12027'!B38&lt;&gt;"",'Q12027'!E38&lt;&gt;""),'Q12027'!F38,"")</f>
        <v/>
      </c>
      <c r="G37" t="str">
        <f>IF(AND('Q12027'!B38&lt;&gt;"",'Q12027'!E38&lt;&gt;""),'Q12027'!G38,"")</f>
        <v/>
      </c>
      <c r="H37" t="str">
        <f>IF(AND('Q12027'!B38&lt;&gt;"",'Q12027'!E38&lt;&gt;""),"Q12027","")</f>
        <v/>
      </c>
      <c r="I37" t="str">
        <f>IF(A37="Q12027",COUNTIF($A$2:$A37,"Q12027"),"")</f>
        <v/>
      </c>
      <c r="J37" t="str">
        <f>IF(A37="Q22027",COUNTIF($A$2:$A37,"Q22027"),"")</f>
        <v/>
      </c>
      <c r="K37" t="str">
        <f>IF(A37="Q32027",COUNTIF($A$2:$A37,"Q32027"),"")</f>
        <v/>
      </c>
      <c r="L37" t="str">
        <f>IF(A37="Q42027",COUNTIF($A$2:$A37,"Q42027"),"")</f>
        <v/>
      </c>
      <c r="M37" t="str">
        <f>IF(A37="Backlog",COUNTIF($A$2:$A37,"Backlog"),"")</f>
        <v/>
      </c>
    </row>
    <row r="38" spans="1:13">
      <c r="A38" t="str">
        <f>IF(AND('Q12027'!B39&lt;&gt;"",'Q12027'!E39&lt;&gt;""),'Q12027'!E39,"")</f>
        <v/>
      </c>
      <c r="B38" t="str">
        <f>IF(AND('Q12027'!B39&lt;&gt;"",'Q12027'!E39&lt;&gt;""),'Q12027'!B39,"")</f>
        <v/>
      </c>
      <c r="C38" t="str">
        <f>IF(AND('Q12027'!B39&lt;&gt;"",'Q12027'!E39&lt;&gt;""),'Q12027'!C39,"")</f>
        <v/>
      </c>
      <c r="D38" t="str">
        <f>IF(AND('Q12027'!B39&lt;&gt;"",'Q12027'!E39&lt;&gt;""),'Q12027'!D39,"")</f>
        <v/>
      </c>
      <c r="E38" t="str">
        <f>IF(AND('Q12027'!B39&lt;&gt;"",'Q12027'!E39&lt;&gt;""),'Q12027'!H39,"")</f>
        <v/>
      </c>
      <c r="F38" t="str">
        <f>IF(AND('Q12027'!B39&lt;&gt;"",'Q12027'!E39&lt;&gt;""),'Q12027'!F39,"")</f>
        <v/>
      </c>
      <c r="G38" t="str">
        <f>IF(AND('Q12027'!B39&lt;&gt;"",'Q12027'!E39&lt;&gt;""),'Q12027'!G39,"")</f>
        <v/>
      </c>
      <c r="H38" t="str">
        <f>IF(AND('Q12027'!B39&lt;&gt;"",'Q12027'!E39&lt;&gt;""),"Q12027","")</f>
        <v/>
      </c>
      <c r="I38" t="str">
        <f>IF(A38="Q12027",COUNTIF($A$2:$A38,"Q12027"),"")</f>
        <v/>
      </c>
      <c r="J38" t="str">
        <f>IF(A38="Q22027",COUNTIF($A$2:$A38,"Q22027"),"")</f>
        <v/>
      </c>
      <c r="K38" t="str">
        <f>IF(A38="Q32027",COUNTIF($A$2:$A38,"Q32027"),"")</f>
        <v/>
      </c>
      <c r="L38" t="str">
        <f>IF(A38="Q42027",COUNTIF($A$2:$A38,"Q42027"),"")</f>
        <v/>
      </c>
      <c r="M38" t="str">
        <f>IF(A38="Backlog",COUNTIF($A$2:$A38,"Backlog"),"")</f>
        <v/>
      </c>
    </row>
    <row r="39" spans="1:13">
      <c r="A39" t="str">
        <f>IF(AND('Q12027'!B40&lt;&gt;"",'Q12027'!E40&lt;&gt;""),'Q12027'!E40,"")</f>
        <v/>
      </c>
      <c r="B39" t="str">
        <f>IF(AND('Q12027'!B40&lt;&gt;"",'Q12027'!E40&lt;&gt;""),'Q12027'!B40,"")</f>
        <v/>
      </c>
      <c r="C39" t="str">
        <f>IF(AND('Q12027'!B40&lt;&gt;"",'Q12027'!E40&lt;&gt;""),'Q12027'!C40,"")</f>
        <v/>
      </c>
      <c r="D39" t="str">
        <f>IF(AND('Q12027'!B40&lt;&gt;"",'Q12027'!E40&lt;&gt;""),'Q12027'!D40,"")</f>
        <v/>
      </c>
      <c r="E39" t="str">
        <f>IF(AND('Q12027'!B40&lt;&gt;"",'Q12027'!E40&lt;&gt;""),'Q12027'!H40,"")</f>
        <v/>
      </c>
      <c r="F39" t="str">
        <f>IF(AND('Q12027'!B40&lt;&gt;"",'Q12027'!E40&lt;&gt;""),'Q12027'!F40,"")</f>
        <v/>
      </c>
      <c r="G39" t="str">
        <f>IF(AND('Q12027'!B40&lt;&gt;"",'Q12027'!E40&lt;&gt;""),'Q12027'!G40,"")</f>
        <v/>
      </c>
      <c r="H39" t="str">
        <f>IF(AND('Q12027'!B40&lt;&gt;"",'Q12027'!E40&lt;&gt;""),"Q12027","")</f>
        <v/>
      </c>
      <c r="I39" t="str">
        <f>IF(A39="Q12027",COUNTIF($A$2:$A39,"Q12027"),"")</f>
        <v/>
      </c>
      <c r="J39" t="str">
        <f>IF(A39="Q22027",COUNTIF($A$2:$A39,"Q22027"),"")</f>
        <v/>
      </c>
      <c r="K39" t="str">
        <f>IF(A39="Q32027",COUNTIF($A$2:$A39,"Q32027"),"")</f>
        <v/>
      </c>
      <c r="L39" t="str">
        <f>IF(A39="Q42027",COUNTIF($A$2:$A39,"Q42027"),"")</f>
        <v/>
      </c>
      <c r="M39" t="str">
        <f>IF(A39="Backlog",COUNTIF($A$2:$A39,"Backlog"),"")</f>
        <v/>
      </c>
    </row>
    <row r="40" spans="1:13">
      <c r="A40" t="str">
        <f>IF(AND('Q12027'!B41&lt;&gt;"",'Q12027'!E41&lt;&gt;""),'Q12027'!E41,"")</f>
        <v/>
      </c>
      <c r="B40" t="str">
        <f>IF(AND('Q12027'!B41&lt;&gt;"",'Q12027'!E41&lt;&gt;""),'Q12027'!B41,"")</f>
        <v/>
      </c>
      <c r="C40" t="str">
        <f>IF(AND('Q12027'!B41&lt;&gt;"",'Q12027'!E41&lt;&gt;""),'Q12027'!C41,"")</f>
        <v/>
      </c>
      <c r="D40" t="str">
        <f>IF(AND('Q12027'!B41&lt;&gt;"",'Q12027'!E41&lt;&gt;""),'Q12027'!D41,"")</f>
        <v/>
      </c>
      <c r="E40" t="str">
        <f>IF(AND('Q12027'!B41&lt;&gt;"",'Q12027'!E41&lt;&gt;""),'Q12027'!H41,"")</f>
        <v/>
      </c>
      <c r="F40" t="str">
        <f>IF(AND('Q12027'!B41&lt;&gt;"",'Q12027'!E41&lt;&gt;""),'Q12027'!F41,"")</f>
        <v/>
      </c>
      <c r="G40" t="str">
        <f>IF(AND('Q12027'!B41&lt;&gt;"",'Q12027'!E41&lt;&gt;""),'Q12027'!G41,"")</f>
        <v/>
      </c>
      <c r="H40" t="str">
        <f>IF(AND('Q12027'!B41&lt;&gt;"",'Q12027'!E41&lt;&gt;""),"Q12027","")</f>
        <v/>
      </c>
      <c r="I40" t="str">
        <f>IF(A40="Q12027",COUNTIF($A$2:$A40,"Q12027"),"")</f>
        <v/>
      </c>
      <c r="J40" t="str">
        <f>IF(A40="Q22027",COUNTIF($A$2:$A40,"Q22027"),"")</f>
        <v/>
      </c>
      <c r="K40" t="str">
        <f>IF(A40="Q32027",COUNTIF($A$2:$A40,"Q32027"),"")</f>
        <v/>
      </c>
      <c r="L40" t="str">
        <f>IF(A40="Q42027",COUNTIF($A$2:$A40,"Q42027"),"")</f>
        <v/>
      </c>
      <c r="M40" t="str">
        <f>IF(A40="Backlog",COUNTIF($A$2:$A40,"Backlog"),"")</f>
        <v/>
      </c>
    </row>
    <row r="41" spans="1:13">
      <c r="A41" t="str">
        <f>IF(AND('Q12027'!B42&lt;&gt;"",'Q12027'!E42&lt;&gt;""),'Q12027'!E42,"")</f>
        <v/>
      </c>
      <c r="B41" t="str">
        <f>IF(AND('Q12027'!B42&lt;&gt;"",'Q12027'!E42&lt;&gt;""),'Q12027'!B42,"")</f>
        <v/>
      </c>
      <c r="C41" t="str">
        <f>IF(AND('Q12027'!B42&lt;&gt;"",'Q12027'!E42&lt;&gt;""),'Q12027'!C42,"")</f>
        <v/>
      </c>
      <c r="D41" t="str">
        <f>IF(AND('Q12027'!B42&lt;&gt;"",'Q12027'!E42&lt;&gt;""),'Q12027'!D42,"")</f>
        <v/>
      </c>
      <c r="E41" t="str">
        <f>IF(AND('Q12027'!B42&lt;&gt;"",'Q12027'!E42&lt;&gt;""),'Q12027'!H42,"")</f>
        <v/>
      </c>
      <c r="F41" t="str">
        <f>IF(AND('Q12027'!B42&lt;&gt;"",'Q12027'!E42&lt;&gt;""),'Q12027'!F42,"")</f>
        <v/>
      </c>
      <c r="G41" t="str">
        <f>IF(AND('Q12027'!B42&lt;&gt;"",'Q12027'!E42&lt;&gt;""),'Q12027'!G42,"")</f>
        <v/>
      </c>
      <c r="H41" t="str">
        <f>IF(AND('Q12027'!B42&lt;&gt;"",'Q12027'!E42&lt;&gt;""),"Q12027","")</f>
        <v/>
      </c>
      <c r="I41" t="str">
        <f>IF(A41="Q12027",COUNTIF($A$2:$A41,"Q12027"),"")</f>
        <v/>
      </c>
      <c r="J41" t="str">
        <f>IF(A41="Q22027",COUNTIF($A$2:$A41,"Q22027"),"")</f>
        <v/>
      </c>
      <c r="K41" t="str">
        <f>IF(A41="Q32027",COUNTIF($A$2:$A41,"Q32027"),"")</f>
        <v/>
      </c>
      <c r="L41" t="str">
        <f>IF(A41="Q42027",COUNTIF($A$2:$A41,"Q42027"),"")</f>
        <v/>
      </c>
      <c r="M41" t="str">
        <f>IF(A41="Backlog",COUNTIF($A$2:$A41,"Backlog"),"")</f>
        <v/>
      </c>
    </row>
    <row r="42" spans="1:13">
      <c r="A42" t="str">
        <f>IF(AND('Q12027'!B43&lt;&gt;"",'Q12027'!E43&lt;&gt;""),'Q12027'!E43,"")</f>
        <v/>
      </c>
      <c r="B42" t="str">
        <f>IF(AND('Q12027'!B43&lt;&gt;"",'Q12027'!E43&lt;&gt;""),'Q12027'!B43,"")</f>
        <v/>
      </c>
      <c r="C42" t="str">
        <f>IF(AND('Q12027'!B43&lt;&gt;"",'Q12027'!E43&lt;&gt;""),'Q12027'!C43,"")</f>
        <v/>
      </c>
      <c r="D42" t="str">
        <f>IF(AND('Q12027'!B43&lt;&gt;"",'Q12027'!E43&lt;&gt;""),'Q12027'!D43,"")</f>
        <v/>
      </c>
      <c r="E42" t="str">
        <f>IF(AND('Q12027'!B43&lt;&gt;"",'Q12027'!E43&lt;&gt;""),'Q12027'!H43,"")</f>
        <v/>
      </c>
      <c r="F42" t="str">
        <f>IF(AND('Q12027'!B43&lt;&gt;"",'Q12027'!E43&lt;&gt;""),'Q12027'!F43,"")</f>
        <v/>
      </c>
      <c r="G42" t="str">
        <f>IF(AND('Q12027'!B43&lt;&gt;"",'Q12027'!E43&lt;&gt;""),'Q12027'!G43,"")</f>
        <v/>
      </c>
      <c r="H42" t="str">
        <f>IF(AND('Q12027'!B43&lt;&gt;"",'Q12027'!E43&lt;&gt;""),"Q12027","")</f>
        <v/>
      </c>
      <c r="I42" t="str">
        <f>IF(A42="Q12027",COUNTIF($A$2:$A42,"Q12027"),"")</f>
        <v/>
      </c>
      <c r="J42" t="str">
        <f>IF(A42="Q22027",COUNTIF($A$2:$A42,"Q22027"),"")</f>
        <v/>
      </c>
      <c r="K42" t="str">
        <f>IF(A42="Q32027",COUNTIF($A$2:$A42,"Q32027"),"")</f>
        <v/>
      </c>
      <c r="L42" t="str">
        <f>IF(A42="Q42027",COUNTIF($A$2:$A42,"Q42027"),"")</f>
        <v/>
      </c>
      <c r="M42" t="str">
        <f>IF(A42="Backlog",COUNTIF($A$2:$A42,"Backlog"),"")</f>
        <v/>
      </c>
    </row>
    <row r="43" spans="1:13">
      <c r="A43" t="str">
        <f>IF(AND('Q12027'!B44&lt;&gt;"",'Q12027'!E44&lt;&gt;""),'Q12027'!E44,"")</f>
        <v/>
      </c>
      <c r="B43" t="str">
        <f>IF(AND('Q12027'!B44&lt;&gt;"",'Q12027'!E44&lt;&gt;""),'Q12027'!B44,"")</f>
        <v/>
      </c>
      <c r="C43" t="str">
        <f>IF(AND('Q12027'!B44&lt;&gt;"",'Q12027'!E44&lt;&gt;""),'Q12027'!C44,"")</f>
        <v/>
      </c>
      <c r="D43" t="str">
        <f>IF(AND('Q12027'!B44&lt;&gt;"",'Q12027'!E44&lt;&gt;""),'Q12027'!D44,"")</f>
        <v/>
      </c>
      <c r="E43" t="str">
        <f>IF(AND('Q12027'!B44&lt;&gt;"",'Q12027'!E44&lt;&gt;""),'Q12027'!H44,"")</f>
        <v/>
      </c>
      <c r="F43" t="str">
        <f>IF(AND('Q12027'!B44&lt;&gt;"",'Q12027'!E44&lt;&gt;""),'Q12027'!F44,"")</f>
        <v/>
      </c>
      <c r="G43" t="str">
        <f>IF(AND('Q12027'!B44&lt;&gt;"",'Q12027'!E44&lt;&gt;""),'Q12027'!G44,"")</f>
        <v/>
      </c>
      <c r="H43" t="str">
        <f>IF(AND('Q12027'!B44&lt;&gt;"",'Q12027'!E44&lt;&gt;""),"Q12027","")</f>
        <v/>
      </c>
      <c r="I43" t="str">
        <f>IF(A43="Q12027",COUNTIF($A$2:$A43,"Q12027"),"")</f>
        <v/>
      </c>
      <c r="J43" t="str">
        <f>IF(A43="Q22027",COUNTIF($A$2:$A43,"Q22027"),"")</f>
        <v/>
      </c>
      <c r="K43" t="str">
        <f>IF(A43="Q32027",COUNTIF($A$2:$A43,"Q32027"),"")</f>
        <v/>
      </c>
      <c r="L43" t="str">
        <f>IF(A43="Q42027",COUNTIF($A$2:$A43,"Q42027"),"")</f>
        <v/>
      </c>
      <c r="M43" t="str">
        <f>IF(A43="Backlog",COUNTIF($A$2:$A43,"Backlog"),"")</f>
        <v/>
      </c>
    </row>
    <row r="44" spans="1:13">
      <c r="A44" t="str">
        <f>IF(AND('Q12027'!B45&lt;&gt;"",'Q12027'!E45&lt;&gt;""),'Q12027'!E45,"")</f>
        <v/>
      </c>
      <c r="B44" t="str">
        <f>IF(AND('Q12027'!B45&lt;&gt;"",'Q12027'!E45&lt;&gt;""),'Q12027'!B45,"")</f>
        <v/>
      </c>
      <c r="C44" t="str">
        <f>IF(AND('Q12027'!B45&lt;&gt;"",'Q12027'!E45&lt;&gt;""),'Q12027'!C45,"")</f>
        <v/>
      </c>
      <c r="D44" t="str">
        <f>IF(AND('Q12027'!B45&lt;&gt;"",'Q12027'!E45&lt;&gt;""),'Q12027'!D45,"")</f>
        <v/>
      </c>
      <c r="E44" t="str">
        <f>IF(AND('Q12027'!B45&lt;&gt;"",'Q12027'!E45&lt;&gt;""),'Q12027'!H45,"")</f>
        <v/>
      </c>
      <c r="F44" t="str">
        <f>IF(AND('Q12027'!B45&lt;&gt;"",'Q12027'!E45&lt;&gt;""),'Q12027'!F45,"")</f>
        <v/>
      </c>
      <c r="G44" t="str">
        <f>IF(AND('Q12027'!B45&lt;&gt;"",'Q12027'!E45&lt;&gt;""),'Q12027'!G45,"")</f>
        <v/>
      </c>
      <c r="H44" t="str">
        <f>IF(AND('Q12027'!B45&lt;&gt;"",'Q12027'!E45&lt;&gt;""),"Q12027","")</f>
        <v/>
      </c>
      <c r="I44" t="str">
        <f>IF(A44="Q12027",COUNTIF($A$2:$A44,"Q12027"),"")</f>
        <v/>
      </c>
      <c r="J44" t="str">
        <f>IF(A44="Q22027",COUNTIF($A$2:$A44,"Q22027"),"")</f>
        <v/>
      </c>
      <c r="K44" t="str">
        <f>IF(A44="Q32027",COUNTIF($A$2:$A44,"Q32027"),"")</f>
        <v/>
      </c>
      <c r="L44" t="str">
        <f>IF(A44="Q42027",COUNTIF($A$2:$A44,"Q42027"),"")</f>
        <v/>
      </c>
      <c r="M44" t="str">
        <f>IF(A44="Backlog",COUNTIF($A$2:$A44,"Backlog"),"")</f>
        <v/>
      </c>
    </row>
    <row r="45" spans="1:13">
      <c r="A45" t="str">
        <f>IF(AND('Q12027'!B46&lt;&gt;"",'Q12027'!E46&lt;&gt;""),'Q12027'!E46,"")</f>
        <v/>
      </c>
      <c r="B45" t="str">
        <f>IF(AND('Q12027'!B46&lt;&gt;"",'Q12027'!E46&lt;&gt;""),'Q12027'!B46,"")</f>
        <v/>
      </c>
      <c r="C45" t="str">
        <f>IF(AND('Q12027'!B46&lt;&gt;"",'Q12027'!E46&lt;&gt;""),'Q12027'!C46,"")</f>
        <v/>
      </c>
      <c r="D45" t="str">
        <f>IF(AND('Q12027'!B46&lt;&gt;"",'Q12027'!E46&lt;&gt;""),'Q12027'!D46,"")</f>
        <v/>
      </c>
      <c r="E45" t="str">
        <f>IF(AND('Q12027'!B46&lt;&gt;"",'Q12027'!E46&lt;&gt;""),'Q12027'!H46,"")</f>
        <v/>
      </c>
      <c r="F45" t="str">
        <f>IF(AND('Q12027'!B46&lt;&gt;"",'Q12027'!E46&lt;&gt;""),'Q12027'!F46,"")</f>
        <v/>
      </c>
      <c r="G45" t="str">
        <f>IF(AND('Q12027'!B46&lt;&gt;"",'Q12027'!E46&lt;&gt;""),'Q12027'!G46,"")</f>
        <v/>
      </c>
      <c r="H45" t="str">
        <f>IF(AND('Q12027'!B46&lt;&gt;"",'Q12027'!E46&lt;&gt;""),"Q12027","")</f>
        <v/>
      </c>
      <c r="I45" t="str">
        <f>IF(A45="Q12027",COUNTIF($A$2:$A45,"Q12027"),"")</f>
        <v/>
      </c>
      <c r="J45" t="str">
        <f>IF(A45="Q22027",COUNTIF($A$2:$A45,"Q22027"),"")</f>
        <v/>
      </c>
      <c r="K45" t="str">
        <f>IF(A45="Q32027",COUNTIF($A$2:$A45,"Q32027"),"")</f>
        <v/>
      </c>
      <c r="L45" t="str">
        <f>IF(A45="Q42027",COUNTIF($A$2:$A45,"Q42027"),"")</f>
        <v/>
      </c>
      <c r="M45" t="str">
        <f>IF(A45="Backlog",COUNTIF($A$2:$A45,"Backlog"),"")</f>
        <v/>
      </c>
    </row>
    <row r="46" spans="1:13">
      <c r="A46" t="str">
        <f>IF(AND('Q12027'!B47&lt;&gt;"",'Q12027'!E47&lt;&gt;""),'Q12027'!E47,"")</f>
        <v/>
      </c>
      <c r="B46" t="str">
        <f>IF(AND('Q12027'!B47&lt;&gt;"",'Q12027'!E47&lt;&gt;""),'Q12027'!B47,"")</f>
        <v/>
      </c>
      <c r="C46" t="str">
        <f>IF(AND('Q12027'!B47&lt;&gt;"",'Q12027'!E47&lt;&gt;""),'Q12027'!C47,"")</f>
        <v/>
      </c>
      <c r="D46" t="str">
        <f>IF(AND('Q12027'!B47&lt;&gt;"",'Q12027'!E47&lt;&gt;""),'Q12027'!D47,"")</f>
        <v/>
      </c>
      <c r="E46" t="str">
        <f>IF(AND('Q12027'!B47&lt;&gt;"",'Q12027'!E47&lt;&gt;""),'Q12027'!H47,"")</f>
        <v/>
      </c>
      <c r="F46" t="str">
        <f>IF(AND('Q12027'!B47&lt;&gt;"",'Q12027'!E47&lt;&gt;""),'Q12027'!F47,"")</f>
        <v/>
      </c>
      <c r="G46" t="str">
        <f>IF(AND('Q12027'!B47&lt;&gt;"",'Q12027'!E47&lt;&gt;""),'Q12027'!G47,"")</f>
        <v/>
      </c>
      <c r="H46" t="str">
        <f>IF(AND('Q12027'!B47&lt;&gt;"",'Q12027'!E47&lt;&gt;""),"Q12027","")</f>
        <v/>
      </c>
      <c r="I46" t="str">
        <f>IF(A46="Q12027",COUNTIF($A$2:$A46,"Q12027"),"")</f>
        <v/>
      </c>
      <c r="J46" t="str">
        <f>IF(A46="Q22027",COUNTIF($A$2:$A46,"Q22027"),"")</f>
        <v/>
      </c>
      <c r="K46" t="str">
        <f>IF(A46="Q32027",COUNTIF($A$2:$A46,"Q32027"),"")</f>
        <v/>
      </c>
      <c r="L46" t="str">
        <f>IF(A46="Q42027",COUNTIF($A$2:$A46,"Q42027"),"")</f>
        <v/>
      </c>
      <c r="M46" t="str">
        <f>IF(A46="Backlog",COUNTIF($A$2:$A46,"Backlog"),"")</f>
        <v/>
      </c>
    </row>
    <row r="47" spans="1:13">
      <c r="A47" t="str">
        <f>IF(AND('Q12027'!B48&lt;&gt;"",'Q12027'!E48&lt;&gt;""),'Q12027'!E48,"")</f>
        <v/>
      </c>
      <c r="B47" t="str">
        <f>IF(AND('Q12027'!B48&lt;&gt;"",'Q12027'!E48&lt;&gt;""),'Q12027'!B48,"")</f>
        <v/>
      </c>
      <c r="C47" t="str">
        <f>IF(AND('Q12027'!B48&lt;&gt;"",'Q12027'!E48&lt;&gt;""),'Q12027'!C48,"")</f>
        <v/>
      </c>
      <c r="D47" t="str">
        <f>IF(AND('Q12027'!B48&lt;&gt;"",'Q12027'!E48&lt;&gt;""),'Q12027'!D48,"")</f>
        <v/>
      </c>
      <c r="E47" t="str">
        <f>IF(AND('Q12027'!B48&lt;&gt;"",'Q12027'!E48&lt;&gt;""),'Q12027'!H48,"")</f>
        <v/>
      </c>
      <c r="F47" t="str">
        <f>IF(AND('Q12027'!B48&lt;&gt;"",'Q12027'!E48&lt;&gt;""),'Q12027'!F48,"")</f>
        <v/>
      </c>
      <c r="G47" t="str">
        <f>IF(AND('Q12027'!B48&lt;&gt;"",'Q12027'!E48&lt;&gt;""),'Q12027'!G48,"")</f>
        <v/>
      </c>
      <c r="H47" t="str">
        <f>IF(AND('Q12027'!B48&lt;&gt;"",'Q12027'!E48&lt;&gt;""),"Q12027","")</f>
        <v/>
      </c>
      <c r="I47" t="str">
        <f>IF(A47="Q12027",COUNTIF($A$2:$A47,"Q12027"),"")</f>
        <v/>
      </c>
      <c r="J47" t="str">
        <f>IF(A47="Q22027",COUNTIF($A$2:$A47,"Q22027"),"")</f>
        <v/>
      </c>
      <c r="K47" t="str">
        <f>IF(A47="Q32027",COUNTIF($A$2:$A47,"Q32027"),"")</f>
        <v/>
      </c>
      <c r="L47" t="str">
        <f>IF(A47="Q42027",COUNTIF($A$2:$A47,"Q42027"),"")</f>
        <v/>
      </c>
      <c r="M47" t="str">
        <f>IF(A47="Backlog",COUNTIF($A$2:$A47,"Backlog"),"")</f>
        <v/>
      </c>
    </row>
    <row r="48" spans="1:13">
      <c r="A48" t="str">
        <f>IF(AND('Q12027'!B49&lt;&gt;"",'Q12027'!E49&lt;&gt;""),'Q12027'!E49,"")</f>
        <v/>
      </c>
      <c r="B48" t="str">
        <f>IF(AND('Q12027'!B49&lt;&gt;"",'Q12027'!E49&lt;&gt;""),'Q12027'!B49,"")</f>
        <v/>
      </c>
      <c r="C48" t="str">
        <f>IF(AND('Q12027'!B49&lt;&gt;"",'Q12027'!E49&lt;&gt;""),'Q12027'!C49,"")</f>
        <v/>
      </c>
      <c r="D48" t="str">
        <f>IF(AND('Q12027'!B49&lt;&gt;"",'Q12027'!E49&lt;&gt;""),'Q12027'!D49,"")</f>
        <v/>
      </c>
      <c r="E48" t="str">
        <f>IF(AND('Q12027'!B49&lt;&gt;"",'Q12027'!E49&lt;&gt;""),'Q12027'!H49,"")</f>
        <v/>
      </c>
      <c r="F48" t="str">
        <f>IF(AND('Q12027'!B49&lt;&gt;"",'Q12027'!E49&lt;&gt;""),'Q12027'!F49,"")</f>
        <v/>
      </c>
      <c r="G48" t="str">
        <f>IF(AND('Q12027'!B49&lt;&gt;"",'Q12027'!E49&lt;&gt;""),'Q12027'!G49,"")</f>
        <v/>
      </c>
      <c r="H48" t="str">
        <f>IF(AND('Q12027'!B49&lt;&gt;"",'Q12027'!E49&lt;&gt;""),"Q12027","")</f>
        <v/>
      </c>
      <c r="I48" t="str">
        <f>IF(A48="Q12027",COUNTIF($A$2:$A48,"Q12027"),"")</f>
        <v/>
      </c>
      <c r="J48" t="str">
        <f>IF(A48="Q22027",COUNTIF($A$2:$A48,"Q22027"),"")</f>
        <v/>
      </c>
      <c r="K48" t="str">
        <f>IF(A48="Q32027",COUNTIF($A$2:$A48,"Q32027"),"")</f>
        <v/>
      </c>
      <c r="L48" t="str">
        <f>IF(A48="Q42027",COUNTIF($A$2:$A48,"Q42027"),"")</f>
        <v/>
      </c>
      <c r="M48" t="str">
        <f>IF(A48="Backlog",COUNTIF($A$2:$A48,"Backlog"),"")</f>
        <v/>
      </c>
    </row>
    <row r="49" spans="1:13">
      <c r="A49" t="str">
        <f>IF(AND('Q12027'!B50&lt;&gt;"",'Q12027'!E50&lt;&gt;""),'Q12027'!E50,"")</f>
        <v/>
      </c>
      <c r="B49" t="str">
        <f>IF(AND('Q12027'!B50&lt;&gt;"",'Q12027'!E50&lt;&gt;""),'Q12027'!B50,"")</f>
        <v/>
      </c>
      <c r="C49" t="str">
        <f>IF(AND('Q12027'!B50&lt;&gt;"",'Q12027'!E50&lt;&gt;""),'Q12027'!C50,"")</f>
        <v/>
      </c>
      <c r="D49" t="str">
        <f>IF(AND('Q12027'!B50&lt;&gt;"",'Q12027'!E50&lt;&gt;""),'Q12027'!D50,"")</f>
        <v/>
      </c>
      <c r="E49" t="str">
        <f>IF(AND('Q12027'!B50&lt;&gt;"",'Q12027'!E50&lt;&gt;""),'Q12027'!H50,"")</f>
        <v/>
      </c>
      <c r="F49" t="str">
        <f>IF(AND('Q12027'!B50&lt;&gt;"",'Q12027'!E50&lt;&gt;""),'Q12027'!F50,"")</f>
        <v/>
      </c>
      <c r="G49" t="str">
        <f>IF(AND('Q12027'!B50&lt;&gt;"",'Q12027'!E50&lt;&gt;""),'Q12027'!G50,"")</f>
        <v/>
      </c>
      <c r="H49" t="str">
        <f>IF(AND('Q12027'!B50&lt;&gt;"",'Q12027'!E50&lt;&gt;""),"Q12027","")</f>
        <v/>
      </c>
      <c r="I49" t="str">
        <f>IF(A49="Q12027",COUNTIF($A$2:$A49,"Q12027"),"")</f>
        <v/>
      </c>
      <c r="J49" t="str">
        <f>IF(A49="Q22027",COUNTIF($A$2:$A49,"Q22027"),"")</f>
        <v/>
      </c>
      <c r="K49" t="str">
        <f>IF(A49="Q32027",COUNTIF($A$2:$A49,"Q32027"),"")</f>
        <v/>
      </c>
      <c r="L49" t="str">
        <f>IF(A49="Q42027",COUNTIF($A$2:$A49,"Q42027"),"")</f>
        <v/>
      </c>
      <c r="M49" t="str">
        <f>IF(A49="Backlog",COUNTIF($A$2:$A49,"Backlog"),"")</f>
        <v/>
      </c>
    </row>
    <row r="50" spans="1:13">
      <c r="A50" t="str">
        <f>IF(AND('Q12027'!B51&lt;&gt;"",'Q12027'!E51&lt;&gt;""),'Q12027'!E51,"")</f>
        <v/>
      </c>
      <c r="B50" t="str">
        <f>IF(AND('Q12027'!B51&lt;&gt;"",'Q12027'!E51&lt;&gt;""),'Q12027'!B51,"")</f>
        <v/>
      </c>
      <c r="C50" t="str">
        <f>IF(AND('Q12027'!B51&lt;&gt;"",'Q12027'!E51&lt;&gt;""),'Q12027'!C51,"")</f>
        <v/>
      </c>
      <c r="D50" t="str">
        <f>IF(AND('Q12027'!B51&lt;&gt;"",'Q12027'!E51&lt;&gt;""),'Q12027'!D51,"")</f>
        <v/>
      </c>
      <c r="E50" t="str">
        <f>IF(AND('Q12027'!B51&lt;&gt;"",'Q12027'!E51&lt;&gt;""),'Q12027'!H51,"")</f>
        <v/>
      </c>
      <c r="F50" t="str">
        <f>IF(AND('Q12027'!B51&lt;&gt;"",'Q12027'!E51&lt;&gt;""),'Q12027'!F51,"")</f>
        <v/>
      </c>
      <c r="G50" t="str">
        <f>IF(AND('Q12027'!B51&lt;&gt;"",'Q12027'!E51&lt;&gt;""),'Q12027'!G51,"")</f>
        <v/>
      </c>
      <c r="H50" t="str">
        <f>IF(AND('Q12027'!B51&lt;&gt;"",'Q12027'!E51&lt;&gt;""),"Q12027","")</f>
        <v/>
      </c>
      <c r="I50" t="str">
        <f>IF(A50="Q12027",COUNTIF($A$2:$A50,"Q12027"),"")</f>
        <v/>
      </c>
      <c r="J50" t="str">
        <f>IF(A50="Q22027",COUNTIF($A$2:$A50,"Q22027"),"")</f>
        <v/>
      </c>
      <c r="K50" t="str">
        <f>IF(A50="Q32027",COUNTIF($A$2:$A50,"Q32027"),"")</f>
        <v/>
      </c>
      <c r="L50" t="str">
        <f>IF(A50="Q42027",COUNTIF($A$2:$A50,"Q42027"),"")</f>
        <v/>
      </c>
      <c r="M50" t="str">
        <f>IF(A50="Backlog",COUNTIF($A$2:$A50,"Backlog"),"")</f>
        <v/>
      </c>
    </row>
    <row r="51" spans="1:13">
      <c r="A51" t="str">
        <f>IF(AND('Q12027'!B52&lt;&gt;"",'Q12027'!E52&lt;&gt;""),'Q12027'!E52,"")</f>
        <v/>
      </c>
      <c r="B51" t="str">
        <f>IF(AND('Q12027'!B52&lt;&gt;"",'Q12027'!E52&lt;&gt;""),'Q12027'!B52,"")</f>
        <v/>
      </c>
      <c r="C51" t="str">
        <f>IF(AND('Q12027'!B52&lt;&gt;"",'Q12027'!E52&lt;&gt;""),'Q12027'!C52,"")</f>
        <v/>
      </c>
      <c r="D51" t="str">
        <f>IF(AND('Q12027'!B52&lt;&gt;"",'Q12027'!E52&lt;&gt;""),'Q12027'!D52,"")</f>
        <v/>
      </c>
      <c r="E51" t="str">
        <f>IF(AND('Q12027'!B52&lt;&gt;"",'Q12027'!E52&lt;&gt;""),'Q12027'!H52,"")</f>
        <v/>
      </c>
      <c r="F51" t="str">
        <f>IF(AND('Q12027'!B52&lt;&gt;"",'Q12027'!E52&lt;&gt;""),'Q12027'!F52,"")</f>
        <v/>
      </c>
      <c r="G51" t="str">
        <f>IF(AND('Q12027'!B52&lt;&gt;"",'Q12027'!E52&lt;&gt;""),'Q12027'!G52,"")</f>
        <v/>
      </c>
      <c r="H51" t="str">
        <f>IF(AND('Q12027'!B52&lt;&gt;"",'Q12027'!E52&lt;&gt;""),"Q12027","")</f>
        <v/>
      </c>
      <c r="I51" t="str">
        <f>IF(A51="Q12027",COUNTIF($A$2:$A51,"Q12027"),"")</f>
        <v/>
      </c>
      <c r="J51" t="str">
        <f>IF(A51="Q22027",COUNTIF($A$2:$A51,"Q22027"),"")</f>
        <v/>
      </c>
      <c r="K51" t="str">
        <f>IF(A51="Q32027",COUNTIF($A$2:$A51,"Q32027"),"")</f>
        <v/>
      </c>
      <c r="L51" t="str">
        <f>IF(A51="Q42027",COUNTIF($A$2:$A51,"Q42027"),"")</f>
        <v/>
      </c>
      <c r="M51" t="str">
        <f>IF(A51="Backlog",COUNTIF($A$2:$A51,"Backlog"),"")</f>
        <v/>
      </c>
    </row>
    <row r="52" spans="1:13">
      <c r="A52" t="str">
        <f>IF(AND('Q12027'!B53&lt;&gt;"",'Q12027'!E53&lt;&gt;""),'Q12027'!E53,"")</f>
        <v/>
      </c>
      <c r="B52" t="str">
        <f>IF(AND('Q12027'!B53&lt;&gt;"",'Q12027'!E53&lt;&gt;""),'Q12027'!B53,"")</f>
        <v/>
      </c>
      <c r="C52" t="str">
        <f>IF(AND('Q12027'!B53&lt;&gt;"",'Q12027'!E53&lt;&gt;""),'Q12027'!C53,"")</f>
        <v/>
      </c>
      <c r="D52" t="str">
        <f>IF(AND('Q12027'!B53&lt;&gt;"",'Q12027'!E53&lt;&gt;""),'Q12027'!D53,"")</f>
        <v/>
      </c>
      <c r="E52" t="str">
        <f>IF(AND('Q12027'!B53&lt;&gt;"",'Q12027'!E53&lt;&gt;""),'Q12027'!H53,"")</f>
        <v/>
      </c>
      <c r="F52" t="str">
        <f>IF(AND('Q12027'!B53&lt;&gt;"",'Q12027'!E53&lt;&gt;""),'Q12027'!F53,"")</f>
        <v/>
      </c>
      <c r="G52" t="str">
        <f>IF(AND('Q12027'!B53&lt;&gt;"",'Q12027'!E53&lt;&gt;""),'Q12027'!G53,"")</f>
        <v/>
      </c>
      <c r="H52" t="str">
        <f>IF(AND('Q12027'!B53&lt;&gt;"",'Q12027'!E53&lt;&gt;""),"Q12027","")</f>
        <v/>
      </c>
      <c r="I52" t="str">
        <f>IF(A52="Q12027",COUNTIF($A$2:$A52,"Q12027"),"")</f>
        <v/>
      </c>
      <c r="J52" t="str">
        <f>IF(A52="Q22027",COUNTIF($A$2:$A52,"Q22027"),"")</f>
        <v/>
      </c>
      <c r="K52" t="str">
        <f>IF(A52="Q32027",COUNTIF($A$2:$A52,"Q32027"),"")</f>
        <v/>
      </c>
      <c r="L52" t="str">
        <f>IF(A52="Q42027",COUNTIF($A$2:$A52,"Q42027"),"")</f>
        <v/>
      </c>
      <c r="M52" t="str">
        <f>IF(A52="Backlog",COUNTIF($A$2:$A52,"Backlog"),"")</f>
        <v/>
      </c>
    </row>
    <row r="53" spans="1:13">
      <c r="A53" t="str">
        <f>IF(AND('Q12027'!B54&lt;&gt;"",'Q12027'!E54&lt;&gt;""),'Q12027'!E54,"")</f>
        <v/>
      </c>
      <c r="B53" t="str">
        <f>IF(AND('Q12027'!B54&lt;&gt;"",'Q12027'!E54&lt;&gt;""),'Q12027'!B54,"")</f>
        <v/>
      </c>
      <c r="C53" t="str">
        <f>IF(AND('Q12027'!B54&lt;&gt;"",'Q12027'!E54&lt;&gt;""),'Q12027'!C54,"")</f>
        <v/>
      </c>
      <c r="D53" t="str">
        <f>IF(AND('Q12027'!B54&lt;&gt;"",'Q12027'!E54&lt;&gt;""),'Q12027'!D54,"")</f>
        <v/>
      </c>
      <c r="E53" t="str">
        <f>IF(AND('Q12027'!B54&lt;&gt;"",'Q12027'!E54&lt;&gt;""),'Q12027'!H54,"")</f>
        <v/>
      </c>
      <c r="F53" t="str">
        <f>IF(AND('Q12027'!B54&lt;&gt;"",'Q12027'!E54&lt;&gt;""),'Q12027'!F54,"")</f>
        <v/>
      </c>
      <c r="G53" t="str">
        <f>IF(AND('Q12027'!B54&lt;&gt;"",'Q12027'!E54&lt;&gt;""),'Q12027'!G54,"")</f>
        <v/>
      </c>
      <c r="H53" t="str">
        <f>IF(AND('Q12027'!B54&lt;&gt;"",'Q12027'!E54&lt;&gt;""),"Q12027","")</f>
        <v/>
      </c>
      <c r="I53" t="str">
        <f>IF(A53="Q12027",COUNTIF($A$2:$A53,"Q12027"),"")</f>
        <v/>
      </c>
      <c r="J53" t="str">
        <f>IF(A53="Q22027",COUNTIF($A$2:$A53,"Q22027"),"")</f>
        <v/>
      </c>
      <c r="K53" t="str">
        <f>IF(A53="Q32027",COUNTIF($A$2:$A53,"Q32027"),"")</f>
        <v/>
      </c>
      <c r="L53" t="str">
        <f>IF(A53="Q42027",COUNTIF($A$2:$A53,"Q42027"),"")</f>
        <v/>
      </c>
      <c r="M53" t="str">
        <f>IF(A53="Backlog",COUNTIF($A$2:$A53,"Backlog"),"")</f>
        <v/>
      </c>
    </row>
    <row r="54" spans="1:13">
      <c r="A54" t="str">
        <f>IF(AND('Q12027'!B55&lt;&gt;"",'Q12027'!E55&lt;&gt;""),'Q12027'!E55,"")</f>
        <v/>
      </c>
      <c r="B54" t="str">
        <f>IF(AND('Q12027'!B55&lt;&gt;"",'Q12027'!E55&lt;&gt;""),'Q12027'!B55,"")</f>
        <v/>
      </c>
      <c r="C54" t="str">
        <f>IF(AND('Q12027'!B55&lt;&gt;"",'Q12027'!E55&lt;&gt;""),'Q12027'!C55,"")</f>
        <v/>
      </c>
      <c r="D54" t="str">
        <f>IF(AND('Q12027'!B55&lt;&gt;"",'Q12027'!E55&lt;&gt;""),'Q12027'!D55,"")</f>
        <v/>
      </c>
      <c r="E54" t="str">
        <f>IF(AND('Q12027'!B55&lt;&gt;"",'Q12027'!E55&lt;&gt;""),'Q12027'!H55,"")</f>
        <v/>
      </c>
      <c r="F54" t="str">
        <f>IF(AND('Q12027'!B55&lt;&gt;"",'Q12027'!E55&lt;&gt;""),'Q12027'!F55,"")</f>
        <v/>
      </c>
      <c r="G54" t="str">
        <f>IF(AND('Q12027'!B55&lt;&gt;"",'Q12027'!E55&lt;&gt;""),'Q12027'!G55,"")</f>
        <v/>
      </c>
      <c r="H54" t="str">
        <f>IF(AND('Q12027'!B55&lt;&gt;"",'Q12027'!E55&lt;&gt;""),"Q12027","")</f>
        <v/>
      </c>
      <c r="I54" t="str">
        <f>IF(A54="Q12027",COUNTIF($A$2:$A54,"Q12027"),"")</f>
        <v/>
      </c>
      <c r="J54" t="str">
        <f>IF(A54="Q22027",COUNTIF($A$2:$A54,"Q22027"),"")</f>
        <v/>
      </c>
      <c r="K54" t="str">
        <f>IF(A54="Q32027",COUNTIF($A$2:$A54,"Q32027"),"")</f>
        <v/>
      </c>
      <c r="L54" t="str">
        <f>IF(A54="Q42027",COUNTIF($A$2:$A54,"Q42027"),"")</f>
        <v/>
      </c>
      <c r="M54" t="str">
        <f>IF(A54="Backlog",COUNTIF($A$2:$A54,"Backlog"),"")</f>
        <v/>
      </c>
    </row>
    <row r="55" spans="1:13">
      <c r="A55" t="str">
        <f>IF(AND('Q12027'!B56&lt;&gt;"",'Q12027'!E56&lt;&gt;""),'Q12027'!E56,"")</f>
        <v/>
      </c>
      <c r="B55" t="str">
        <f>IF(AND('Q12027'!B56&lt;&gt;"",'Q12027'!E56&lt;&gt;""),'Q12027'!B56,"")</f>
        <v/>
      </c>
      <c r="C55" t="str">
        <f>IF(AND('Q12027'!B56&lt;&gt;"",'Q12027'!E56&lt;&gt;""),'Q12027'!C56,"")</f>
        <v/>
      </c>
      <c r="D55" t="str">
        <f>IF(AND('Q12027'!B56&lt;&gt;"",'Q12027'!E56&lt;&gt;""),'Q12027'!D56,"")</f>
        <v/>
      </c>
      <c r="E55" t="str">
        <f>IF(AND('Q12027'!B56&lt;&gt;"",'Q12027'!E56&lt;&gt;""),'Q12027'!H56,"")</f>
        <v/>
      </c>
      <c r="F55" t="str">
        <f>IF(AND('Q12027'!B56&lt;&gt;"",'Q12027'!E56&lt;&gt;""),'Q12027'!F56,"")</f>
        <v/>
      </c>
      <c r="G55" t="str">
        <f>IF(AND('Q12027'!B56&lt;&gt;"",'Q12027'!E56&lt;&gt;""),'Q12027'!G56,"")</f>
        <v/>
      </c>
      <c r="H55" t="str">
        <f>IF(AND('Q12027'!B56&lt;&gt;"",'Q12027'!E56&lt;&gt;""),"Q12027","")</f>
        <v/>
      </c>
      <c r="I55" t="str">
        <f>IF(A55="Q12027",COUNTIF($A$2:$A55,"Q12027"),"")</f>
        <v/>
      </c>
      <c r="J55" t="str">
        <f>IF(A55="Q22027",COUNTIF($A$2:$A55,"Q22027"),"")</f>
        <v/>
      </c>
      <c r="K55" t="str">
        <f>IF(A55="Q32027",COUNTIF($A$2:$A55,"Q32027"),"")</f>
        <v/>
      </c>
      <c r="L55" t="str">
        <f>IF(A55="Q42027",COUNTIF($A$2:$A55,"Q42027"),"")</f>
        <v/>
      </c>
      <c r="M55" t="str">
        <f>IF(A55="Backlog",COUNTIF($A$2:$A55,"Backlog"),"")</f>
        <v/>
      </c>
    </row>
    <row r="56" spans="1:13">
      <c r="A56" t="str">
        <f>IF(AND('Q12027'!B57&lt;&gt;"",'Q12027'!E57&lt;&gt;""),'Q12027'!E57,"")</f>
        <v/>
      </c>
      <c r="B56" t="str">
        <f>IF(AND('Q12027'!B57&lt;&gt;"",'Q12027'!E57&lt;&gt;""),'Q12027'!B57,"")</f>
        <v/>
      </c>
      <c r="C56" t="str">
        <f>IF(AND('Q12027'!B57&lt;&gt;"",'Q12027'!E57&lt;&gt;""),'Q12027'!C57,"")</f>
        <v/>
      </c>
      <c r="D56" t="str">
        <f>IF(AND('Q12027'!B57&lt;&gt;"",'Q12027'!E57&lt;&gt;""),'Q12027'!D57,"")</f>
        <v/>
      </c>
      <c r="E56" t="str">
        <f>IF(AND('Q12027'!B57&lt;&gt;"",'Q12027'!E57&lt;&gt;""),'Q12027'!H57,"")</f>
        <v/>
      </c>
      <c r="F56" t="str">
        <f>IF(AND('Q12027'!B57&lt;&gt;"",'Q12027'!E57&lt;&gt;""),'Q12027'!F57,"")</f>
        <v/>
      </c>
      <c r="G56" t="str">
        <f>IF(AND('Q12027'!B57&lt;&gt;"",'Q12027'!E57&lt;&gt;""),'Q12027'!G57,"")</f>
        <v/>
      </c>
      <c r="H56" t="str">
        <f>IF(AND('Q12027'!B57&lt;&gt;"",'Q12027'!E57&lt;&gt;""),"Q12027","")</f>
        <v/>
      </c>
      <c r="I56" t="str">
        <f>IF(A56="Q12027",COUNTIF($A$2:$A56,"Q12027"),"")</f>
        <v/>
      </c>
      <c r="J56" t="str">
        <f>IF(A56="Q22027",COUNTIF($A$2:$A56,"Q22027"),"")</f>
        <v/>
      </c>
      <c r="K56" t="str">
        <f>IF(A56="Q32027",COUNTIF($A$2:$A56,"Q32027"),"")</f>
        <v/>
      </c>
      <c r="L56" t="str">
        <f>IF(A56="Q42027",COUNTIF($A$2:$A56,"Q42027"),"")</f>
        <v/>
      </c>
      <c r="M56" t="str">
        <f>IF(A56="Backlog",COUNTIF($A$2:$A56,"Backlog"),"")</f>
        <v/>
      </c>
    </row>
    <row r="57" spans="1:13">
      <c r="A57" t="str">
        <f>IF(AND('Q12027'!B58&lt;&gt;"",'Q12027'!E58&lt;&gt;""),'Q12027'!E58,"")</f>
        <v/>
      </c>
      <c r="B57" t="str">
        <f>IF(AND('Q12027'!B58&lt;&gt;"",'Q12027'!E58&lt;&gt;""),'Q12027'!B58,"")</f>
        <v/>
      </c>
      <c r="C57" t="str">
        <f>IF(AND('Q12027'!B58&lt;&gt;"",'Q12027'!E58&lt;&gt;""),'Q12027'!C58,"")</f>
        <v/>
      </c>
      <c r="D57" t="str">
        <f>IF(AND('Q12027'!B58&lt;&gt;"",'Q12027'!E58&lt;&gt;""),'Q12027'!D58,"")</f>
        <v/>
      </c>
      <c r="E57" t="str">
        <f>IF(AND('Q12027'!B58&lt;&gt;"",'Q12027'!E58&lt;&gt;""),'Q12027'!H58,"")</f>
        <v/>
      </c>
      <c r="F57" t="str">
        <f>IF(AND('Q12027'!B58&lt;&gt;"",'Q12027'!E58&lt;&gt;""),'Q12027'!F58,"")</f>
        <v/>
      </c>
      <c r="G57" t="str">
        <f>IF(AND('Q12027'!B58&lt;&gt;"",'Q12027'!E58&lt;&gt;""),'Q12027'!G58,"")</f>
        <v/>
      </c>
      <c r="H57" t="str">
        <f>IF(AND('Q12027'!B58&lt;&gt;"",'Q12027'!E58&lt;&gt;""),"Q12027","")</f>
        <v/>
      </c>
      <c r="I57" t="str">
        <f>IF(A57="Q12027",COUNTIF($A$2:$A57,"Q12027"),"")</f>
        <v/>
      </c>
      <c r="J57" t="str">
        <f>IF(A57="Q22027",COUNTIF($A$2:$A57,"Q22027"),"")</f>
        <v/>
      </c>
      <c r="K57" t="str">
        <f>IF(A57="Q32027",COUNTIF($A$2:$A57,"Q32027"),"")</f>
        <v/>
      </c>
      <c r="L57" t="str">
        <f>IF(A57="Q42027",COUNTIF($A$2:$A57,"Q42027"),"")</f>
        <v/>
      </c>
      <c r="M57" t="str">
        <f>IF(A57="Backlog",COUNTIF($A$2:$A57,"Backlog"),"")</f>
        <v/>
      </c>
    </row>
    <row r="58" spans="1:13">
      <c r="A58" t="str">
        <f>IF(AND('Q12027'!B59&lt;&gt;"",'Q12027'!E59&lt;&gt;""),'Q12027'!E59,"")</f>
        <v/>
      </c>
      <c r="B58" t="str">
        <f>IF(AND('Q12027'!B59&lt;&gt;"",'Q12027'!E59&lt;&gt;""),'Q12027'!B59,"")</f>
        <v/>
      </c>
      <c r="C58" t="str">
        <f>IF(AND('Q12027'!B59&lt;&gt;"",'Q12027'!E59&lt;&gt;""),'Q12027'!C59,"")</f>
        <v/>
      </c>
      <c r="D58" t="str">
        <f>IF(AND('Q12027'!B59&lt;&gt;"",'Q12027'!E59&lt;&gt;""),'Q12027'!D59,"")</f>
        <v/>
      </c>
      <c r="E58" t="str">
        <f>IF(AND('Q12027'!B59&lt;&gt;"",'Q12027'!E59&lt;&gt;""),'Q12027'!H59,"")</f>
        <v/>
      </c>
      <c r="F58" t="str">
        <f>IF(AND('Q12027'!B59&lt;&gt;"",'Q12027'!E59&lt;&gt;""),'Q12027'!F59,"")</f>
        <v/>
      </c>
      <c r="G58" t="str">
        <f>IF(AND('Q12027'!B59&lt;&gt;"",'Q12027'!E59&lt;&gt;""),'Q12027'!G59,"")</f>
        <v/>
      </c>
      <c r="H58" t="str">
        <f>IF(AND('Q12027'!B59&lt;&gt;"",'Q12027'!E59&lt;&gt;""),"Q12027","")</f>
        <v/>
      </c>
      <c r="I58" t="str">
        <f>IF(A58="Q12027",COUNTIF($A$2:$A58,"Q12027"),"")</f>
        <v/>
      </c>
      <c r="J58" t="str">
        <f>IF(A58="Q22027",COUNTIF($A$2:$A58,"Q22027"),"")</f>
        <v/>
      </c>
      <c r="K58" t="str">
        <f>IF(A58="Q32027",COUNTIF($A$2:$A58,"Q32027"),"")</f>
        <v/>
      </c>
      <c r="L58" t="str">
        <f>IF(A58="Q42027",COUNTIF($A$2:$A58,"Q42027"),"")</f>
        <v/>
      </c>
      <c r="M58" t="str">
        <f>IF(A58="Backlog",COUNTIF($A$2:$A58,"Backlog"),"")</f>
        <v/>
      </c>
    </row>
    <row r="59" spans="1:13">
      <c r="A59" t="str">
        <f>IF(AND('Q12027'!B60&lt;&gt;"",'Q12027'!E60&lt;&gt;""),'Q12027'!E60,"")</f>
        <v/>
      </c>
      <c r="B59" t="str">
        <f>IF(AND('Q12027'!B60&lt;&gt;"",'Q12027'!E60&lt;&gt;""),'Q12027'!B60,"")</f>
        <v/>
      </c>
      <c r="C59" t="str">
        <f>IF(AND('Q12027'!B60&lt;&gt;"",'Q12027'!E60&lt;&gt;""),'Q12027'!C60,"")</f>
        <v/>
      </c>
      <c r="D59" t="str">
        <f>IF(AND('Q12027'!B60&lt;&gt;"",'Q12027'!E60&lt;&gt;""),'Q12027'!D60,"")</f>
        <v/>
      </c>
      <c r="E59" t="str">
        <f>IF(AND('Q12027'!B60&lt;&gt;"",'Q12027'!E60&lt;&gt;""),'Q12027'!H60,"")</f>
        <v/>
      </c>
      <c r="F59" t="str">
        <f>IF(AND('Q12027'!B60&lt;&gt;"",'Q12027'!E60&lt;&gt;""),'Q12027'!F60,"")</f>
        <v/>
      </c>
      <c r="G59" t="str">
        <f>IF(AND('Q12027'!B60&lt;&gt;"",'Q12027'!E60&lt;&gt;""),'Q12027'!G60,"")</f>
        <v/>
      </c>
      <c r="H59" t="str">
        <f>IF(AND('Q12027'!B60&lt;&gt;"",'Q12027'!E60&lt;&gt;""),"Q12027","")</f>
        <v/>
      </c>
      <c r="I59" t="str">
        <f>IF(A59="Q12027",COUNTIF($A$2:$A59,"Q12027"),"")</f>
        <v/>
      </c>
      <c r="J59" t="str">
        <f>IF(A59="Q22027",COUNTIF($A$2:$A59,"Q22027"),"")</f>
        <v/>
      </c>
      <c r="K59" t="str">
        <f>IF(A59="Q32027",COUNTIF($A$2:$A59,"Q32027"),"")</f>
        <v/>
      </c>
      <c r="L59" t="str">
        <f>IF(A59="Q42027",COUNTIF($A$2:$A59,"Q42027"),"")</f>
        <v/>
      </c>
      <c r="M59" t="str">
        <f>IF(A59="Backlog",COUNTIF($A$2:$A59,"Backlog"),"")</f>
        <v/>
      </c>
    </row>
    <row r="60" spans="1:13">
      <c r="A60" t="str">
        <f>IF(AND('Q12027'!B61&lt;&gt;"",'Q12027'!E61&lt;&gt;""),'Q12027'!E61,"")</f>
        <v/>
      </c>
      <c r="B60" t="str">
        <f>IF(AND('Q12027'!B61&lt;&gt;"",'Q12027'!E61&lt;&gt;""),'Q12027'!B61,"")</f>
        <v/>
      </c>
      <c r="C60" t="str">
        <f>IF(AND('Q12027'!B61&lt;&gt;"",'Q12027'!E61&lt;&gt;""),'Q12027'!C61,"")</f>
        <v/>
      </c>
      <c r="D60" t="str">
        <f>IF(AND('Q12027'!B61&lt;&gt;"",'Q12027'!E61&lt;&gt;""),'Q12027'!D61,"")</f>
        <v/>
      </c>
      <c r="E60" t="str">
        <f>IF(AND('Q12027'!B61&lt;&gt;"",'Q12027'!E61&lt;&gt;""),'Q12027'!H61,"")</f>
        <v/>
      </c>
      <c r="F60" t="str">
        <f>IF(AND('Q12027'!B61&lt;&gt;"",'Q12027'!E61&lt;&gt;""),'Q12027'!F61,"")</f>
        <v/>
      </c>
      <c r="G60" t="str">
        <f>IF(AND('Q12027'!B61&lt;&gt;"",'Q12027'!E61&lt;&gt;""),'Q12027'!G61,"")</f>
        <v/>
      </c>
      <c r="H60" t="str">
        <f>IF(AND('Q12027'!B61&lt;&gt;"",'Q12027'!E61&lt;&gt;""),"Q12027","")</f>
        <v/>
      </c>
      <c r="I60" t="str">
        <f>IF(A60="Q12027",COUNTIF($A$2:$A60,"Q12027"),"")</f>
        <v/>
      </c>
      <c r="J60" t="str">
        <f>IF(A60="Q22027",COUNTIF($A$2:$A60,"Q22027"),"")</f>
        <v/>
      </c>
      <c r="K60" t="str">
        <f>IF(A60="Q32027",COUNTIF($A$2:$A60,"Q32027"),"")</f>
        <v/>
      </c>
      <c r="L60" t="str">
        <f>IF(A60="Q42027",COUNTIF($A$2:$A60,"Q42027"),"")</f>
        <v/>
      </c>
      <c r="M60" t="str">
        <f>IF(A60="Backlog",COUNTIF($A$2:$A60,"Backlog"),"")</f>
        <v/>
      </c>
    </row>
    <row r="61" spans="1:13">
      <c r="A61" t="str">
        <f>IF(AND('Q12027'!B62&lt;&gt;"",'Q12027'!E62&lt;&gt;""),'Q12027'!E62,"")</f>
        <v/>
      </c>
      <c r="B61" t="str">
        <f>IF(AND('Q12027'!B62&lt;&gt;"",'Q12027'!E62&lt;&gt;""),'Q12027'!B62,"")</f>
        <v/>
      </c>
      <c r="C61" t="str">
        <f>IF(AND('Q12027'!B62&lt;&gt;"",'Q12027'!E62&lt;&gt;""),'Q12027'!C62,"")</f>
        <v/>
      </c>
      <c r="D61" t="str">
        <f>IF(AND('Q12027'!B62&lt;&gt;"",'Q12027'!E62&lt;&gt;""),'Q12027'!D62,"")</f>
        <v/>
      </c>
      <c r="E61" t="str">
        <f>IF(AND('Q12027'!B62&lt;&gt;"",'Q12027'!E62&lt;&gt;""),'Q12027'!H62,"")</f>
        <v/>
      </c>
      <c r="F61" t="str">
        <f>IF(AND('Q12027'!B62&lt;&gt;"",'Q12027'!E62&lt;&gt;""),'Q12027'!F62,"")</f>
        <v/>
      </c>
      <c r="G61" t="str">
        <f>IF(AND('Q12027'!B62&lt;&gt;"",'Q12027'!E62&lt;&gt;""),'Q12027'!G62,"")</f>
        <v/>
      </c>
      <c r="H61" t="str">
        <f>IF(AND('Q12027'!B62&lt;&gt;"",'Q12027'!E62&lt;&gt;""),"Q12027","")</f>
        <v/>
      </c>
      <c r="I61" t="str">
        <f>IF(A61="Q12027",COUNTIF($A$2:$A61,"Q12027"),"")</f>
        <v/>
      </c>
      <c r="J61" t="str">
        <f>IF(A61="Q22027",COUNTIF($A$2:$A61,"Q22027"),"")</f>
        <v/>
      </c>
      <c r="K61" t="str">
        <f>IF(A61="Q32027",COUNTIF($A$2:$A61,"Q32027"),"")</f>
        <v/>
      </c>
      <c r="L61" t="str">
        <f>IF(A61="Q42027",COUNTIF($A$2:$A61,"Q42027"),"")</f>
        <v/>
      </c>
      <c r="M61" t="str">
        <f>IF(A61="Backlog",COUNTIF($A$2:$A61,"Backlog"),"")</f>
        <v/>
      </c>
    </row>
    <row r="62" spans="1:13">
      <c r="A62" t="str">
        <f>IF(AND('Q12027'!B63&lt;&gt;"",'Q12027'!E63&lt;&gt;""),'Q12027'!E63,"")</f>
        <v/>
      </c>
      <c r="B62" t="str">
        <f>IF(AND('Q12027'!B63&lt;&gt;"",'Q12027'!E63&lt;&gt;""),'Q12027'!B63,"")</f>
        <v/>
      </c>
      <c r="C62" t="str">
        <f>IF(AND('Q12027'!B63&lt;&gt;"",'Q12027'!E63&lt;&gt;""),'Q12027'!C63,"")</f>
        <v/>
      </c>
      <c r="D62" t="str">
        <f>IF(AND('Q12027'!B63&lt;&gt;"",'Q12027'!E63&lt;&gt;""),'Q12027'!D63,"")</f>
        <v/>
      </c>
      <c r="E62" t="str">
        <f>IF(AND('Q12027'!B63&lt;&gt;"",'Q12027'!E63&lt;&gt;""),'Q12027'!H63,"")</f>
        <v/>
      </c>
      <c r="F62" t="str">
        <f>IF(AND('Q12027'!B63&lt;&gt;"",'Q12027'!E63&lt;&gt;""),'Q12027'!F63,"")</f>
        <v/>
      </c>
      <c r="G62" t="str">
        <f>IF(AND('Q12027'!B63&lt;&gt;"",'Q12027'!E63&lt;&gt;""),'Q12027'!G63,"")</f>
        <v/>
      </c>
      <c r="H62" t="str">
        <f>IF(AND('Q12027'!B63&lt;&gt;"",'Q12027'!E63&lt;&gt;""),"Q12027","")</f>
        <v/>
      </c>
      <c r="I62" t="str">
        <f>IF(A62="Q12027",COUNTIF($A$2:$A62,"Q12027"),"")</f>
        <v/>
      </c>
      <c r="J62" t="str">
        <f>IF(A62="Q22027",COUNTIF($A$2:$A62,"Q22027"),"")</f>
        <v/>
      </c>
      <c r="K62" t="str">
        <f>IF(A62="Q32027",COUNTIF($A$2:$A62,"Q32027"),"")</f>
        <v/>
      </c>
      <c r="L62" t="str">
        <f>IF(A62="Q42027",COUNTIF($A$2:$A62,"Q42027"),"")</f>
        <v/>
      </c>
      <c r="M62" t="str">
        <f>IF(A62="Backlog",COUNTIF($A$2:$A62,"Backlog"),"")</f>
        <v/>
      </c>
    </row>
    <row r="63" spans="1:13">
      <c r="A63" t="str">
        <f>IF(AND('Q12027'!B64&lt;&gt;"",'Q12027'!E64&lt;&gt;""),'Q12027'!E64,"")</f>
        <v/>
      </c>
      <c r="B63" t="str">
        <f>IF(AND('Q12027'!B64&lt;&gt;"",'Q12027'!E64&lt;&gt;""),'Q12027'!B64,"")</f>
        <v/>
      </c>
      <c r="C63" t="str">
        <f>IF(AND('Q12027'!B64&lt;&gt;"",'Q12027'!E64&lt;&gt;""),'Q12027'!C64,"")</f>
        <v/>
      </c>
      <c r="D63" t="str">
        <f>IF(AND('Q12027'!B64&lt;&gt;"",'Q12027'!E64&lt;&gt;""),'Q12027'!D64,"")</f>
        <v/>
      </c>
      <c r="E63" t="str">
        <f>IF(AND('Q12027'!B64&lt;&gt;"",'Q12027'!E64&lt;&gt;""),'Q12027'!H64,"")</f>
        <v/>
      </c>
      <c r="F63" t="str">
        <f>IF(AND('Q12027'!B64&lt;&gt;"",'Q12027'!E64&lt;&gt;""),'Q12027'!F64,"")</f>
        <v/>
      </c>
      <c r="G63" t="str">
        <f>IF(AND('Q12027'!B64&lt;&gt;"",'Q12027'!E64&lt;&gt;""),'Q12027'!G64,"")</f>
        <v/>
      </c>
      <c r="H63" t="str">
        <f>IF(AND('Q12027'!B64&lt;&gt;"",'Q12027'!E64&lt;&gt;""),"Q12027","")</f>
        <v/>
      </c>
      <c r="I63" t="str">
        <f>IF(A63="Q12027",COUNTIF($A$2:$A63,"Q12027"),"")</f>
        <v/>
      </c>
      <c r="J63" t="str">
        <f>IF(A63="Q22027",COUNTIF($A$2:$A63,"Q22027"),"")</f>
        <v/>
      </c>
      <c r="K63" t="str">
        <f>IF(A63="Q32027",COUNTIF($A$2:$A63,"Q32027"),"")</f>
        <v/>
      </c>
      <c r="L63" t="str">
        <f>IF(A63="Q42027",COUNTIF($A$2:$A63,"Q42027"),"")</f>
        <v/>
      </c>
      <c r="M63" t="str">
        <f>IF(A63="Backlog",COUNTIF($A$2:$A63,"Backlog"),"")</f>
        <v/>
      </c>
    </row>
    <row r="64" spans="1:13">
      <c r="A64" t="str">
        <f>IF(AND('Q12027'!B65&lt;&gt;"",'Q12027'!E65&lt;&gt;""),'Q12027'!E65,"")</f>
        <v/>
      </c>
      <c r="B64" t="str">
        <f>IF(AND('Q12027'!B65&lt;&gt;"",'Q12027'!E65&lt;&gt;""),'Q12027'!B65,"")</f>
        <v/>
      </c>
      <c r="C64" t="str">
        <f>IF(AND('Q12027'!B65&lt;&gt;"",'Q12027'!E65&lt;&gt;""),'Q12027'!C65,"")</f>
        <v/>
      </c>
      <c r="D64" t="str">
        <f>IF(AND('Q12027'!B65&lt;&gt;"",'Q12027'!E65&lt;&gt;""),'Q12027'!D65,"")</f>
        <v/>
      </c>
      <c r="E64" t="str">
        <f>IF(AND('Q12027'!B65&lt;&gt;"",'Q12027'!E65&lt;&gt;""),'Q12027'!H65,"")</f>
        <v/>
      </c>
      <c r="F64" t="str">
        <f>IF(AND('Q12027'!B65&lt;&gt;"",'Q12027'!E65&lt;&gt;""),'Q12027'!F65,"")</f>
        <v/>
      </c>
      <c r="G64" t="str">
        <f>IF(AND('Q12027'!B65&lt;&gt;"",'Q12027'!E65&lt;&gt;""),'Q12027'!G65,"")</f>
        <v/>
      </c>
      <c r="H64" t="str">
        <f>IF(AND('Q12027'!B65&lt;&gt;"",'Q12027'!E65&lt;&gt;""),"Q12027","")</f>
        <v/>
      </c>
      <c r="I64" t="str">
        <f>IF(A64="Q12027",COUNTIF($A$2:$A64,"Q12027"),"")</f>
        <v/>
      </c>
      <c r="J64" t="str">
        <f>IF(A64="Q22027",COUNTIF($A$2:$A64,"Q22027"),"")</f>
        <v/>
      </c>
      <c r="K64" t="str">
        <f>IF(A64="Q32027",COUNTIF($A$2:$A64,"Q32027"),"")</f>
        <v/>
      </c>
      <c r="L64" t="str">
        <f>IF(A64="Q42027",COUNTIF($A$2:$A64,"Q42027"),"")</f>
        <v/>
      </c>
      <c r="M64" t="str">
        <f>IF(A64="Backlog",COUNTIF($A$2:$A64,"Backlog"),"")</f>
        <v/>
      </c>
    </row>
    <row r="65" spans="1:13">
      <c r="A65" t="str">
        <f>IF(AND('Q12027'!B66&lt;&gt;"",'Q12027'!E66&lt;&gt;""),'Q12027'!E66,"")</f>
        <v/>
      </c>
      <c r="B65" t="str">
        <f>IF(AND('Q12027'!B66&lt;&gt;"",'Q12027'!E66&lt;&gt;""),'Q12027'!B66,"")</f>
        <v/>
      </c>
      <c r="C65" t="str">
        <f>IF(AND('Q12027'!B66&lt;&gt;"",'Q12027'!E66&lt;&gt;""),'Q12027'!C66,"")</f>
        <v/>
      </c>
      <c r="D65" t="str">
        <f>IF(AND('Q12027'!B66&lt;&gt;"",'Q12027'!E66&lt;&gt;""),'Q12027'!D66,"")</f>
        <v/>
      </c>
      <c r="E65" t="str">
        <f>IF(AND('Q12027'!B66&lt;&gt;"",'Q12027'!E66&lt;&gt;""),'Q12027'!H66,"")</f>
        <v/>
      </c>
      <c r="F65" t="str">
        <f>IF(AND('Q12027'!B66&lt;&gt;"",'Q12027'!E66&lt;&gt;""),'Q12027'!F66,"")</f>
        <v/>
      </c>
      <c r="G65" t="str">
        <f>IF(AND('Q12027'!B66&lt;&gt;"",'Q12027'!E66&lt;&gt;""),'Q12027'!G66,"")</f>
        <v/>
      </c>
      <c r="H65" t="str">
        <f>IF(AND('Q12027'!B66&lt;&gt;"",'Q12027'!E66&lt;&gt;""),"Q12027","")</f>
        <v/>
      </c>
      <c r="I65" t="str">
        <f>IF(A65="Q12027",COUNTIF($A$2:$A65,"Q12027"),"")</f>
        <v/>
      </c>
      <c r="J65" t="str">
        <f>IF(A65="Q22027",COUNTIF($A$2:$A65,"Q22027"),"")</f>
        <v/>
      </c>
      <c r="K65" t="str">
        <f>IF(A65="Q32027",COUNTIF($A$2:$A65,"Q32027"),"")</f>
        <v/>
      </c>
      <c r="L65" t="str">
        <f>IF(A65="Q42027",COUNTIF($A$2:$A65,"Q42027"),"")</f>
        <v/>
      </c>
      <c r="M65" t="str">
        <f>IF(A65="Backlog",COUNTIF($A$2:$A65,"Backlog"),"")</f>
        <v/>
      </c>
    </row>
    <row r="66" spans="1:13">
      <c r="A66" t="str">
        <f>IF(AND('Q12027'!B67&lt;&gt;"",'Q12027'!E67&lt;&gt;""),'Q12027'!E67,"")</f>
        <v/>
      </c>
      <c r="B66" t="str">
        <f>IF(AND('Q12027'!B67&lt;&gt;"",'Q12027'!E67&lt;&gt;""),'Q12027'!B67,"")</f>
        <v/>
      </c>
      <c r="C66" t="str">
        <f>IF(AND('Q12027'!B67&lt;&gt;"",'Q12027'!E67&lt;&gt;""),'Q12027'!C67,"")</f>
        <v/>
      </c>
      <c r="D66" t="str">
        <f>IF(AND('Q12027'!B67&lt;&gt;"",'Q12027'!E67&lt;&gt;""),'Q12027'!D67,"")</f>
        <v/>
      </c>
      <c r="E66" t="str">
        <f>IF(AND('Q12027'!B67&lt;&gt;"",'Q12027'!E67&lt;&gt;""),'Q12027'!H67,"")</f>
        <v/>
      </c>
      <c r="F66" t="str">
        <f>IF(AND('Q12027'!B67&lt;&gt;"",'Q12027'!E67&lt;&gt;""),'Q12027'!F67,"")</f>
        <v/>
      </c>
      <c r="G66" t="str">
        <f>IF(AND('Q12027'!B67&lt;&gt;"",'Q12027'!E67&lt;&gt;""),'Q12027'!G67,"")</f>
        <v/>
      </c>
      <c r="H66" t="str">
        <f>IF(AND('Q12027'!B67&lt;&gt;"",'Q12027'!E67&lt;&gt;""),"Q12027","")</f>
        <v/>
      </c>
      <c r="I66" t="str">
        <f>IF(A66="Q12027",COUNTIF($A$2:$A66,"Q12027"),"")</f>
        <v/>
      </c>
      <c r="J66" t="str">
        <f>IF(A66="Q22027",COUNTIF($A$2:$A66,"Q22027"),"")</f>
        <v/>
      </c>
      <c r="K66" t="str">
        <f>IF(A66="Q32027",COUNTIF($A$2:$A66,"Q32027"),"")</f>
        <v/>
      </c>
      <c r="L66" t="str">
        <f>IF(A66="Q42027",COUNTIF($A$2:$A66,"Q42027"),"")</f>
        <v/>
      </c>
      <c r="M66" t="str">
        <f>IF(A66="Backlog",COUNTIF($A$2:$A66,"Backlog"),"")</f>
        <v/>
      </c>
    </row>
    <row r="67" spans="1:13">
      <c r="A67" t="str">
        <f>IF(AND('Q12027'!B68&lt;&gt;"",'Q12027'!E68&lt;&gt;""),'Q12027'!E68,"")</f>
        <v/>
      </c>
      <c r="B67" t="str">
        <f>IF(AND('Q12027'!B68&lt;&gt;"",'Q12027'!E68&lt;&gt;""),'Q12027'!B68,"")</f>
        <v/>
      </c>
      <c r="C67" t="str">
        <f>IF(AND('Q12027'!B68&lt;&gt;"",'Q12027'!E68&lt;&gt;""),'Q12027'!C68,"")</f>
        <v/>
      </c>
      <c r="D67" t="str">
        <f>IF(AND('Q12027'!B68&lt;&gt;"",'Q12027'!E68&lt;&gt;""),'Q12027'!D68,"")</f>
        <v/>
      </c>
      <c r="E67" t="str">
        <f>IF(AND('Q12027'!B68&lt;&gt;"",'Q12027'!E68&lt;&gt;""),'Q12027'!H68,"")</f>
        <v/>
      </c>
      <c r="F67" t="str">
        <f>IF(AND('Q12027'!B68&lt;&gt;"",'Q12027'!E68&lt;&gt;""),'Q12027'!F68,"")</f>
        <v/>
      </c>
      <c r="G67" t="str">
        <f>IF(AND('Q12027'!B68&lt;&gt;"",'Q12027'!E68&lt;&gt;""),'Q12027'!G68,"")</f>
        <v/>
      </c>
      <c r="H67" t="str">
        <f>IF(AND('Q12027'!B68&lt;&gt;"",'Q12027'!E68&lt;&gt;""),"Q12027","")</f>
        <v/>
      </c>
      <c r="I67" t="str">
        <f>IF(A67="Q12027",COUNTIF($A$2:$A67,"Q12027"),"")</f>
        <v/>
      </c>
      <c r="J67" t="str">
        <f>IF(A67="Q22027",COUNTIF($A$2:$A67,"Q22027"),"")</f>
        <v/>
      </c>
      <c r="K67" t="str">
        <f>IF(A67="Q32027",COUNTIF($A$2:$A67,"Q32027"),"")</f>
        <v/>
      </c>
      <c r="L67" t="str">
        <f>IF(A67="Q42027",COUNTIF($A$2:$A67,"Q42027"),"")</f>
        <v/>
      </c>
      <c r="M67" t="str">
        <f>IF(A67="Backlog",COUNTIF($A$2:$A67,"Backlog"),"")</f>
        <v/>
      </c>
    </row>
    <row r="68" spans="1:13">
      <c r="A68" t="str">
        <f>IF(AND('Q12027'!B69&lt;&gt;"",'Q12027'!E69&lt;&gt;""),'Q12027'!E69,"")</f>
        <v/>
      </c>
      <c r="B68" t="str">
        <f>IF(AND('Q12027'!B69&lt;&gt;"",'Q12027'!E69&lt;&gt;""),'Q12027'!B69,"")</f>
        <v/>
      </c>
      <c r="C68" t="str">
        <f>IF(AND('Q12027'!B69&lt;&gt;"",'Q12027'!E69&lt;&gt;""),'Q12027'!C69,"")</f>
        <v/>
      </c>
      <c r="D68" t="str">
        <f>IF(AND('Q12027'!B69&lt;&gt;"",'Q12027'!E69&lt;&gt;""),'Q12027'!D69,"")</f>
        <v/>
      </c>
      <c r="E68" t="str">
        <f>IF(AND('Q12027'!B69&lt;&gt;"",'Q12027'!E69&lt;&gt;""),'Q12027'!H69,"")</f>
        <v/>
      </c>
      <c r="F68" t="str">
        <f>IF(AND('Q12027'!B69&lt;&gt;"",'Q12027'!E69&lt;&gt;""),'Q12027'!F69,"")</f>
        <v/>
      </c>
      <c r="G68" t="str">
        <f>IF(AND('Q12027'!B69&lt;&gt;"",'Q12027'!E69&lt;&gt;""),'Q12027'!G69,"")</f>
        <v/>
      </c>
      <c r="H68" t="str">
        <f>IF(AND('Q12027'!B69&lt;&gt;"",'Q12027'!E69&lt;&gt;""),"Q12027","")</f>
        <v/>
      </c>
      <c r="I68" t="str">
        <f>IF(A68="Q12027",COUNTIF($A$2:$A68,"Q12027"),"")</f>
        <v/>
      </c>
      <c r="J68" t="str">
        <f>IF(A68="Q22027",COUNTIF($A$2:$A68,"Q22027"),"")</f>
        <v/>
      </c>
      <c r="K68" t="str">
        <f>IF(A68="Q32027",COUNTIF($A$2:$A68,"Q32027"),"")</f>
        <v/>
      </c>
      <c r="L68" t="str">
        <f>IF(A68="Q42027",COUNTIF($A$2:$A68,"Q42027"),"")</f>
        <v/>
      </c>
      <c r="M68" t="str">
        <f>IF(A68="Backlog",COUNTIF($A$2:$A68,"Backlog"),"")</f>
        <v/>
      </c>
    </row>
    <row r="69" spans="1:13">
      <c r="A69" t="str">
        <f>IF(AND('Q12027'!B70&lt;&gt;"",'Q12027'!E70&lt;&gt;""),'Q12027'!E70,"")</f>
        <v/>
      </c>
      <c r="B69" t="str">
        <f>IF(AND('Q12027'!B70&lt;&gt;"",'Q12027'!E70&lt;&gt;""),'Q12027'!B70,"")</f>
        <v/>
      </c>
      <c r="C69" t="str">
        <f>IF(AND('Q12027'!B70&lt;&gt;"",'Q12027'!E70&lt;&gt;""),'Q12027'!C70,"")</f>
        <v/>
      </c>
      <c r="D69" t="str">
        <f>IF(AND('Q12027'!B70&lt;&gt;"",'Q12027'!E70&lt;&gt;""),'Q12027'!D70,"")</f>
        <v/>
      </c>
      <c r="E69" t="str">
        <f>IF(AND('Q12027'!B70&lt;&gt;"",'Q12027'!E70&lt;&gt;""),'Q12027'!H70,"")</f>
        <v/>
      </c>
      <c r="F69" t="str">
        <f>IF(AND('Q12027'!B70&lt;&gt;"",'Q12027'!E70&lt;&gt;""),'Q12027'!F70,"")</f>
        <v/>
      </c>
      <c r="G69" t="str">
        <f>IF(AND('Q12027'!B70&lt;&gt;"",'Q12027'!E70&lt;&gt;""),'Q12027'!G70,"")</f>
        <v/>
      </c>
      <c r="H69" t="str">
        <f>IF(AND('Q12027'!B70&lt;&gt;"",'Q12027'!E70&lt;&gt;""),"Q12027","")</f>
        <v/>
      </c>
      <c r="I69" t="str">
        <f>IF(A69="Q12027",COUNTIF($A$2:$A69,"Q12027"),"")</f>
        <v/>
      </c>
      <c r="J69" t="str">
        <f>IF(A69="Q22027",COUNTIF($A$2:$A69,"Q22027"),"")</f>
        <v/>
      </c>
      <c r="K69" t="str">
        <f>IF(A69="Q32027",COUNTIF($A$2:$A69,"Q32027"),"")</f>
        <v/>
      </c>
      <c r="L69" t="str">
        <f>IF(A69="Q42027",COUNTIF($A$2:$A69,"Q42027"),"")</f>
        <v/>
      </c>
      <c r="M69" t="str">
        <f>IF(A69="Backlog",COUNTIF($A$2:$A69,"Backlog"),"")</f>
        <v/>
      </c>
    </row>
    <row r="70" spans="1:13">
      <c r="A70" t="str">
        <f>IF(AND('Q12027'!B71&lt;&gt;"",'Q12027'!E71&lt;&gt;""),'Q12027'!E71,"")</f>
        <v/>
      </c>
      <c r="B70" t="str">
        <f>IF(AND('Q12027'!B71&lt;&gt;"",'Q12027'!E71&lt;&gt;""),'Q12027'!B71,"")</f>
        <v/>
      </c>
      <c r="C70" t="str">
        <f>IF(AND('Q12027'!B71&lt;&gt;"",'Q12027'!E71&lt;&gt;""),'Q12027'!C71,"")</f>
        <v/>
      </c>
      <c r="D70" t="str">
        <f>IF(AND('Q12027'!B71&lt;&gt;"",'Q12027'!E71&lt;&gt;""),'Q12027'!D71,"")</f>
        <v/>
      </c>
      <c r="E70" t="str">
        <f>IF(AND('Q12027'!B71&lt;&gt;"",'Q12027'!E71&lt;&gt;""),'Q12027'!H71,"")</f>
        <v/>
      </c>
      <c r="F70" t="str">
        <f>IF(AND('Q12027'!B71&lt;&gt;"",'Q12027'!E71&lt;&gt;""),'Q12027'!F71,"")</f>
        <v/>
      </c>
      <c r="G70" t="str">
        <f>IF(AND('Q12027'!B71&lt;&gt;"",'Q12027'!E71&lt;&gt;""),'Q12027'!G71,"")</f>
        <v/>
      </c>
      <c r="H70" t="str">
        <f>IF(AND('Q12027'!B71&lt;&gt;"",'Q12027'!E71&lt;&gt;""),"Q12027","")</f>
        <v/>
      </c>
      <c r="I70" t="str">
        <f>IF(A70="Q12027",COUNTIF($A$2:$A70,"Q12027"),"")</f>
        <v/>
      </c>
      <c r="J70" t="str">
        <f>IF(A70="Q22027",COUNTIF($A$2:$A70,"Q22027"),"")</f>
        <v/>
      </c>
      <c r="K70" t="str">
        <f>IF(A70="Q32027",COUNTIF($A$2:$A70,"Q32027"),"")</f>
        <v/>
      </c>
      <c r="L70" t="str">
        <f>IF(A70="Q42027",COUNTIF($A$2:$A70,"Q42027"),"")</f>
        <v/>
      </c>
      <c r="M70" t="str">
        <f>IF(A70="Backlog",COUNTIF($A$2:$A70,"Backlog"),"")</f>
        <v/>
      </c>
    </row>
    <row r="71" spans="1:13">
      <c r="A71" t="str">
        <f>IF(AND('Q12027'!B72&lt;&gt;"",'Q12027'!E72&lt;&gt;""),'Q12027'!E72,"")</f>
        <v/>
      </c>
      <c r="B71" t="str">
        <f>IF(AND('Q12027'!B72&lt;&gt;"",'Q12027'!E72&lt;&gt;""),'Q12027'!B72,"")</f>
        <v/>
      </c>
      <c r="C71" t="str">
        <f>IF(AND('Q12027'!B72&lt;&gt;"",'Q12027'!E72&lt;&gt;""),'Q12027'!C72,"")</f>
        <v/>
      </c>
      <c r="D71" t="str">
        <f>IF(AND('Q12027'!B72&lt;&gt;"",'Q12027'!E72&lt;&gt;""),'Q12027'!D72,"")</f>
        <v/>
      </c>
      <c r="E71" t="str">
        <f>IF(AND('Q12027'!B72&lt;&gt;"",'Q12027'!E72&lt;&gt;""),'Q12027'!H72,"")</f>
        <v/>
      </c>
      <c r="F71" t="str">
        <f>IF(AND('Q12027'!B72&lt;&gt;"",'Q12027'!E72&lt;&gt;""),'Q12027'!F72,"")</f>
        <v/>
      </c>
      <c r="G71" t="str">
        <f>IF(AND('Q12027'!B72&lt;&gt;"",'Q12027'!E72&lt;&gt;""),'Q12027'!G72,"")</f>
        <v/>
      </c>
      <c r="H71" t="str">
        <f>IF(AND('Q12027'!B72&lt;&gt;"",'Q12027'!E72&lt;&gt;""),"Q12027","")</f>
        <v/>
      </c>
      <c r="I71" t="str">
        <f>IF(A71="Q12027",COUNTIF($A$2:$A71,"Q12027"),"")</f>
        <v/>
      </c>
      <c r="J71" t="str">
        <f>IF(A71="Q22027",COUNTIF($A$2:$A71,"Q22027"),"")</f>
        <v/>
      </c>
      <c r="K71" t="str">
        <f>IF(A71="Q32027",COUNTIF($A$2:$A71,"Q32027"),"")</f>
        <v/>
      </c>
      <c r="L71" t="str">
        <f>IF(A71="Q42027",COUNTIF($A$2:$A71,"Q42027"),"")</f>
        <v/>
      </c>
      <c r="M71" t="str">
        <f>IF(A71="Backlog",COUNTIF($A$2:$A71,"Backlog"),"")</f>
        <v/>
      </c>
    </row>
    <row r="72" spans="1:13">
      <c r="A72" t="str">
        <f>IF(AND('Q12027'!B73&lt;&gt;"",'Q12027'!E73&lt;&gt;""),'Q12027'!E73,"")</f>
        <v/>
      </c>
      <c r="B72" t="str">
        <f>IF(AND('Q12027'!B73&lt;&gt;"",'Q12027'!E73&lt;&gt;""),'Q12027'!B73,"")</f>
        <v/>
      </c>
      <c r="C72" t="str">
        <f>IF(AND('Q12027'!B73&lt;&gt;"",'Q12027'!E73&lt;&gt;""),'Q12027'!C73,"")</f>
        <v/>
      </c>
      <c r="D72" t="str">
        <f>IF(AND('Q12027'!B73&lt;&gt;"",'Q12027'!E73&lt;&gt;""),'Q12027'!D73,"")</f>
        <v/>
      </c>
      <c r="E72" t="str">
        <f>IF(AND('Q12027'!B73&lt;&gt;"",'Q12027'!E73&lt;&gt;""),'Q12027'!H73,"")</f>
        <v/>
      </c>
      <c r="F72" t="str">
        <f>IF(AND('Q12027'!B73&lt;&gt;"",'Q12027'!E73&lt;&gt;""),'Q12027'!F73,"")</f>
        <v/>
      </c>
      <c r="G72" t="str">
        <f>IF(AND('Q12027'!B73&lt;&gt;"",'Q12027'!E73&lt;&gt;""),'Q12027'!G73,"")</f>
        <v/>
      </c>
      <c r="H72" t="str">
        <f>IF(AND('Q12027'!B73&lt;&gt;"",'Q12027'!E73&lt;&gt;""),"Q12027","")</f>
        <v/>
      </c>
      <c r="I72" t="str">
        <f>IF(A72="Q12027",COUNTIF($A$2:$A72,"Q12027"),"")</f>
        <v/>
      </c>
      <c r="J72" t="str">
        <f>IF(A72="Q22027",COUNTIF($A$2:$A72,"Q22027"),"")</f>
        <v/>
      </c>
      <c r="K72" t="str">
        <f>IF(A72="Q32027",COUNTIF($A$2:$A72,"Q32027"),"")</f>
        <v/>
      </c>
      <c r="L72" t="str">
        <f>IF(A72="Q42027",COUNTIF($A$2:$A72,"Q42027"),"")</f>
        <v/>
      </c>
      <c r="M72" t="str">
        <f>IF(A72="Backlog",COUNTIF($A$2:$A72,"Backlog"),"")</f>
        <v/>
      </c>
    </row>
    <row r="73" spans="1:13">
      <c r="A73" t="str">
        <f>IF(AND('Q12027'!B74&lt;&gt;"",'Q12027'!E74&lt;&gt;""),'Q12027'!E74,"")</f>
        <v/>
      </c>
      <c r="B73" t="str">
        <f>IF(AND('Q12027'!B74&lt;&gt;"",'Q12027'!E74&lt;&gt;""),'Q12027'!B74,"")</f>
        <v/>
      </c>
      <c r="C73" t="str">
        <f>IF(AND('Q12027'!B74&lt;&gt;"",'Q12027'!E74&lt;&gt;""),'Q12027'!C74,"")</f>
        <v/>
      </c>
      <c r="D73" t="str">
        <f>IF(AND('Q12027'!B74&lt;&gt;"",'Q12027'!E74&lt;&gt;""),'Q12027'!D74,"")</f>
        <v/>
      </c>
      <c r="E73" t="str">
        <f>IF(AND('Q12027'!B74&lt;&gt;"",'Q12027'!E74&lt;&gt;""),'Q12027'!H74,"")</f>
        <v/>
      </c>
      <c r="F73" t="str">
        <f>IF(AND('Q12027'!B74&lt;&gt;"",'Q12027'!E74&lt;&gt;""),'Q12027'!F74,"")</f>
        <v/>
      </c>
      <c r="G73" t="str">
        <f>IF(AND('Q12027'!B74&lt;&gt;"",'Q12027'!E74&lt;&gt;""),'Q12027'!G74,"")</f>
        <v/>
      </c>
      <c r="H73" t="str">
        <f>IF(AND('Q12027'!B74&lt;&gt;"",'Q12027'!E74&lt;&gt;""),"Q12027","")</f>
        <v/>
      </c>
      <c r="I73" t="str">
        <f>IF(A73="Q12027",COUNTIF($A$2:$A73,"Q12027"),"")</f>
        <v/>
      </c>
      <c r="J73" t="str">
        <f>IF(A73="Q22027",COUNTIF($A$2:$A73,"Q22027"),"")</f>
        <v/>
      </c>
      <c r="K73" t="str">
        <f>IF(A73="Q32027",COUNTIF($A$2:$A73,"Q32027"),"")</f>
        <v/>
      </c>
      <c r="L73" t="str">
        <f>IF(A73="Q42027",COUNTIF($A$2:$A73,"Q42027"),"")</f>
        <v/>
      </c>
      <c r="M73" t="str">
        <f>IF(A73="Backlog",COUNTIF($A$2:$A73,"Backlog"),"")</f>
        <v/>
      </c>
    </row>
    <row r="74" spans="1:13">
      <c r="A74" t="str">
        <f>IF(AND('Q12027'!B75&lt;&gt;"",'Q12027'!E75&lt;&gt;""),'Q12027'!E75,"")</f>
        <v/>
      </c>
      <c r="B74" t="str">
        <f>IF(AND('Q12027'!B75&lt;&gt;"",'Q12027'!E75&lt;&gt;""),'Q12027'!B75,"")</f>
        <v/>
      </c>
      <c r="C74" t="str">
        <f>IF(AND('Q12027'!B75&lt;&gt;"",'Q12027'!E75&lt;&gt;""),'Q12027'!C75,"")</f>
        <v/>
      </c>
      <c r="D74" t="str">
        <f>IF(AND('Q12027'!B75&lt;&gt;"",'Q12027'!E75&lt;&gt;""),'Q12027'!D75,"")</f>
        <v/>
      </c>
      <c r="E74" t="str">
        <f>IF(AND('Q12027'!B75&lt;&gt;"",'Q12027'!E75&lt;&gt;""),'Q12027'!H75,"")</f>
        <v/>
      </c>
      <c r="F74" t="str">
        <f>IF(AND('Q12027'!B75&lt;&gt;"",'Q12027'!E75&lt;&gt;""),'Q12027'!F75,"")</f>
        <v/>
      </c>
      <c r="G74" t="str">
        <f>IF(AND('Q12027'!B75&lt;&gt;"",'Q12027'!E75&lt;&gt;""),'Q12027'!G75,"")</f>
        <v/>
      </c>
      <c r="H74" t="str">
        <f>IF(AND('Q12027'!B75&lt;&gt;"",'Q12027'!E75&lt;&gt;""),"Q12027","")</f>
        <v/>
      </c>
      <c r="I74" t="str">
        <f>IF(A74="Q12027",COUNTIF($A$2:$A74,"Q12027"),"")</f>
        <v/>
      </c>
      <c r="J74" t="str">
        <f>IF(A74="Q22027",COUNTIF($A$2:$A74,"Q22027"),"")</f>
        <v/>
      </c>
      <c r="K74" t="str">
        <f>IF(A74="Q32027",COUNTIF($A$2:$A74,"Q32027"),"")</f>
        <v/>
      </c>
      <c r="L74" t="str">
        <f>IF(A74="Q42027",COUNTIF($A$2:$A74,"Q42027"),"")</f>
        <v/>
      </c>
      <c r="M74" t="str">
        <f>IF(A74="Backlog",COUNTIF($A$2:$A74,"Backlog"),"")</f>
        <v/>
      </c>
    </row>
    <row r="75" spans="1:13">
      <c r="A75" t="str">
        <f>IF(AND('Q12027'!B76&lt;&gt;"",'Q12027'!E76&lt;&gt;""),'Q12027'!E76,"")</f>
        <v/>
      </c>
      <c r="B75" t="str">
        <f>IF(AND('Q12027'!B76&lt;&gt;"",'Q12027'!E76&lt;&gt;""),'Q12027'!B76,"")</f>
        <v/>
      </c>
      <c r="C75" t="str">
        <f>IF(AND('Q12027'!B76&lt;&gt;"",'Q12027'!E76&lt;&gt;""),'Q12027'!C76,"")</f>
        <v/>
      </c>
      <c r="D75" t="str">
        <f>IF(AND('Q12027'!B76&lt;&gt;"",'Q12027'!E76&lt;&gt;""),'Q12027'!D76,"")</f>
        <v/>
      </c>
      <c r="E75" t="str">
        <f>IF(AND('Q12027'!B76&lt;&gt;"",'Q12027'!E76&lt;&gt;""),'Q12027'!H76,"")</f>
        <v/>
      </c>
      <c r="F75" t="str">
        <f>IF(AND('Q12027'!B76&lt;&gt;"",'Q12027'!E76&lt;&gt;""),'Q12027'!F76,"")</f>
        <v/>
      </c>
      <c r="G75" t="str">
        <f>IF(AND('Q12027'!B76&lt;&gt;"",'Q12027'!E76&lt;&gt;""),'Q12027'!G76,"")</f>
        <v/>
      </c>
      <c r="H75" t="str">
        <f>IF(AND('Q12027'!B76&lt;&gt;"",'Q12027'!E76&lt;&gt;""),"Q12027","")</f>
        <v/>
      </c>
      <c r="I75" t="str">
        <f>IF(A75="Q12027",COUNTIF($A$2:$A75,"Q12027"),"")</f>
        <v/>
      </c>
      <c r="J75" t="str">
        <f>IF(A75="Q22027",COUNTIF($A$2:$A75,"Q22027"),"")</f>
        <v/>
      </c>
      <c r="K75" t="str">
        <f>IF(A75="Q32027",COUNTIF($A$2:$A75,"Q32027"),"")</f>
        <v/>
      </c>
      <c r="L75" t="str">
        <f>IF(A75="Q42027",COUNTIF($A$2:$A75,"Q42027"),"")</f>
        <v/>
      </c>
      <c r="M75" t="str">
        <f>IF(A75="Backlog",COUNTIF($A$2:$A75,"Backlog"),"")</f>
        <v/>
      </c>
    </row>
    <row r="76" spans="1:13">
      <c r="A76" t="str">
        <f>IF(AND('Q12027'!B77&lt;&gt;"",'Q12027'!E77&lt;&gt;""),'Q12027'!E77,"")</f>
        <v/>
      </c>
      <c r="B76" t="str">
        <f>IF(AND('Q12027'!B77&lt;&gt;"",'Q12027'!E77&lt;&gt;""),'Q12027'!B77,"")</f>
        <v/>
      </c>
      <c r="C76" t="str">
        <f>IF(AND('Q12027'!B77&lt;&gt;"",'Q12027'!E77&lt;&gt;""),'Q12027'!C77,"")</f>
        <v/>
      </c>
      <c r="D76" t="str">
        <f>IF(AND('Q12027'!B77&lt;&gt;"",'Q12027'!E77&lt;&gt;""),'Q12027'!D77,"")</f>
        <v/>
      </c>
      <c r="E76" t="str">
        <f>IF(AND('Q12027'!B77&lt;&gt;"",'Q12027'!E77&lt;&gt;""),'Q12027'!H77,"")</f>
        <v/>
      </c>
      <c r="F76" t="str">
        <f>IF(AND('Q12027'!B77&lt;&gt;"",'Q12027'!E77&lt;&gt;""),'Q12027'!F77,"")</f>
        <v/>
      </c>
      <c r="G76" t="str">
        <f>IF(AND('Q12027'!B77&lt;&gt;"",'Q12027'!E77&lt;&gt;""),'Q12027'!G77,"")</f>
        <v/>
      </c>
      <c r="H76" t="str">
        <f>IF(AND('Q12027'!B77&lt;&gt;"",'Q12027'!E77&lt;&gt;""),"Q12027","")</f>
        <v/>
      </c>
      <c r="I76" t="str">
        <f>IF(A76="Q12027",COUNTIF($A$2:$A76,"Q12027"),"")</f>
        <v/>
      </c>
      <c r="J76" t="str">
        <f>IF(A76="Q22027",COUNTIF($A$2:$A76,"Q22027"),"")</f>
        <v/>
      </c>
      <c r="K76" t="str">
        <f>IF(A76="Q32027",COUNTIF($A$2:$A76,"Q32027"),"")</f>
        <v/>
      </c>
      <c r="L76" t="str">
        <f>IF(A76="Q42027",COUNTIF($A$2:$A76,"Q42027"),"")</f>
        <v/>
      </c>
      <c r="M76" t="str">
        <f>IF(A76="Backlog",COUNTIF($A$2:$A76,"Backlog"),"")</f>
        <v/>
      </c>
    </row>
    <row r="77" spans="1:13">
      <c r="A77" t="str">
        <f>IF(AND('Q12027'!B78&lt;&gt;"",'Q12027'!E78&lt;&gt;""),'Q12027'!E78,"")</f>
        <v/>
      </c>
      <c r="B77" t="str">
        <f>IF(AND('Q12027'!B78&lt;&gt;"",'Q12027'!E78&lt;&gt;""),'Q12027'!B78,"")</f>
        <v/>
      </c>
      <c r="C77" t="str">
        <f>IF(AND('Q12027'!B78&lt;&gt;"",'Q12027'!E78&lt;&gt;""),'Q12027'!C78,"")</f>
        <v/>
      </c>
      <c r="D77" t="str">
        <f>IF(AND('Q12027'!B78&lt;&gt;"",'Q12027'!E78&lt;&gt;""),'Q12027'!D78,"")</f>
        <v/>
      </c>
      <c r="E77" t="str">
        <f>IF(AND('Q12027'!B78&lt;&gt;"",'Q12027'!E78&lt;&gt;""),'Q12027'!H78,"")</f>
        <v/>
      </c>
      <c r="F77" t="str">
        <f>IF(AND('Q12027'!B78&lt;&gt;"",'Q12027'!E78&lt;&gt;""),'Q12027'!F78,"")</f>
        <v/>
      </c>
      <c r="G77" t="str">
        <f>IF(AND('Q12027'!B78&lt;&gt;"",'Q12027'!E78&lt;&gt;""),'Q12027'!G78,"")</f>
        <v/>
      </c>
      <c r="H77" t="str">
        <f>IF(AND('Q12027'!B78&lt;&gt;"",'Q12027'!E78&lt;&gt;""),"Q12027","")</f>
        <v/>
      </c>
      <c r="I77" t="str">
        <f>IF(A77="Q12027",COUNTIF($A$2:$A77,"Q12027"),"")</f>
        <v/>
      </c>
      <c r="J77" t="str">
        <f>IF(A77="Q22027",COUNTIF($A$2:$A77,"Q22027"),"")</f>
        <v/>
      </c>
      <c r="K77" t="str">
        <f>IF(A77="Q32027",COUNTIF($A$2:$A77,"Q32027"),"")</f>
        <v/>
      </c>
      <c r="L77" t="str">
        <f>IF(A77="Q42027",COUNTIF($A$2:$A77,"Q42027"),"")</f>
        <v/>
      </c>
      <c r="M77" t="str">
        <f>IF(A77="Backlog",COUNTIF($A$2:$A77,"Backlog"),"")</f>
        <v/>
      </c>
    </row>
    <row r="78" spans="1:13">
      <c r="A78" t="str">
        <f>IF(AND('Q12027'!B79&lt;&gt;"",'Q12027'!E79&lt;&gt;""),'Q12027'!E79,"")</f>
        <v/>
      </c>
      <c r="B78" t="str">
        <f>IF(AND('Q12027'!B79&lt;&gt;"",'Q12027'!E79&lt;&gt;""),'Q12027'!B79,"")</f>
        <v/>
      </c>
      <c r="C78" t="str">
        <f>IF(AND('Q12027'!B79&lt;&gt;"",'Q12027'!E79&lt;&gt;""),'Q12027'!C79,"")</f>
        <v/>
      </c>
      <c r="D78" t="str">
        <f>IF(AND('Q12027'!B79&lt;&gt;"",'Q12027'!E79&lt;&gt;""),'Q12027'!D79,"")</f>
        <v/>
      </c>
      <c r="E78" t="str">
        <f>IF(AND('Q12027'!B79&lt;&gt;"",'Q12027'!E79&lt;&gt;""),'Q12027'!H79,"")</f>
        <v/>
      </c>
      <c r="F78" t="str">
        <f>IF(AND('Q12027'!B79&lt;&gt;"",'Q12027'!E79&lt;&gt;""),'Q12027'!F79,"")</f>
        <v/>
      </c>
      <c r="G78" t="str">
        <f>IF(AND('Q12027'!B79&lt;&gt;"",'Q12027'!E79&lt;&gt;""),'Q12027'!G79,"")</f>
        <v/>
      </c>
      <c r="H78" t="str">
        <f>IF(AND('Q12027'!B79&lt;&gt;"",'Q12027'!E79&lt;&gt;""),"Q12027","")</f>
        <v/>
      </c>
      <c r="I78" t="str">
        <f>IF(A78="Q12027",COUNTIF($A$2:$A78,"Q12027"),"")</f>
        <v/>
      </c>
      <c r="J78" t="str">
        <f>IF(A78="Q22027",COUNTIF($A$2:$A78,"Q22027"),"")</f>
        <v/>
      </c>
      <c r="K78" t="str">
        <f>IF(A78="Q32027",COUNTIF($A$2:$A78,"Q32027"),"")</f>
        <v/>
      </c>
      <c r="L78" t="str">
        <f>IF(A78="Q42027",COUNTIF($A$2:$A78,"Q42027"),"")</f>
        <v/>
      </c>
      <c r="M78" t="str">
        <f>IF(A78="Backlog",COUNTIF($A$2:$A78,"Backlog"),"")</f>
        <v/>
      </c>
    </row>
    <row r="79" spans="1:13">
      <c r="A79" t="str">
        <f>IF(AND('Q12027'!B80&lt;&gt;"",'Q12027'!E80&lt;&gt;""),'Q12027'!E80,"")</f>
        <v/>
      </c>
      <c r="B79" t="str">
        <f>IF(AND('Q12027'!B80&lt;&gt;"",'Q12027'!E80&lt;&gt;""),'Q12027'!B80,"")</f>
        <v/>
      </c>
      <c r="C79" t="str">
        <f>IF(AND('Q12027'!B80&lt;&gt;"",'Q12027'!E80&lt;&gt;""),'Q12027'!C80,"")</f>
        <v/>
      </c>
      <c r="D79" t="str">
        <f>IF(AND('Q12027'!B80&lt;&gt;"",'Q12027'!E80&lt;&gt;""),'Q12027'!D80,"")</f>
        <v/>
      </c>
      <c r="E79" t="str">
        <f>IF(AND('Q12027'!B80&lt;&gt;"",'Q12027'!E80&lt;&gt;""),'Q12027'!H80,"")</f>
        <v/>
      </c>
      <c r="F79" t="str">
        <f>IF(AND('Q12027'!B80&lt;&gt;"",'Q12027'!E80&lt;&gt;""),'Q12027'!F80,"")</f>
        <v/>
      </c>
      <c r="G79" t="str">
        <f>IF(AND('Q12027'!B80&lt;&gt;"",'Q12027'!E80&lt;&gt;""),'Q12027'!G80,"")</f>
        <v/>
      </c>
      <c r="H79" t="str">
        <f>IF(AND('Q12027'!B80&lt;&gt;"",'Q12027'!E80&lt;&gt;""),"Q12027","")</f>
        <v/>
      </c>
      <c r="I79" t="str">
        <f>IF(A79="Q12027",COUNTIF($A$2:$A79,"Q12027"),"")</f>
        <v/>
      </c>
      <c r="J79" t="str">
        <f>IF(A79="Q22027",COUNTIF($A$2:$A79,"Q22027"),"")</f>
        <v/>
      </c>
      <c r="K79" t="str">
        <f>IF(A79="Q32027",COUNTIF($A$2:$A79,"Q32027"),"")</f>
        <v/>
      </c>
      <c r="L79" t="str">
        <f>IF(A79="Q42027",COUNTIF($A$2:$A79,"Q42027"),"")</f>
        <v/>
      </c>
      <c r="M79" t="str">
        <f>IF(A79="Backlog",COUNTIF($A$2:$A79,"Backlog"),"")</f>
        <v/>
      </c>
    </row>
    <row r="80" spans="1:13">
      <c r="A80" t="str">
        <f>IF(AND('Q12027'!B81&lt;&gt;"",'Q12027'!E81&lt;&gt;""),'Q12027'!E81,"")</f>
        <v/>
      </c>
      <c r="B80" t="str">
        <f>IF(AND('Q12027'!B81&lt;&gt;"",'Q12027'!E81&lt;&gt;""),'Q12027'!B81,"")</f>
        <v/>
      </c>
      <c r="C80" t="str">
        <f>IF(AND('Q12027'!B81&lt;&gt;"",'Q12027'!E81&lt;&gt;""),'Q12027'!C81,"")</f>
        <v/>
      </c>
      <c r="D80" t="str">
        <f>IF(AND('Q12027'!B81&lt;&gt;"",'Q12027'!E81&lt;&gt;""),'Q12027'!D81,"")</f>
        <v/>
      </c>
      <c r="E80" t="str">
        <f>IF(AND('Q12027'!B81&lt;&gt;"",'Q12027'!E81&lt;&gt;""),'Q12027'!H81,"")</f>
        <v/>
      </c>
      <c r="F80" t="str">
        <f>IF(AND('Q12027'!B81&lt;&gt;"",'Q12027'!E81&lt;&gt;""),'Q12027'!F81,"")</f>
        <v/>
      </c>
      <c r="G80" t="str">
        <f>IF(AND('Q12027'!B81&lt;&gt;"",'Q12027'!E81&lt;&gt;""),'Q12027'!G81,"")</f>
        <v/>
      </c>
      <c r="H80" t="str">
        <f>IF(AND('Q12027'!B81&lt;&gt;"",'Q12027'!E81&lt;&gt;""),"Q12027","")</f>
        <v/>
      </c>
      <c r="I80" t="str">
        <f>IF(A80="Q12027",COUNTIF($A$2:$A80,"Q12027"),"")</f>
        <v/>
      </c>
      <c r="J80" t="str">
        <f>IF(A80="Q22027",COUNTIF($A$2:$A80,"Q22027"),"")</f>
        <v/>
      </c>
      <c r="K80" t="str">
        <f>IF(A80="Q32027",COUNTIF($A$2:$A80,"Q32027"),"")</f>
        <v/>
      </c>
      <c r="L80" t="str">
        <f>IF(A80="Q42027",COUNTIF($A$2:$A80,"Q42027"),"")</f>
        <v/>
      </c>
      <c r="M80" t="str">
        <f>IF(A80="Backlog",COUNTIF($A$2:$A80,"Backlog"),"")</f>
        <v/>
      </c>
    </row>
    <row r="81" spans="1:13">
      <c r="A81" t="str">
        <f>IF(AND('Q12027'!B82&lt;&gt;"",'Q12027'!E82&lt;&gt;""),'Q12027'!E82,"")</f>
        <v/>
      </c>
      <c r="B81" t="str">
        <f>IF(AND('Q12027'!B82&lt;&gt;"",'Q12027'!E82&lt;&gt;""),'Q12027'!B82,"")</f>
        <v/>
      </c>
      <c r="C81" t="str">
        <f>IF(AND('Q12027'!B82&lt;&gt;"",'Q12027'!E82&lt;&gt;""),'Q12027'!C82,"")</f>
        <v/>
      </c>
      <c r="D81" t="str">
        <f>IF(AND('Q12027'!B82&lt;&gt;"",'Q12027'!E82&lt;&gt;""),'Q12027'!D82,"")</f>
        <v/>
      </c>
      <c r="E81" t="str">
        <f>IF(AND('Q12027'!B82&lt;&gt;"",'Q12027'!E82&lt;&gt;""),'Q12027'!H82,"")</f>
        <v/>
      </c>
      <c r="F81" t="str">
        <f>IF(AND('Q12027'!B82&lt;&gt;"",'Q12027'!E82&lt;&gt;""),'Q12027'!F82,"")</f>
        <v/>
      </c>
      <c r="G81" t="str">
        <f>IF(AND('Q12027'!B82&lt;&gt;"",'Q12027'!E82&lt;&gt;""),'Q12027'!G82,"")</f>
        <v/>
      </c>
      <c r="H81" t="str">
        <f>IF(AND('Q12027'!B82&lt;&gt;"",'Q12027'!E82&lt;&gt;""),"Q12027","")</f>
        <v/>
      </c>
      <c r="I81" t="str">
        <f>IF(A81="Q12027",COUNTIF($A$2:$A81,"Q12027"),"")</f>
        <v/>
      </c>
      <c r="J81" t="str">
        <f>IF(A81="Q22027",COUNTIF($A$2:$A81,"Q22027"),"")</f>
        <v/>
      </c>
      <c r="K81" t="str">
        <f>IF(A81="Q32027",COUNTIF($A$2:$A81,"Q32027"),"")</f>
        <v/>
      </c>
      <c r="L81" t="str">
        <f>IF(A81="Q42027",COUNTIF($A$2:$A81,"Q42027"),"")</f>
        <v/>
      </c>
      <c r="M81" t="str">
        <f>IF(A81="Backlog",COUNTIF($A$2:$A81,"Backlog"),"")</f>
        <v/>
      </c>
    </row>
    <row r="82" spans="1:13">
      <c r="A82" t="str">
        <f>IF(AND('Q22027'!B3&lt;&gt;"",'Q22027'!E3&lt;&gt;""),'Q22027'!E3,"")</f>
        <v/>
      </c>
      <c r="B82" t="str">
        <f>IF(AND('Q22027'!B3&lt;&gt;"",'Q22027'!E3&lt;&gt;""),'Q22027'!B3,"")</f>
        <v/>
      </c>
      <c r="C82" t="str">
        <f>IF(AND('Q22027'!B3&lt;&gt;"",'Q22027'!E3&lt;&gt;""),'Q22027'!C3,"")</f>
        <v/>
      </c>
      <c r="D82" t="str">
        <f>IF(AND('Q22027'!B3&lt;&gt;"",'Q22027'!E3&lt;&gt;""),'Q22027'!D3,"")</f>
        <v/>
      </c>
      <c r="E82" t="str">
        <f>IF(AND('Q22027'!B3&lt;&gt;"",'Q22027'!E3&lt;&gt;""),'Q22027'!H3,"")</f>
        <v/>
      </c>
      <c r="F82" t="str">
        <f>IF(AND('Q22027'!B3&lt;&gt;"",'Q22027'!E3&lt;&gt;""),'Q22027'!F3,"")</f>
        <v/>
      </c>
      <c r="G82" t="str">
        <f>IF(AND('Q22027'!B3&lt;&gt;"",'Q22027'!E3&lt;&gt;""),'Q22027'!G3,"")</f>
        <v/>
      </c>
      <c r="H82" t="str">
        <f>IF(AND('Q22027'!B3&lt;&gt;"",'Q22027'!E3&lt;&gt;""),"Q22027","")</f>
        <v/>
      </c>
      <c r="I82" t="str">
        <f>IF(A82="Q12027",COUNTIF($A$2:$A82,"Q12027"),"")</f>
        <v/>
      </c>
      <c r="J82" t="str">
        <f>IF(A82="Q22027",COUNTIF($A$2:$A82,"Q22027"),"")</f>
        <v/>
      </c>
      <c r="K82" t="str">
        <f>IF(A82="Q32027",COUNTIF($A$2:$A82,"Q32027"),"")</f>
        <v/>
      </c>
      <c r="L82" t="str">
        <f>IF(A82="Q42027",COUNTIF($A$2:$A82,"Q42027"),"")</f>
        <v/>
      </c>
      <c r="M82" t="str">
        <f>IF(A82="Backlog",COUNTIF($A$2:$A82,"Backlog"),"")</f>
        <v/>
      </c>
    </row>
    <row r="83" spans="1:13">
      <c r="A83" t="str">
        <f>IF(AND('Q22027'!B4&lt;&gt;"",'Q22027'!E4&lt;&gt;""),'Q22027'!E4,"")</f>
        <v/>
      </c>
      <c r="B83" t="str">
        <f>IF(AND('Q22027'!B4&lt;&gt;"",'Q22027'!E4&lt;&gt;""),'Q22027'!B4,"")</f>
        <v/>
      </c>
      <c r="C83" t="str">
        <f>IF(AND('Q22027'!B4&lt;&gt;"",'Q22027'!E4&lt;&gt;""),'Q22027'!C4,"")</f>
        <v/>
      </c>
      <c r="D83" t="str">
        <f>IF(AND('Q22027'!B4&lt;&gt;"",'Q22027'!E4&lt;&gt;""),'Q22027'!D4,"")</f>
        <v/>
      </c>
      <c r="E83" t="str">
        <f>IF(AND('Q22027'!B4&lt;&gt;"",'Q22027'!E4&lt;&gt;""),'Q22027'!H4,"")</f>
        <v/>
      </c>
      <c r="F83" t="str">
        <f>IF(AND('Q22027'!B4&lt;&gt;"",'Q22027'!E4&lt;&gt;""),'Q22027'!F4,"")</f>
        <v/>
      </c>
      <c r="G83" t="str">
        <f>IF(AND('Q22027'!B4&lt;&gt;"",'Q22027'!E4&lt;&gt;""),'Q22027'!G4,"")</f>
        <v/>
      </c>
      <c r="H83" t="str">
        <f>IF(AND('Q22027'!B4&lt;&gt;"",'Q22027'!E4&lt;&gt;""),"Q22027","")</f>
        <v/>
      </c>
      <c r="I83" t="str">
        <f>IF(A83="Q12027",COUNTIF($A$2:$A83,"Q12027"),"")</f>
        <v/>
      </c>
      <c r="J83" t="str">
        <f>IF(A83="Q22027",COUNTIF($A$2:$A83,"Q22027"),"")</f>
        <v/>
      </c>
      <c r="K83" t="str">
        <f>IF(A83="Q32027",COUNTIF($A$2:$A83,"Q32027"),"")</f>
        <v/>
      </c>
      <c r="L83" t="str">
        <f>IF(A83="Q42027",COUNTIF($A$2:$A83,"Q42027"),"")</f>
        <v/>
      </c>
      <c r="M83" t="str">
        <f>IF(A83="Backlog",COUNTIF($A$2:$A83,"Backlog"),"")</f>
        <v/>
      </c>
    </row>
    <row r="84" spans="1:13">
      <c r="A84" t="str">
        <f>IF(AND('Q22027'!B5&lt;&gt;"",'Q22027'!E5&lt;&gt;""),'Q22027'!E5,"")</f>
        <v/>
      </c>
      <c r="B84" t="str">
        <f>IF(AND('Q22027'!B5&lt;&gt;"",'Q22027'!E5&lt;&gt;""),'Q22027'!B5,"")</f>
        <v/>
      </c>
      <c r="C84" t="str">
        <f>IF(AND('Q22027'!B5&lt;&gt;"",'Q22027'!E5&lt;&gt;""),'Q22027'!C5,"")</f>
        <v/>
      </c>
      <c r="D84" t="str">
        <f>IF(AND('Q22027'!B5&lt;&gt;"",'Q22027'!E5&lt;&gt;""),'Q22027'!D5,"")</f>
        <v/>
      </c>
      <c r="E84" t="str">
        <f>IF(AND('Q22027'!B5&lt;&gt;"",'Q22027'!E5&lt;&gt;""),'Q22027'!H5,"")</f>
        <v/>
      </c>
      <c r="F84" t="str">
        <f>IF(AND('Q22027'!B5&lt;&gt;"",'Q22027'!E5&lt;&gt;""),'Q22027'!F5,"")</f>
        <v/>
      </c>
      <c r="G84" t="str">
        <f>IF(AND('Q22027'!B5&lt;&gt;"",'Q22027'!E5&lt;&gt;""),'Q22027'!G5,"")</f>
        <v/>
      </c>
      <c r="H84" t="str">
        <f>IF(AND('Q22027'!B5&lt;&gt;"",'Q22027'!E5&lt;&gt;""),"Q22027","")</f>
        <v/>
      </c>
      <c r="I84" t="str">
        <f>IF(A84="Q12027",COUNTIF($A$2:$A84,"Q12027"),"")</f>
        <v/>
      </c>
      <c r="J84" t="str">
        <f>IF(A84="Q22027",COUNTIF($A$2:$A84,"Q22027"),"")</f>
        <v/>
      </c>
      <c r="K84" t="str">
        <f>IF(A84="Q32027",COUNTIF($A$2:$A84,"Q32027"),"")</f>
        <v/>
      </c>
      <c r="L84" t="str">
        <f>IF(A84="Q42027",COUNTIF($A$2:$A84,"Q42027"),"")</f>
        <v/>
      </c>
      <c r="M84" t="str">
        <f>IF(A84="Backlog",COUNTIF($A$2:$A84,"Backlog"),"")</f>
        <v/>
      </c>
    </row>
    <row r="85" spans="1:13">
      <c r="A85" t="str">
        <f>IF(AND('Q22027'!B6&lt;&gt;"",'Q22027'!E6&lt;&gt;""),'Q22027'!E6,"")</f>
        <v/>
      </c>
      <c r="B85" t="str">
        <f>IF(AND('Q22027'!B6&lt;&gt;"",'Q22027'!E6&lt;&gt;""),'Q22027'!B6,"")</f>
        <v/>
      </c>
      <c r="C85" t="str">
        <f>IF(AND('Q22027'!B6&lt;&gt;"",'Q22027'!E6&lt;&gt;""),'Q22027'!C6,"")</f>
        <v/>
      </c>
      <c r="D85" t="str">
        <f>IF(AND('Q22027'!B6&lt;&gt;"",'Q22027'!E6&lt;&gt;""),'Q22027'!D6,"")</f>
        <v/>
      </c>
      <c r="E85" t="str">
        <f>IF(AND('Q22027'!B6&lt;&gt;"",'Q22027'!E6&lt;&gt;""),'Q22027'!H6,"")</f>
        <v/>
      </c>
      <c r="F85" t="str">
        <f>IF(AND('Q22027'!B6&lt;&gt;"",'Q22027'!E6&lt;&gt;""),'Q22027'!F6,"")</f>
        <v/>
      </c>
      <c r="G85" t="str">
        <f>IF(AND('Q22027'!B6&lt;&gt;"",'Q22027'!E6&lt;&gt;""),'Q22027'!G6,"")</f>
        <v/>
      </c>
      <c r="H85" t="str">
        <f>IF(AND('Q22027'!B6&lt;&gt;"",'Q22027'!E6&lt;&gt;""),"Q22027","")</f>
        <v/>
      </c>
      <c r="I85" t="str">
        <f>IF(A85="Q12027",COUNTIF($A$2:$A85,"Q12027"),"")</f>
        <v/>
      </c>
      <c r="J85" t="str">
        <f>IF(A85="Q22027",COUNTIF($A$2:$A85,"Q22027"),"")</f>
        <v/>
      </c>
      <c r="K85" t="str">
        <f>IF(A85="Q32027",COUNTIF($A$2:$A85,"Q32027"),"")</f>
        <v/>
      </c>
      <c r="L85" t="str">
        <f>IF(A85="Q42027",COUNTIF($A$2:$A85,"Q42027"),"")</f>
        <v/>
      </c>
      <c r="M85" t="str">
        <f>IF(A85="Backlog",COUNTIF($A$2:$A85,"Backlog"),"")</f>
        <v/>
      </c>
    </row>
    <row r="86" spans="1:13">
      <c r="A86" t="str">
        <f>IF(AND('Q22027'!B7&lt;&gt;"",'Q22027'!E7&lt;&gt;""),'Q22027'!E7,"")</f>
        <v/>
      </c>
      <c r="B86" t="str">
        <f>IF(AND('Q22027'!B7&lt;&gt;"",'Q22027'!E7&lt;&gt;""),'Q22027'!B7,"")</f>
        <v/>
      </c>
      <c r="C86" t="str">
        <f>IF(AND('Q22027'!B7&lt;&gt;"",'Q22027'!E7&lt;&gt;""),'Q22027'!C7,"")</f>
        <v/>
      </c>
      <c r="D86" t="str">
        <f>IF(AND('Q22027'!B7&lt;&gt;"",'Q22027'!E7&lt;&gt;""),'Q22027'!D7,"")</f>
        <v/>
      </c>
      <c r="E86" t="str">
        <f>IF(AND('Q22027'!B7&lt;&gt;"",'Q22027'!E7&lt;&gt;""),'Q22027'!H7,"")</f>
        <v/>
      </c>
      <c r="F86" t="str">
        <f>IF(AND('Q22027'!B7&lt;&gt;"",'Q22027'!E7&lt;&gt;""),'Q22027'!F7,"")</f>
        <v/>
      </c>
      <c r="G86" t="str">
        <f>IF(AND('Q22027'!B7&lt;&gt;"",'Q22027'!E7&lt;&gt;""),'Q22027'!G7,"")</f>
        <v/>
      </c>
      <c r="H86" t="str">
        <f>IF(AND('Q22027'!B7&lt;&gt;"",'Q22027'!E7&lt;&gt;""),"Q22027","")</f>
        <v/>
      </c>
      <c r="I86" t="str">
        <f>IF(A86="Q12027",COUNTIF($A$2:$A86,"Q12027"),"")</f>
        <v/>
      </c>
      <c r="J86" t="str">
        <f>IF(A86="Q22027",COUNTIF($A$2:$A86,"Q22027"),"")</f>
        <v/>
      </c>
      <c r="K86" t="str">
        <f>IF(A86="Q32027",COUNTIF($A$2:$A86,"Q32027"),"")</f>
        <v/>
      </c>
      <c r="L86" t="str">
        <f>IF(A86="Q42027",COUNTIF($A$2:$A86,"Q42027"),"")</f>
        <v/>
      </c>
      <c r="M86" t="str">
        <f>IF(A86="Backlog",COUNTIF($A$2:$A86,"Backlog"),"")</f>
        <v/>
      </c>
    </row>
    <row r="87" spans="1:13">
      <c r="A87" t="str">
        <f>IF(AND('Q22027'!B8&lt;&gt;"",'Q22027'!E8&lt;&gt;""),'Q22027'!E8,"")</f>
        <v/>
      </c>
      <c r="B87" t="str">
        <f>IF(AND('Q22027'!B8&lt;&gt;"",'Q22027'!E8&lt;&gt;""),'Q22027'!B8,"")</f>
        <v/>
      </c>
      <c r="C87" t="str">
        <f>IF(AND('Q22027'!B8&lt;&gt;"",'Q22027'!E8&lt;&gt;""),'Q22027'!C8,"")</f>
        <v/>
      </c>
      <c r="D87" t="str">
        <f>IF(AND('Q22027'!B8&lt;&gt;"",'Q22027'!E8&lt;&gt;""),'Q22027'!D8,"")</f>
        <v/>
      </c>
      <c r="E87" t="str">
        <f>IF(AND('Q22027'!B8&lt;&gt;"",'Q22027'!E8&lt;&gt;""),'Q22027'!H8,"")</f>
        <v/>
      </c>
      <c r="F87" t="str">
        <f>IF(AND('Q22027'!B8&lt;&gt;"",'Q22027'!E8&lt;&gt;""),'Q22027'!F8,"")</f>
        <v/>
      </c>
      <c r="G87" t="str">
        <f>IF(AND('Q22027'!B8&lt;&gt;"",'Q22027'!E8&lt;&gt;""),'Q22027'!G8,"")</f>
        <v/>
      </c>
      <c r="H87" t="str">
        <f>IF(AND('Q22027'!B8&lt;&gt;"",'Q22027'!E8&lt;&gt;""),"Q22027","")</f>
        <v/>
      </c>
      <c r="I87" t="str">
        <f>IF(A87="Q12027",COUNTIF($A$2:$A87,"Q12027"),"")</f>
        <v/>
      </c>
      <c r="J87" t="str">
        <f>IF(A87="Q22027",COUNTIF($A$2:$A87,"Q22027"),"")</f>
        <v/>
      </c>
      <c r="K87" t="str">
        <f>IF(A87="Q32027",COUNTIF($A$2:$A87,"Q32027"),"")</f>
        <v/>
      </c>
      <c r="L87" t="str">
        <f>IF(A87="Q42027",COUNTIF($A$2:$A87,"Q42027"),"")</f>
        <v/>
      </c>
      <c r="M87" t="str">
        <f>IF(A87="Backlog",COUNTIF($A$2:$A87,"Backlog"),"")</f>
        <v/>
      </c>
    </row>
    <row r="88" spans="1:13">
      <c r="A88" t="str">
        <f>IF(AND('Q22027'!B9&lt;&gt;"",'Q22027'!E9&lt;&gt;""),'Q22027'!E9,"")</f>
        <v/>
      </c>
      <c r="B88" t="str">
        <f>IF(AND('Q22027'!B9&lt;&gt;"",'Q22027'!E9&lt;&gt;""),'Q22027'!B9,"")</f>
        <v/>
      </c>
      <c r="C88" t="str">
        <f>IF(AND('Q22027'!B9&lt;&gt;"",'Q22027'!E9&lt;&gt;""),'Q22027'!C9,"")</f>
        <v/>
      </c>
      <c r="D88" t="str">
        <f>IF(AND('Q22027'!B9&lt;&gt;"",'Q22027'!E9&lt;&gt;""),'Q22027'!D9,"")</f>
        <v/>
      </c>
      <c r="E88" t="str">
        <f>IF(AND('Q22027'!B9&lt;&gt;"",'Q22027'!E9&lt;&gt;""),'Q22027'!H9,"")</f>
        <v/>
      </c>
      <c r="F88" t="str">
        <f>IF(AND('Q22027'!B9&lt;&gt;"",'Q22027'!E9&lt;&gt;""),'Q22027'!F9,"")</f>
        <v/>
      </c>
      <c r="G88" t="str">
        <f>IF(AND('Q22027'!B9&lt;&gt;"",'Q22027'!E9&lt;&gt;""),'Q22027'!G9,"")</f>
        <v/>
      </c>
      <c r="H88" t="str">
        <f>IF(AND('Q22027'!B9&lt;&gt;"",'Q22027'!E9&lt;&gt;""),"Q22027","")</f>
        <v/>
      </c>
      <c r="I88" t="str">
        <f>IF(A88="Q12027",COUNTIF($A$2:$A88,"Q12027"),"")</f>
        <v/>
      </c>
      <c r="J88" t="str">
        <f>IF(A88="Q22027",COUNTIF($A$2:$A88,"Q22027"),"")</f>
        <v/>
      </c>
      <c r="K88" t="str">
        <f>IF(A88="Q32027",COUNTIF($A$2:$A88,"Q32027"),"")</f>
        <v/>
      </c>
      <c r="L88" t="str">
        <f>IF(A88="Q42027",COUNTIF($A$2:$A88,"Q42027"),"")</f>
        <v/>
      </c>
      <c r="M88" t="str">
        <f>IF(A88="Backlog",COUNTIF($A$2:$A88,"Backlog"),"")</f>
        <v/>
      </c>
    </row>
    <row r="89" spans="1:13">
      <c r="A89" t="str">
        <f>IF(AND('Q22027'!B10&lt;&gt;"",'Q22027'!E10&lt;&gt;""),'Q22027'!E10,"")</f>
        <v/>
      </c>
      <c r="B89" t="str">
        <f>IF(AND('Q22027'!B10&lt;&gt;"",'Q22027'!E10&lt;&gt;""),'Q22027'!B10,"")</f>
        <v/>
      </c>
      <c r="C89" t="str">
        <f>IF(AND('Q22027'!B10&lt;&gt;"",'Q22027'!E10&lt;&gt;""),'Q22027'!C10,"")</f>
        <v/>
      </c>
      <c r="D89" t="str">
        <f>IF(AND('Q22027'!B10&lt;&gt;"",'Q22027'!E10&lt;&gt;""),'Q22027'!D10,"")</f>
        <v/>
      </c>
      <c r="E89" t="str">
        <f>IF(AND('Q22027'!B10&lt;&gt;"",'Q22027'!E10&lt;&gt;""),'Q22027'!H10,"")</f>
        <v/>
      </c>
      <c r="F89" t="str">
        <f>IF(AND('Q22027'!B10&lt;&gt;"",'Q22027'!E10&lt;&gt;""),'Q22027'!F10,"")</f>
        <v/>
      </c>
      <c r="G89" t="str">
        <f>IF(AND('Q22027'!B10&lt;&gt;"",'Q22027'!E10&lt;&gt;""),'Q22027'!G10,"")</f>
        <v/>
      </c>
      <c r="H89" t="str">
        <f>IF(AND('Q22027'!B10&lt;&gt;"",'Q22027'!E10&lt;&gt;""),"Q22027","")</f>
        <v/>
      </c>
      <c r="I89" t="str">
        <f>IF(A89="Q12027",COUNTIF($A$2:$A89,"Q12027"),"")</f>
        <v/>
      </c>
      <c r="J89" t="str">
        <f>IF(A89="Q22027",COUNTIF($A$2:$A89,"Q22027"),"")</f>
        <v/>
      </c>
      <c r="K89" t="str">
        <f>IF(A89="Q32027",COUNTIF($A$2:$A89,"Q32027"),"")</f>
        <v/>
      </c>
      <c r="L89" t="str">
        <f>IF(A89="Q42027",COUNTIF($A$2:$A89,"Q42027"),"")</f>
        <v/>
      </c>
      <c r="M89" t="str">
        <f>IF(A89="Backlog",COUNTIF($A$2:$A89,"Backlog"),"")</f>
        <v/>
      </c>
    </row>
    <row r="90" spans="1:13">
      <c r="A90" t="str">
        <f>IF(AND('Q22027'!B11&lt;&gt;"",'Q22027'!E11&lt;&gt;""),'Q22027'!E11,"")</f>
        <v/>
      </c>
      <c r="B90" t="str">
        <f>IF(AND('Q22027'!B11&lt;&gt;"",'Q22027'!E11&lt;&gt;""),'Q22027'!B11,"")</f>
        <v/>
      </c>
      <c r="C90" t="str">
        <f>IF(AND('Q22027'!B11&lt;&gt;"",'Q22027'!E11&lt;&gt;""),'Q22027'!C11,"")</f>
        <v/>
      </c>
      <c r="D90" t="str">
        <f>IF(AND('Q22027'!B11&lt;&gt;"",'Q22027'!E11&lt;&gt;""),'Q22027'!D11,"")</f>
        <v/>
      </c>
      <c r="E90" t="str">
        <f>IF(AND('Q22027'!B11&lt;&gt;"",'Q22027'!E11&lt;&gt;""),'Q22027'!H11,"")</f>
        <v/>
      </c>
      <c r="F90" t="str">
        <f>IF(AND('Q22027'!B11&lt;&gt;"",'Q22027'!E11&lt;&gt;""),'Q22027'!F11,"")</f>
        <v/>
      </c>
      <c r="G90" t="str">
        <f>IF(AND('Q22027'!B11&lt;&gt;"",'Q22027'!E11&lt;&gt;""),'Q22027'!G11,"")</f>
        <v/>
      </c>
      <c r="H90" t="str">
        <f>IF(AND('Q22027'!B11&lt;&gt;"",'Q22027'!E11&lt;&gt;""),"Q22027","")</f>
        <v/>
      </c>
      <c r="I90" t="str">
        <f>IF(A90="Q12027",COUNTIF($A$2:$A90,"Q12027"),"")</f>
        <v/>
      </c>
      <c r="J90" t="str">
        <f>IF(A90="Q22027",COUNTIF($A$2:$A90,"Q22027"),"")</f>
        <v/>
      </c>
      <c r="K90" t="str">
        <f>IF(A90="Q32027",COUNTIF($A$2:$A90,"Q32027"),"")</f>
        <v/>
      </c>
      <c r="L90" t="str">
        <f>IF(A90="Q42027",COUNTIF($A$2:$A90,"Q42027"),"")</f>
        <v/>
      </c>
      <c r="M90" t="str">
        <f>IF(A90="Backlog",COUNTIF($A$2:$A90,"Backlog"),"")</f>
        <v/>
      </c>
    </row>
    <row r="91" spans="1:13">
      <c r="A91" t="str">
        <f>IF(AND('Q22027'!B12&lt;&gt;"",'Q22027'!E12&lt;&gt;""),'Q22027'!E12,"")</f>
        <v/>
      </c>
      <c r="B91" t="str">
        <f>IF(AND('Q22027'!B12&lt;&gt;"",'Q22027'!E12&lt;&gt;""),'Q22027'!B12,"")</f>
        <v/>
      </c>
      <c r="C91" t="str">
        <f>IF(AND('Q22027'!B12&lt;&gt;"",'Q22027'!E12&lt;&gt;""),'Q22027'!C12,"")</f>
        <v/>
      </c>
      <c r="D91" t="str">
        <f>IF(AND('Q22027'!B12&lt;&gt;"",'Q22027'!E12&lt;&gt;""),'Q22027'!D12,"")</f>
        <v/>
      </c>
      <c r="E91" t="str">
        <f>IF(AND('Q22027'!B12&lt;&gt;"",'Q22027'!E12&lt;&gt;""),'Q22027'!H12,"")</f>
        <v/>
      </c>
      <c r="F91" t="str">
        <f>IF(AND('Q22027'!B12&lt;&gt;"",'Q22027'!E12&lt;&gt;""),'Q22027'!F12,"")</f>
        <v/>
      </c>
      <c r="G91" t="str">
        <f>IF(AND('Q22027'!B12&lt;&gt;"",'Q22027'!E12&lt;&gt;""),'Q22027'!G12,"")</f>
        <v/>
      </c>
      <c r="H91" t="str">
        <f>IF(AND('Q22027'!B12&lt;&gt;"",'Q22027'!E12&lt;&gt;""),"Q22027","")</f>
        <v/>
      </c>
      <c r="I91" t="str">
        <f>IF(A91="Q12027",COUNTIF($A$2:$A91,"Q12027"),"")</f>
        <v/>
      </c>
      <c r="J91" t="str">
        <f>IF(A91="Q22027",COUNTIF($A$2:$A91,"Q22027"),"")</f>
        <v/>
      </c>
      <c r="K91" t="str">
        <f>IF(A91="Q32027",COUNTIF($A$2:$A91,"Q32027"),"")</f>
        <v/>
      </c>
      <c r="L91" t="str">
        <f>IF(A91="Q42027",COUNTIF($A$2:$A91,"Q42027"),"")</f>
        <v/>
      </c>
      <c r="M91" t="str">
        <f>IF(A91="Backlog",COUNTIF($A$2:$A91,"Backlog"),"")</f>
        <v/>
      </c>
    </row>
    <row r="92" spans="1:13">
      <c r="A92" t="str">
        <f>IF(AND('Q22027'!B13&lt;&gt;"",'Q22027'!E13&lt;&gt;""),'Q22027'!E13,"")</f>
        <v/>
      </c>
      <c r="B92" t="str">
        <f>IF(AND('Q22027'!B13&lt;&gt;"",'Q22027'!E13&lt;&gt;""),'Q22027'!B13,"")</f>
        <v/>
      </c>
      <c r="C92" t="str">
        <f>IF(AND('Q22027'!B13&lt;&gt;"",'Q22027'!E13&lt;&gt;""),'Q22027'!C13,"")</f>
        <v/>
      </c>
      <c r="D92" t="str">
        <f>IF(AND('Q22027'!B13&lt;&gt;"",'Q22027'!E13&lt;&gt;""),'Q22027'!D13,"")</f>
        <v/>
      </c>
      <c r="E92" t="str">
        <f>IF(AND('Q22027'!B13&lt;&gt;"",'Q22027'!E13&lt;&gt;""),'Q22027'!H13,"")</f>
        <v/>
      </c>
      <c r="F92" t="str">
        <f>IF(AND('Q22027'!B13&lt;&gt;"",'Q22027'!E13&lt;&gt;""),'Q22027'!F13,"")</f>
        <v/>
      </c>
      <c r="G92" t="str">
        <f>IF(AND('Q22027'!B13&lt;&gt;"",'Q22027'!E13&lt;&gt;""),'Q22027'!G13,"")</f>
        <v/>
      </c>
      <c r="H92" t="str">
        <f>IF(AND('Q22027'!B13&lt;&gt;"",'Q22027'!E13&lt;&gt;""),"Q22027","")</f>
        <v/>
      </c>
      <c r="I92" t="str">
        <f>IF(A92="Q12027",COUNTIF($A$2:$A92,"Q12027"),"")</f>
        <v/>
      </c>
      <c r="J92" t="str">
        <f>IF(A92="Q22027",COUNTIF($A$2:$A92,"Q22027"),"")</f>
        <v/>
      </c>
      <c r="K92" t="str">
        <f>IF(A92="Q32027",COUNTIF($A$2:$A92,"Q32027"),"")</f>
        <v/>
      </c>
      <c r="L92" t="str">
        <f>IF(A92="Q42027",COUNTIF($A$2:$A92,"Q42027"),"")</f>
        <v/>
      </c>
      <c r="M92" t="str">
        <f>IF(A92="Backlog",COUNTIF($A$2:$A92,"Backlog"),"")</f>
        <v/>
      </c>
    </row>
    <row r="93" spans="1:13">
      <c r="A93" t="str">
        <f>IF(AND('Q22027'!B14&lt;&gt;"",'Q22027'!E14&lt;&gt;""),'Q22027'!E14,"")</f>
        <v/>
      </c>
      <c r="B93" t="str">
        <f>IF(AND('Q22027'!B14&lt;&gt;"",'Q22027'!E14&lt;&gt;""),'Q22027'!B14,"")</f>
        <v/>
      </c>
      <c r="C93" t="str">
        <f>IF(AND('Q22027'!B14&lt;&gt;"",'Q22027'!E14&lt;&gt;""),'Q22027'!C14,"")</f>
        <v/>
      </c>
      <c r="D93" t="str">
        <f>IF(AND('Q22027'!B14&lt;&gt;"",'Q22027'!E14&lt;&gt;""),'Q22027'!D14,"")</f>
        <v/>
      </c>
      <c r="E93" t="str">
        <f>IF(AND('Q22027'!B14&lt;&gt;"",'Q22027'!E14&lt;&gt;""),'Q22027'!H14,"")</f>
        <v/>
      </c>
      <c r="F93" t="str">
        <f>IF(AND('Q22027'!B14&lt;&gt;"",'Q22027'!E14&lt;&gt;""),'Q22027'!F14,"")</f>
        <v/>
      </c>
      <c r="G93" t="str">
        <f>IF(AND('Q22027'!B14&lt;&gt;"",'Q22027'!E14&lt;&gt;""),'Q22027'!G14,"")</f>
        <v/>
      </c>
      <c r="H93" t="str">
        <f>IF(AND('Q22027'!B14&lt;&gt;"",'Q22027'!E14&lt;&gt;""),"Q22027","")</f>
        <v/>
      </c>
      <c r="I93" t="str">
        <f>IF(A93="Q12027",COUNTIF($A$2:$A93,"Q12027"),"")</f>
        <v/>
      </c>
      <c r="J93" t="str">
        <f>IF(A93="Q22027",COUNTIF($A$2:$A93,"Q22027"),"")</f>
        <v/>
      </c>
      <c r="K93" t="str">
        <f>IF(A93="Q32027",COUNTIF($A$2:$A93,"Q32027"),"")</f>
        <v/>
      </c>
      <c r="L93" t="str">
        <f>IF(A93="Q42027",COUNTIF($A$2:$A93,"Q42027"),"")</f>
        <v/>
      </c>
      <c r="M93" t="str">
        <f>IF(A93="Backlog",COUNTIF($A$2:$A93,"Backlog"),"")</f>
        <v/>
      </c>
    </row>
    <row r="94" spans="1:13">
      <c r="A94" t="str">
        <f>IF(AND('Q22027'!B15&lt;&gt;"",'Q22027'!E15&lt;&gt;""),'Q22027'!E15,"")</f>
        <v/>
      </c>
      <c r="B94" t="str">
        <f>IF(AND('Q22027'!B15&lt;&gt;"",'Q22027'!E15&lt;&gt;""),'Q22027'!B15,"")</f>
        <v/>
      </c>
      <c r="C94" t="str">
        <f>IF(AND('Q22027'!B15&lt;&gt;"",'Q22027'!E15&lt;&gt;""),'Q22027'!C15,"")</f>
        <v/>
      </c>
      <c r="D94" t="str">
        <f>IF(AND('Q22027'!B15&lt;&gt;"",'Q22027'!E15&lt;&gt;""),'Q22027'!D15,"")</f>
        <v/>
      </c>
      <c r="E94" t="str">
        <f>IF(AND('Q22027'!B15&lt;&gt;"",'Q22027'!E15&lt;&gt;""),'Q22027'!H15,"")</f>
        <v/>
      </c>
      <c r="F94" t="str">
        <f>IF(AND('Q22027'!B15&lt;&gt;"",'Q22027'!E15&lt;&gt;""),'Q22027'!F15,"")</f>
        <v/>
      </c>
      <c r="G94" t="str">
        <f>IF(AND('Q22027'!B15&lt;&gt;"",'Q22027'!E15&lt;&gt;""),'Q22027'!G15,"")</f>
        <v/>
      </c>
      <c r="H94" t="str">
        <f>IF(AND('Q22027'!B15&lt;&gt;"",'Q22027'!E15&lt;&gt;""),"Q22027","")</f>
        <v/>
      </c>
      <c r="I94" t="str">
        <f>IF(A94="Q12027",COUNTIF($A$2:$A94,"Q12027"),"")</f>
        <v/>
      </c>
      <c r="J94" t="str">
        <f>IF(A94="Q22027",COUNTIF($A$2:$A94,"Q22027"),"")</f>
        <v/>
      </c>
      <c r="K94" t="str">
        <f>IF(A94="Q32027",COUNTIF($A$2:$A94,"Q32027"),"")</f>
        <v/>
      </c>
      <c r="L94" t="str">
        <f>IF(A94="Q42027",COUNTIF($A$2:$A94,"Q42027"),"")</f>
        <v/>
      </c>
      <c r="M94" t="str">
        <f>IF(A94="Backlog",COUNTIF($A$2:$A94,"Backlog"),"")</f>
        <v/>
      </c>
    </row>
    <row r="95" spans="1:13">
      <c r="A95" t="str">
        <f>IF(AND('Q22027'!B16&lt;&gt;"",'Q22027'!E16&lt;&gt;""),'Q22027'!E16,"")</f>
        <v/>
      </c>
      <c r="B95" t="str">
        <f>IF(AND('Q22027'!B16&lt;&gt;"",'Q22027'!E16&lt;&gt;""),'Q22027'!B16,"")</f>
        <v/>
      </c>
      <c r="C95" t="str">
        <f>IF(AND('Q22027'!B16&lt;&gt;"",'Q22027'!E16&lt;&gt;""),'Q22027'!C16,"")</f>
        <v/>
      </c>
      <c r="D95" t="str">
        <f>IF(AND('Q22027'!B16&lt;&gt;"",'Q22027'!E16&lt;&gt;""),'Q22027'!D16,"")</f>
        <v/>
      </c>
      <c r="E95" t="str">
        <f>IF(AND('Q22027'!B16&lt;&gt;"",'Q22027'!E16&lt;&gt;""),'Q22027'!H16,"")</f>
        <v/>
      </c>
      <c r="F95" t="str">
        <f>IF(AND('Q22027'!B16&lt;&gt;"",'Q22027'!E16&lt;&gt;""),'Q22027'!F16,"")</f>
        <v/>
      </c>
      <c r="G95" t="str">
        <f>IF(AND('Q22027'!B16&lt;&gt;"",'Q22027'!E16&lt;&gt;""),'Q22027'!G16,"")</f>
        <v/>
      </c>
      <c r="H95" t="str">
        <f>IF(AND('Q22027'!B16&lt;&gt;"",'Q22027'!E16&lt;&gt;""),"Q22027","")</f>
        <v/>
      </c>
      <c r="I95" t="str">
        <f>IF(A95="Q12027",COUNTIF($A$2:$A95,"Q12027"),"")</f>
        <v/>
      </c>
      <c r="J95" t="str">
        <f>IF(A95="Q22027",COUNTIF($A$2:$A95,"Q22027"),"")</f>
        <v/>
      </c>
      <c r="K95" t="str">
        <f>IF(A95="Q32027",COUNTIF($A$2:$A95,"Q32027"),"")</f>
        <v/>
      </c>
      <c r="L95" t="str">
        <f>IF(A95="Q42027",COUNTIF($A$2:$A95,"Q42027"),"")</f>
        <v/>
      </c>
      <c r="M95" t="str">
        <f>IF(A95="Backlog",COUNTIF($A$2:$A95,"Backlog"),"")</f>
        <v/>
      </c>
    </row>
    <row r="96" spans="1:13">
      <c r="A96" t="str">
        <f>IF(AND('Q22027'!B17&lt;&gt;"",'Q22027'!E17&lt;&gt;""),'Q22027'!E17,"")</f>
        <v/>
      </c>
      <c r="B96" t="str">
        <f>IF(AND('Q22027'!B17&lt;&gt;"",'Q22027'!E17&lt;&gt;""),'Q22027'!B17,"")</f>
        <v/>
      </c>
      <c r="C96" t="str">
        <f>IF(AND('Q22027'!B17&lt;&gt;"",'Q22027'!E17&lt;&gt;""),'Q22027'!C17,"")</f>
        <v/>
      </c>
      <c r="D96" t="str">
        <f>IF(AND('Q22027'!B17&lt;&gt;"",'Q22027'!E17&lt;&gt;""),'Q22027'!D17,"")</f>
        <v/>
      </c>
      <c r="E96" t="str">
        <f>IF(AND('Q22027'!B17&lt;&gt;"",'Q22027'!E17&lt;&gt;""),'Q22027'!H17,"")</f>
        <v/>
      </c>
      <c r="F96" t="str">
        <f>IF(AND('Q22027'!B17&lt;&gt;"",'Q22027'!E17&lt;&gt;""),'Q22027'!F17,"")</f>
        <v/>
      </c>
      <c r="G96" t="str">
        <f>IF(AND('Q22027'!B17&lt;&gt;"",'Q22027'!E17&lt;&gt;""),'Q22027'!G17,"")</f>
        <v/>
      </c>
      <c r="H96" t="str">
        <f>IF(AND('Q22027'!B17&lt;&gt;"",'Q22027'!E17&lt;&gt;""),"Q22027","")</f>
        <v/>
      </c>
      <c r="I96" t="str">
        <f>IF(A96="Q12027",COUNTIF($A$2:$A96,"Q12027"),"")</f>
        <v/>
      </c>
      <c r="J96" t="str">
        <f>IF(A96="Q22027",COUNTIF($A$2:$A96,"Q22027"),"")</f>
        <v/>
      </c>
      <c r="K96" t="str">
        <f>IF(A96="Q32027",COUNTIF($A$2:$A96,"Q32027"),"")</f>
        <v/>
      </c>
      <c r="L96" t="str">
        <f>IF(A96="Q42027",COUNTIF($A$2:$A96,"Q42027"),"")</f>
        <v/>
      </c>
      <c r="M96" t="str">
        <f>IF(A96="Backlog",COUNTIF($A$2:$A96,"Backlog"),"")</f>
        <v/>
      </c>
    </row>
    <row r="97" spans="1:13">
      <c r="A97" t="str">
        <f>IF(AND('Q22027'!B18&lt;&gt;"",'Q22027'!E18&lt;&gt;""),'Q22027'!E18,"")</f>
        <v/>
      </c>
      <c r="B97" t="str">
        <f>IF(AND('Q22027'!B18&lt;&gt;"",'Q22027'!E18&lt;&gt;""),'Q22027'!B18,"")</f>
        <v/>
      </c>
      <c r="C97" t="str">
        <f>IF(AND('Q22027'!B18&lt;&gt;"",'Q22027'!E18&lt;&gt;""),'Q22027'!C18,"")</f>
        <v/>
      </c>
      <c r="D97" t="str">
        <f>IF(AND('Q22027'!B18&lt;&gt;"",'Q22027'!E18&lt;&gt;""),'Q22027'!D18,"")</f>
        <v/>
      </c>
      <c r="E97" t="str">
        <f>IF(AND('Q22027'!B18&lt;&gt;"",'Q22027'!E18&lt;&gt;""),'Q22027'!H18,"")</f>
        <v/>
      </c>
      <c r="F97" t="str">
        <f>IF(AND('Q22027'!B18&lt;&gt;"",'Q22027'!E18&lt;&gt;""),'Q22027'!F18,"")</f>
        <v/>
      </c>
      <c r="G97" t="str">
        <f>IF(AND('Q22027'!B18&lt;&gt;"",'Q22027'!E18&lt;&gt;""),'Q22027'!G18,"")</f>
        <v/>
      </c>
      <c r="H97" t="str">
        <f>IF(AND('Q22027'!B18&lt;&gt;"",'Q22027'!E18&lt;&gt;""),"Q22027","")</f>
        <v/>
      </c>
      <c r="I97" t="str">
        <f>IF(A97="Q12027",COUNTIF($A$2:$A97,"Q12027"),"")</f>
        <v/>
      </c>
      <c r="J97" t="str">
        <f>IF(A97="Q22027",COUNTIF($A$2:$A97,"Q22027"),"")</f>
        <v/>
      </c>
      <c r="K97" t="str">
        <f>IF(A97="Q32027",COUNTIF($A$2:$A97,"Q32027"),"")</f>
        <v/>
      </c>
      <c r="L97" t="str">
        <f>IF(A97="Q42027",COUNTIF($A$2:$A97,"Q42027"),"")</f>
        <v/>
      </c>
      <c r="M97" t="str">
        <f>IF(A97="Backlog",COUNTIF($A$2:$A97,"Backlog"),"")</f>
        <v/>
      </c>
    </row>
    <row r="98" spans="1:13">
      <c r="A98" t="str">
        <f>IF(AND('Q22027'!B19&lt;&gt;"",'Q22027'!E19&lt;&gt;""),'Q22027'!E19,"")</f>
        <v/>
      </c>
      <c r="B98" t="str">
        <f>IF(AND('Q22027'!B19&lt;&gt;"",'Q22027'!E19&lt;&gt;""),'Q22027'!B19,"")</f>
        <v/>
      </c>
      <c r="C98" t="str">
        <f>IF(AND('Q22027'!B19&lt;&gt;"",'Q22027'!E19&lt;&gt;""),'Q22027'!C19,"")</f>
        <v/>
      </c>
      <c r="D98" t="str">
        <f>IF(AND('Q22027'!B19&lt;&gt;"",'Q22027'!E19&lt;&gt;""),'Q22027'!D19,"")</f>
        <v/>
      </c>
      <c r="E98" t="str">
        <f>IF(AND('Q22027'!B19&lt;&gt;"",'Q22027'!E19&lt;&gt;""),'Q22027'!H19,"")</f>
        <v/>
      </c>
      <c r="F98" t="str">
        <f>IF(AND('Q22027'!B19&lt;&gt;"",'Q22027'!E19&lt;&gt;""),'Q22027'!F19,"")</f>
        <v/>
      </c>
      <c r="G98" t="str">
        <f>IF(AND('Q22027'!B19&lt;&gt;"",'Q22027'!E19&lt;&gt;""),'Q22027'!G19,"")</f>
        <v/>
      </c>
      <c r="H98" t="str">
        <f>IF(AND('Q22027'!B19&lt;&gt;"",'Q22027'!E19&lt;&gt;""),"Q22027","")</f>
        <v/>
      </c>
      <c r="I98" t="str">
        <f>IF(A98="Q12027",COUNTIF($A$2:$A98,"Q12027"),"")</f>
        <v/>
      </c>
      <c r="J98" t="str">
        <f>IF(A98="Q22027",COUNTIF($A$2:$A98,"Q22027"),"")</f>
        <v/>
      </c>
      <c r="K98" t="str">
        <f>IF(A98="Q32027",COUNTIF($A$2:$A98,"Q32027"),"")</f>
        <v/>
      </c>
      <c r="L98" t="str">
        <f>IF(A98="Q42027",COUNTIF($A$2:$A98,"Q42027"),"")</f>
        <v/>
      </c>
      <c r="M98" t="str">
        <f>IF(A98="Backlog",COUNTIF($A$2:$A98,"Backlog"),"")</f>
        <v/>
      </c>
    </row>
    <row r="99" spans="1:13">
      <c r="A99" t="str">
        <f>IF(AND('Q22027'!B20&lt;&gt;"",'Q22027'!E20&lt;&gt;""),'Q22027'!E20,"")</f>
        <v/>
      </c>
      <c r="B99" t="str">
        <f>IF(AND('Q22027'!B20&lt;&gt;"",'Q22027'!E20&lt;&gt;""),'Q22027'!B20,"")</f>
        <v/>
      </c>
      <c r="C99" t="str">
        <f>IF(AND('Q22027'!B20&lt;&gt;"",'Q22027'!E20&lt;&gt;""),'Q22027'!C20,"")</f>
        <v/>
      </c>
      <c r="D99" t="str">
        <f>IF(AND('Q22027'!B20&lt;&gt;"",'Q22027'!E20&lt;&gt;""),'Q22027'!D20,"")</f>
        <v/>
      </c>
      <c r="E99" t="str">
        <f>IF(AND('Q22027'!B20&lt;&gt;"",'Q22027'!E20&lt;&gt;""),'Q22027'!H20,"")</f>
        <v/>
      </c>
      <c r="F99" t="str">
        <f>IF(AND('Q22027'!B20&lt;&gt;"",'Q22027'!E20&lt;&gt;""),'Q22027'!F20,"")</f>
        <v/>
      </c>
      <c r="G99" t="str">
        <f>IF(AND('Q22027'!B20&lt;&gt;"",'Q22027'!E20&lt;&gt;""),'Q22027'!G20,"")</f>
        <v/>
      </c>
      <c r="H99" t="str">
        <f>IF(AND('Q22027'!B20&lt;&gt;"",'Q22027'!E20&lt;&gt;""),"Q22027","")</f>
        <v/>
      </c>
      <c r="I99" t="str">
        <f>IF(A99="Q12027",COUNTIF($A$2:$A99,"Q12027"),"")</f>
        <v/>
      </c>
      <c r="J99" t="str">
        <f>IF(A99="Q22027",COUNTIF($A$2:$A99,"Q22027"),"")</f>
        <v/>
      </c>
      <c r="K99" t="str">
        <f>IF(A99="Q32027",COUNTIF($A$2:$A99,"Q32027"),"")</f>
        <v/>
      </c>
      <c r="L99" t="str">
        <f>IF(A99="Q42027",COUNTIF($A$2:$A99,"Q42027"),"")</f>
        <v/>
      </c>
      <c r="M99" t="str">
        <f>IF(A99="Backlog",COUNTIF($A$2:$A99,"Backlog"),"")</f>
        <v/>
      </c>
    </row>
    <row r="100" spans="1:13">
      <c r="A100" t="str">
        <f>IF(AND('Q22027'!B21&lt;&gt;"",'Q22027'!E21&lt;&gt;""),'Q22027'!E21,"")</f>
        <v/>
      </c>
      <c r="B100" t="str">
        <f>IF(AND('Q22027'!B21&lt;&gt;"",'Q22027'!E21&lt;&gt;""),'Q22027'!B21,"")</f>
        <v/>
      </c>
      <c r="C100" t="str">
        <f>IF(AND('Q22027'!B21&lt;&gt;"",'Q22027'!E21&lt;&gt;""),'Q22027'!C21,"")</f>
        <v/>
      </c>
      <c r="D100" t="str">
        <f>IF(AND('Q22027'!B21&lt;&gt;"",'Q22027'!E21&lt;&gt;""),'Q22027'!D21,"")</f>
        <v/>
      </c>
      <c r="E100" t="str">
        <f>IF(AND('Q22027'!B21&lt;&gt;"",'Q22027'!E21&lt;&gt;""),'Q22027'!H21,"")</f>
        <v/>
      </c>
      <c r="F100" t="str">
        <f>IF(AND('Q22027'!B21&lt;&gt;"",'Q22027'!E21&lt;&gt;""),'Q22027'!F21,"")</f>
        <v/>
      </c>
      <c r="G100" t="str">
        <f>IF(AND('Q22027'!B21&lt;&gt;"",'Q22027'!E21&lt;&gt;""),'Q22027'!G21,"")</f>
        <v/>
      </c>
      <c r="H100" t="str">
        <f>IF(AND('Q22027'!B21&lt;&gt;"",'Q22027'!E21&lt;&gt;""),"Q22027","")</f>
        <v/>
      </c>
      <c r="I100" t="str">
        <f>IF(A100="Q12027",COUNTIF($A$2:$A100,"Q12027"),"")</f>
        <v/>
      </c>
      <c r="J100" t="str">
        <f>IF(A100="Q22027",COUNTIF($A$2:$A100,"Q22027"),"")</f>
        <v/>
      </c>
      <c r="K100" t="str">
        <f>IF(A100="Q32027",COUNTIF($A$2:$A100,"Q32027"),"")</f>
        <v/>
      </c>
      <c r="L100" t="str">
        <f>IF(A100="Q42027",COUNTIF($A$2:$A100,"Q42027"),"")</f>
        <v/>
      </c>
      <c r="M100" t="str">
        <f>IF(A100="Backlog",COUNTIF($A$2:$A100,"Backlog"),"")</f>
        <v/>
      </c>
    </row>
    <row r="101" spans="1:13">
      <c r="A101" t="str">
        <f>IF(AND('Q22027'!B22&lt;&gt;"",'Q22027'!E22&lt;&gt;""),'Q22027'!E22,"")</f>
        <v/>
      </c>
      <c r="B101" t="str">
        <f>IF(AND('Q22027'!B22&lt;&gt;"",'Q22027'!E22&lt;&gt;""),'Q22027'!B22,"")</f>
        <v/>
      </c>
      <c r="C101" t="str">
        <f>IF(AND('Q22027'!B22&lt;&gt;"",'Q22027'!E22&lt;&gt;""),'Q22027'!C22,"")</f>
        <v/>
      </c>
      <c r="D101" t="str">
        <f>IF(AND('Q22027'!B22&lt;&gt;"",'Q22027'!E22&lt;&gt;""),'Q22027'!D22,"")</f>
        <v/>
      </c>
      <c r="E101" t="str">
        <f>IF(AND('Q22027'!B22&lt;&gt;"",'Q22027'!E22&lt;&gt;""),'Q22027'!H22,"")</f>
        <v/>
      </c>
      <c r="F101" t="str">
        <f>IF(AND('Q22027'!B22&lt;&gt;"",'Q22027'!E22&lt;&gt;""),'Q22027'!F22,"")</f>
        <v/>
      </c>
      <c r="G101" t="str">
        <f>IF(AND('Q22027'!B22&lt;&gt;"",'Q22027'!E22&lt;&gt;""),'Q22027'!G22,"")</f>
        <v/>
      </c>
      <c r="H101" t="str">
        <f>IF(AND('Q22027'!B22&lt;&gt;"",'Q22027'!E22&lt;&gt;""),"Q22027","")</f>
        <v/>
      </c>
      <c r="I101" t="str">
        <f>IF(A101="Q12027",COUNTIF($A$2:$A101,"Q12027"),"")</f>
        <v/>
      </c>
      <c r="J101" t="str">
        <f>IF(A101="Q22027",COUNTIF($A$2:$A101,"Q22027"),"")</f>
        <v/>
      </c>
      <c r="K101" t="str">
        <f>IF(A101="Q32027",COUNTIF($A$2:$A101,"Q32027"),"")</f>
        <v/>
      </c>
      <c r="L101" t="str">
        <f>IF(A101="Q42027",COUNTIF($A$2:$A101,"Q42027"),"")</f>
        <v/>
      </c>
      <c r="M101" t="str">
        <f>IF(A101="Backlog",COUNTIF($A$2:$A101,"Backlog"),"")</f>
        <v/>
      </c>
    </row>
    <row r="102" spans="1:13">
      <c r="A102" t="str">
        <f>IF(AND('Q22027'!B23&lt;&gt;"",'Q22027'!E23&lt;&gt;""),'Q22027'!E23,"")</f>
        <v/>
      </c>
      <c r="B102" t="str">
        <f>IF(AND('Q22027'!B23&lt;&gt;"",'Q22027'!E23&lt;&gt;""),'Q22027'!B23,"")</f>
        <v/>
      </c>
      <c r="C102" t="str">
        <f>IF(AND('Q22027'!B23&lt;&gt;"",'Q22027'!E23&lt;&gt;""),'Q22027'!C23,"")</f>
        <v/>
      </c>
      <c r="D102" t="str">
        <f>IF(AND('Q22027'!B23&lt;&gt;"",'Q22027'!E23&lt;&gt;""),'Q22027'!D23,"")</f>
        <v/>
      </c>
      <c r="E102" t="str">
        <f>IF(AND('Q22027'!B23&lt;&gt;"",'Q22027'!E23&lt;&gt;""),'Q22027'!H23,"")</f>
        <v/>
      </c>
      <c r="F102" t="str">
        <f>IF(AND('Q22027'!B23&lt;&gt;"",'Q22027'!E23&lt;&gt;""),'Q22027'!F23,"")</f>
        <v/>
      </c>
      <c r="G102" t="str">
        <f>IF(AND('Q22027'!B23&lt;&gt;"",'Q22027'!E23&lt;&gt;""),'Q22027'!G23,"")</f>
        <v/>
      </c>
      <c r="H102" t="str">
        <f>IF(AND('Q22027'!B23&lt;&gt;"",'Q22027'!E23&lt;&gt;""),"Q22027","")</f>
        <v/>
      </c>
      <c r="I102" t="str">
        <f>IF(A102="Q12027",COUNTIF($A$2:$A102,"Q12027"),"")</f>
        <v/>
      </c>
      <c r="J102" t="str">
        <f>IF(A102="Q22027",COUNTIF($A$2:$A102,"Q22027"),"")</f>
        <v/>
      </c>
      <c r="K102" t="str">
        <f>IF(A102="Q32027",COUNTIF($A$2:$A102,"Q32027"),"")</f>
        <v/>
      </c>
      <c r="L102" t="str">
        <f>IF(A102="Q42027",COUNTIF($A$2:$A102,"Q42027"),"")</f>
        <v/>
      </c>
      <c r="M102" t="str">
        <f>IF(A102="Backlog",COUNTIF($A$2:$A102,"Backlog"),"")</f>
        <v/>
      </c>
    </row>
    <row r="103" spans="1:13">
      <c r="A103" t="str">
        <f>IF(AND('Q22027'!B24&lt;&gt;"",'Q22027'!E24&lt;&gt;""),'Q22027'!E24,"")</f>
        <v/>
      </c>
      <c r="B103" t="str">
        <f>IF(AND('Q22027'!B24&lt;&gt;"",'Q22027'!E24&lt;&gt;""),'Q22027'!B24,"")</f>
        <v/>
      </c>
      <c r="C103" t="str">
        <f>IF(AND('Q22027'!B24&lt;&gt;"",'Q22027'!E24&lt;&gt;""),'Q22027'!C24,"")</f>
        <v/>
      </c>
      <c r="D103" t="str">
        <f>IF(AND('Q22027'!B24&lt;&gt;"",'Q22027'!E24&lt;&gt;""),'Q22027'!D24,"")</f>
        <v/>
      </c>
      <c r="E103" t="str">
        <f>IF(AND('Q22027'!B24&lt;&gt;"",'Q22027'!E24&lt;&gt;""),'Q22027'!H24,"")</f>
        <v/>
      </c>
      <c r="F103" t="str">
        <f>IF(AND('Q22027'!B24&lt;&gt;"",'Q22027'!E24&lt;&gt;""),'Q22027'!F24,"")</f>
        <v/>
      </c>
      <c r="G103" t="str">
        <f>IF(AND('Q22027'!B24&lt;&gt;"",'Q22027'!E24&lt;&gt;""),'Q22027'!G24,"")</f>
        <v/>
      </c>
      <c r="H103" t="str">
        <f>IF(AND('Q22027'!B24&lt;&gt;"",'Q22027'!E24&lt;&gt;""),"Q22027","")</f>
        <v/>
      </c>
      <c r="I103" t="str">
        <f>IF(A103="Q12027",COUNTIF($A$2:$A103,"Q12027"),"")</f>
        <v/>
      </c>
      <c r="J103" t="str">
        <f>IF(A103="Q22027",COUNTIF($A$2:$A103,"Q22027"),"")</f>
        <v/>
      </c>
      <c r="K103" t="str">
        <f>IF(A103="Q32027",COUNTIF($A$2:$A103,"Q32027"),"")</f>
        <v/>
      </c>
      <c r="L103" t="str">
        <f>IF(A103="Q42027",COUNTIF($A$2:$A103,"Q42027"),"")</f>
        <v/>
      </c>
      <c r="M103" t="str">
        <f>IF(A103="Backlog",COUNTIF($A$2:$A103,"Backlog"),"")</f>
        <v/>
      </c>
    </row>
    <row r="104" spans="1:13">
      <c r="A104" t="str">
        <f>IF(AND('Q22027'!B25&lt;&gt;"",'Q22027'!E25&lt;&gt;""),'Q22027'!E25,"")</f>
        <v/>
      </c>
      <c r="B104" t="str">
        <f>IF(AND('Q22027'!B25&lt;&gt;"",'Q22027'!E25&lt;&gt;""),'Q22027'!B25,"")</f>
        <v/>
      </c>
      <c r="C104" t="str">
        <f>IF(AND('Q22027'!B25&lt;&gt;"",'Q22027'!E25&lt;&gt;""),'Q22027'!C25,"")</f>
        <v/>
      </c>
      <c r="D104" t="str">
        <f>IF(AND('Q22027'!B25&lt;&gt;"",'Q22027'!E25&lt;&gt;""),'Q22027'!D25,"")</f>
        <v/>
      </c>
      <c r="E104" t="str">
        <f>IF(AND('Q22027'!B25&lt;&gt;"",'Q22027'!E25&lt;&gt;""),'Q22027'!H25,"")</f>
        <v/>
      </c>
      <c r="F104" t="str">
        <f>IF(AND('Q22027'!B25&lt;&gt;"",'Q22027'!E25&lt;&gt;""),'Q22027'!F25,"")</f>
        <v/>
      </c>
      <c r="G104" t="str">
        <f>IF(AND('Q22027'!B25&lt;&gt;"",'Q22027'!E25&lt;&gt;""),'Q22027'!G25,"")</f>
        <v/>
      </c>
      <c r="H104" t="str">
        <f>IF(AND('Q22027'!B25&lt;&gt;"",'Q22027'!E25&lt;&gt;""),"Q22027","")</f>
        <v/>
      </c>
      <c r="I104" t="str">
        <f>IF(A104="Q12027",COUNTIF($A$2:$A104,"Q12027"),"")</f>
        <v/>
      </c>
      <c r="J104" t="str">
        <f>IF(A104="Q22027",COUNTIF($A$2:$A104,"Q22027"),"")</f>
        <v/>
      </c>
      <c r="K104" t="str">
        <f>IF(A104="Q32027",COUNTIF($A$2:$A104,"Q32027"),"")</f>
        <v/>
      </c>
      <c r="L104" t="str">
        <f>IF(A104="Q42027",COUNTIF($A$2:$A104,"Q42027"),"")</f>
        <v/>
      </c>
      <c r="M104" t="str">
        <f>IF(A104="Backlog",COUNTIF($A$2:$A104,"Backlog"),"")</f>
        <v/>
      </c>
    </row>
    <row r="105" spans="1:13">
      <c r="A105" t="str">
        <f>IF(AND('Q22027'!B26&lt;&gt;"",'Q22027'!E26&lt;&gt;""),'Q22027'!E26,"")</f>
        <v/>
      </c>
      <c r="B105" t="str">
        <f>IF(AND('Q22027'!B26&lt;&gt;"",'Q22027'!E26&lt;&gt;""),'Q22027'!B26,"")</f>
        <v/>
      </c>
      <c r="C105" t="str">
        <f>IF(AND('Q22027'!B26&lt;&gt;"",'Q22027'!E26&lt;&gt;""),'Q22027'!C26,"")</f>
        <v/>
      </c>
      <c r="D105" t="str">
        <f>IF(AND('Q22027'!B26&lt;&gt;"",'Q22027'!E26&lt;&gt;""),'Q22027'!D26,"")</f>
        <v/>
      </c>
      <c r="E105" t="str">
        <f>IF(AND('Q22027'!B26&lt;&gt;"",'Q22027'!E26&lt;&gt;""),'Q22027'!H26,"")</f>
        <v/>
      </c>
      <c r="F105" t="str">
        <f>IF(AND('Q22027'!B26&lt;&gt;"",'Q22027'!E26&lt;&gt;""),'Q22027'!F26,"")</f>
        <v/>
      </c>
      <c r="G105" t="str">
        <f>IF(AND('Q22027'!B26&lt;&gt;"",'Q22027'!E26&lt;&gt;""),'Q22027'!G26,"")</f>
        <v/>
      </c>
      <c r="H105" t="str">
        <f>IF(AND('Q22027'!B26&lt;&gt;"",'Q22027'!E26&lt;&gt;""),"Q22027","")</f>
        <v/>
      </c>
      <c r="I105" t="str">
        <f>IF(A105="Q12027",COUNTIF($A$2:$A105,"Q12027"),"")</f>
        <v/>
      </c>
      <c r="J105" t="str">
        <f>IF(A105="Q22027",COUNTIF($A$2:$A105,"Q22027"),"")</f>
        <v/>
      </c>
      <c r="K105" t="str">
        <f>IF(A105="Q32027",COUNTIF($A$2:$A105,"Q32027"),"")</f>
        <v/>
      </c>
      <c r="L105" t="str">
        <f>IF(A105="Q42027",COUNTIF($A$2:$A105,"Q42027"),"")</f>
        <v/>
      </c>
      <c r="M105" t="str">
        <f>IF(A105="Backlog",COUNTIF($A$2:$A105,"Backlog"),"")</f>
        <v/>
      </c>
    </row>
    <row r="106" spans="1:13">
      <c r="A106" t="str">
        <f>IF(AND('Q22027'!B27&lt;&gt;"",'Q22027'!E27&lt;&gt;""),'Q22027'!E27,"")</f>
        <v/>
      </c>
      <c r="B106" t="str">
        <f>IF(AND('Q22027'!B27&lt;&gt;"",'Q22027'!E27&lt;&gt;""),'Q22027'!B27,"")</f>
        <v/>
      </c>
      <c r="C106" t="str">
        <f>IF(AND('Q22027'!B27&lt;&gt;"",'Q22027'!E27&lt;&gt;""),'Q22027'!C27,"")</f>
        <v/>
      </c>
      <c r="D106" t="str">
        <f>IF(AND('Q22027'!B27&lt;&gt;"",'Q22027'!E27&lt;&gt;""),'Q22027'!D27,"")</f>
        <v/>
      </c>
      <c r="E106" t="str">
        <f>IF(AND('Q22027'!B27&lt;&gt;"",'Q22027'!E27&lt;&gt;""),'Q22027'!H27,"")</f>
        <v/>
      </c>
      <c r="F106" t="str">
        <f>IF(AND('Q22027'!B27&lt;&gt;"",'Q22027'!E27&lt;&gt;""),'Q22027'!F27,"")</f>
        <v/>
      </c>
      <c r="G106" t="str">
        <f>IF(AND('Q22027'!B27&lt;&gt;"",'Q22027'!E27&lt;&gt;""),'Q22027'!G27,"")</f>
        <v/>
      </c>
      <c r="H106" t="str">
        <f>IF(AND('Q22027'!B27&lt;&gt;"",'Q22027'!E27&lt;&gt;""),"Q22027","")</f>
        <v/>
      </c>
      <c r="I106" t="str">
        <f>IF(A106="Q12027",COUNTIF($A$2:$A106,"Q12027"),"")</f>
        <v/>
      </c>
      <c r="J106" t="str">
        <f>IF(A106="Q22027",COUNTIF($A$2:$A106,"Q22027"),"")</f>
        <v/>
      </c>
      <c r="K106" t="str">
        <f>IF(A106="Q32027",COUNTIF($A$2:$A106,"Q32027"),"")</f>
        <v/>
      </c>
      <c r="L106" t="str">
        <f>IF(A106="Q42027",COUNTIF($A$2:$A106,"Q42027"),"")</f>
        <v/>
      </c>
      <c r="M106" t="str">
        <f>IF(A106="Backlog",COUNTIF($A$2:$A106,"Backlog"),"")</f>
        <v/>
      </c>
    </row>
    <row r="107" spans="1:13">
      <c r="A107" t="str">
        <f>IF(AND('Q22027'!B28&lt;&gt;"",'Q22027'!E28&lt;&gt;""),'Q22027'!E28,"")</f>
        <v/>
      </c>
      <c r="B107" t="str">
        <f>IF(AND('Q22027'!B28&lt;&gt;"",'Q22027'!E28&lt;&gt;""),'Q22027'!B28,"")</f>
        <v/>
      </c>
      <c r="C107" t="str">
        <f>IF(AND('Q22027'!B28&lt;&gt;"",'Q22027'!E28&lt;&gt;""),'Q22027'!C28,"")</f>
        <v/>
      </c>
      <c r="D107" t="str">
        <f>IF(AND('Q22027'!B28&lt;&gt;"",'Q22027'!E28&lt;&gt;""),'Q22027'!D28,"")</f>
        <v/>
      </c>
      <c r="E107" t="str">
        <f>IF(AND('Q22027'!B28&lt;&gt;"",'Q22027'!E28&lt;&gt;""),'Q22027'!H28,"")</f>
        <v/>
      </c>
      <c r="F107" t="str">
        <f>IF(AND('Q22027'!B28&lt;&gt;"",'Q22027'!E28&lt;&gt;""),'Q22027'!F28,"")</f>
        <v/>
      </c>
      <c r="G107" t="str">
        <f>IF(AND('Q22027'!B28&lt;&gt;"",'Q22027'!E28&lt;&gt;""),'Q22027'!G28,"")</f>
        <v/>
      </c>
      <c r="H107" t="str">
        <f>IF(AND('Q22027'!B28&lt;&gt;"",'Q22027'!E28&lt;&gt;""),"Q22027","")</f>
        <v/>
      </c>
      <c r="I107" t="str">
        <f>IF(A107="Q12027",COUNTIF($A$2:$A107,"Q12027"),"")</f>
        <v/>
      </c>
      <c r="J107" t="str">
        <f>IF(A107="Q22027",COUNTIF($A$2:$A107,"Q22027"),"")</f>
        <v/>
      </c>
      <c r="K107" t="str">
        <f>IF(A107="Q32027",COUNTIF($A$2:$A107,"Q32027"),"")</f>
        <v/>
      </c>
      <c r="L107" t="str">
        <f>IF(A107="Q42027",COUNTIF($A$2:$A107,"Q42027"),"")</f>
        <v/>
      </c>
      <c r="M107" t="str">
        <f>IF(A107="Backlog",COUNTIF($A$2:$A107,"Backlog"),"")</f>
        <v/>
      </c>
    </row>
    <row r="108" spans="1:13">
      <c r="A108" t="str">
        <f>IF(AND('Q22027'!B29&lt;&gt;"",'Q22027'!E29&lt;&gt;""),'Q22027'!E29,"")</f>
        <v/>
      </c>
      <c r="B108" t="str">
        <f>IF(AND('Q22027'!B29&lt;&gt;"",'Q22027'!E29&lt;&gt;""),'Q22027'!B29,"")</f>
        <v/>
      </c>
      <c r="C108" t="str">
        <f>IF(AND('Q22027'!B29&lt;&gt;"",'Q22027'!E29&lt;&gt;""),'Q22027'!C29,"")</f>
        <v/>
      </c>
      <c r="D108" t="str">
        <f>IF(AND('Q22027'!B29&lt;&gt;"",'Q22027'!E29&lt;&gt;""),'Q22027'!D29,"")</f>
        <v/>
      </c>
      <c r="E108" t="str">
        <f>IF(AND('Q22027'!B29&lt;&gt;"",'Q22027'!E29&lt;&gt;""),'Q22027'!H29,"")</f>
        <v/>
      </c>
      <c r="F108" t="str">
        <f>IF(AND('Q22027'!B29&lt;&gt;"",'Q22027'!E29&lt;&gt;""),'Q22027'!F29,"")</f>
        <v/>
      </c>
      <c r="G108" t="str">
        <f>IF(AND('Q22027'!B29&lt;&gt;"",'Q22027'!E29&lt;&gt;""),'Q22027'!G29,"")</f>
        <v/>
      </c>
      <c r="H108" t="str">
        <f>IF(AND('Q22027'!B29&lt;&gt;"",'Q22027'!E29&lt;&gt;""),"Q22027","")</f>
        <v/>
      </c>
      <c r="I108" t="str">
        <f>IF(A108="Q12027",COUNTIF($A$2:$A108,"Q12027"),"")</f>
        <v/>
      </c>
      <c r="J108" t="str">
        <f>IF(A108="Q22027",COUNTIF($A$2:$A108,"Q22027"),"")</f>
        <v/>
      </c>
      <c r="K108" t="str">
        <f>IF(A108="Q32027",COUNTIF($A$2:$A108,"Q32027"),"")</f>
        <v/>
      </c>
      <c r="L108" t="str">
        <f>IF(A108="Q42027",COUNTIF($A$2:$A108,"Q42027"),"")</f>
        <v/>
      </c>
      <c r="M108" t="str">
        <f>IF(A108="Backlog",COUNTIF($A$2:$A108,"Backlog"),"")</f>
        <v/>
      </c>
    </row>
    <row r="109" spans="1:13">
      <c r="A109" t="str">
        <f>IF(AND('Q22027'!B30&lt;&gt;"",'Q22027'!E30&lt;&gt;""),'Q22027'!E30,"")</f>
        <v/>
      </c>
      <c r="B109" t="str">
        <f>IF(AND('Q22027'!B30&lt;&gt;"",'Q22027'!E30&lt;&gt;""),'Q22027'!B30,"")</f>
        <v/>
      </c>
      <c r="C109" t="str">
        <f>IF(AND('Q22027'!B30&lt;&gt;"",'Q22027'!E30&lt;&gt;""),'Q22027'!C30,"")</f>
        <v/>
      </c>
      <c r="D109" t="str">
        <f>IF(AND('Q22027'!B30&lt;&gt;"",'Q22027'!E30&lt;&gt;""),'Q22027'!D30,"")</f>
        <v/>
      </c>
      <c r="E109" t="str">
        <f>IF(AND('Q22027'!B30&lt;&gt;"",'Q22027'!E30&lt;&gt;""),'Q22027'!H30,"")</f>
        <v/>
      </c>
      <c r="F109" t="str">
        <f>IF(AND('Q22027'!B30&lt;&gt;"",'Q22027'!E30&lt;&gt;""),'Q22027'!F30,"")</f>
        <v/>
      </c>
      <c r="G109" t="str">
        <f>IF(AND('Q22027'!B30&lt;&gt;"",'Q22027'!E30&lt;&gt;""),'Q22027'!G30,"")</f>
        <v/>
      </c>
      <c r="H109" t="str">
        <f>IF(AND('Q22027'!B30&lt;&gt;"",'Q22027'!E30&lt;&gt;""),"Q22027","")</f>
        <v/>
      </c>
      <c r="I109" t="str">
        <f>IF(A109="Q12027",COUNTIF($A$2:$A109,"Q12027"),"")</f>
        <v/>
      </c>
      <c r="J109" t="str">
        <f>IF(A109="Q22027",COUNTIF($A$2:$A109,"Q22027"),"")</f>
        <v/>
      </c>
      <c r="K109" t="str">
        <f>IF(A109="Q32027",COUNTIF($A$2:$A109,"Q32027"),"")</f>
        <v/>
      </c>
      <c r="L109" t="str">
        <f>IF(A109="Q42027",COUNTIF($A$2:$A109,"Q42027"),"")</f>
        <v/>
      </c>
      <c r="M109" t="str">
        <f>IF(A109="Backlog",COUNTIF($A$2:$A109,"Backlog"),"")</f>
        <v/>
      </c>
    </row>
    <row r="110" spans="1:13">
      <c r="A110" t="str">
        <f>IF(AND('Q22027'!B31&lt;&gt;"",'Q22027'!E31&lt;&gt;""),'Q22027'!E31,"")</f>
        <v/>
      </c>
      <c r="B110" t="str">
        <f>IF(AND('Q22027'!B31&lt;&gt;"",'Q22027'!E31&lt;&gt;""),'Q22027'!B31,"")</f>
        <v/>
      </c>
      <c r="C110" t="str">
        <f>IF(AND('Q22027'!B31&lt;&gt;"",'Q22027'!E31&lt;&gt;""),'Q22027'!C31,"")</f>
        <v/>
      </c>
      <c r="D110" t="str">
        <f>IF(AND('Q22027'!B31&lt;&gt;"",'Q22027'!E31&lt;&gt;""),'Q22027'!D31,"")</f>
        <v/>
      </c>
      <c r="E110" t="str">
        <f>IF(AND('Q22027'!B31&lt;&gt;"",'Q22027'!E31&lt;&gt;""),'Q22027'!H31,"")</f>
        <v/>
      </c>
      <c r="F110" t="str">
        <f>IF(AND('Q22027'!B31&lt;&gt;"",'Q22027'!E31&lt;&gt;""),'Q22027'!F31,"")</f>
        <v/>
      </c>
      <c r="G110" t="str">
        <f>IF(AND('Q22027'!B31&lt;&gt;"",'Q22027'!E31&lt;&gt;""),'Q22027'!G31,"")</f>
        <v/>
      </c>
      <c r="H110" t="str">
        <f>IF(AND('Q22027'!B31&lt;&gt;"",'Q22027'!E31&lt;&gt;""),"Q22027","")</f>
        <v/>
      </c>
      <c r="I110" t="str">
        <f>IF(A110="Q12027",COUNTIF($A$2:$A110,"Q12027"),"")</f>
        <v/>
      </c>
      <c r="J110" t="str">
        <f>IF(A110="Q22027",COUNTIF($A$2:$A110,"Q22027"),"")</f>
        <v/>
      </c>
      <c r="K110" t="str">
        <f>IF(A110="Q32027",COUNTIF($A$2:$A110,"Q32027"),"")</f>
        <v/>
      </c>
      <c r="L110" t="str">
        <f>IF(A110="Q42027",COUNTIF($A$2:$A110,"Q42027"),"")</f>
        <v/>
      </c>
      <c r="M110" t="str">
        <f>IF(A110="Backlog",COUNTIF($A$2:$A110,"Backlog"),"")</f>
        <v/>
      </c>
    </row>
    <row r="111" spans="1:13">
      <c r="A111" t="str">
        <f>IF(AND('Q22027'!B32&lt;&gt;"",'Q22027'!E32&lt;&gt;""),'Q22027'!E32,"")</f>
        <v/>
      </c>
      <c r="B111" t="str">
        <f>IF(AND('Q22027'!B32&lt;&gt;"",'Q22027'!E32&lt;&gt;""),'Q22027'!B32,"")</f>
        <v/>
      </c>
      <c r="C111" t="str">
        <f>IF(AND('Q22027'!B32&lt;&gt;"",'Q22027'!E32&lt;&gt;""),'Q22027'!C32,"")</f>
        <v/>
      </c>
      <c r="D111" t="str">
        <f>IF(AND('Q22027'!B32&lt;&gt;"",'Q22027'!E32&lt;&gt;""),'Q22027'!D32,"")</f>
        <v/>
      </c>
      <c r="E111" t="str">
        <f>IF(AND('Q22027'!B32&lt;&gt;"",'Q22027'!E32&lt;&gt;""),'Q22027'!H32,"")</f>
        <v/>
      </c>
      <c r="F111" t="str">
        <f>IF(AND('Q22027'!B32&lt;&gt;"",'Q22027'!E32&lt;&gt;""),'Q22027'!F32,"")</f>
        <v/>
      </c>
      <c r="G111" t="str">
        <f>IF(AND('Q22027'!B32&lt;&gt;"",'Q22027'!E32&lt;&gt;""),'Q22027'!G32,"")</f>
        <v/>
      </c>
      <c r="H111" t="str">
        <f>IF(AND('Q22027'!B32&lt;&gt;"",'Q22027'!E32&lt;&gt;""),"Q22027","")</f>
        <v/>
      </c>
      <c r="I111" t="str">
        <f>IF(A111="Q12027",COUNTIF($A$2:$A111,"Q12027"),"")</f>
        <v/>
      </c>
      <c r="J111" t="str">
        <f>IF(A111="Q22027",COUNTIF($A$2:$A111,"Q22027"),"")</f>
        <v/>
      </c>
      <c r="K111" t="str">
        <f>IF(A111="Q32027",COUNTIF($A$2:$A111,"Q32027"),"")</f>
        <v/>
      </c>
      <c r="L111" t="str">
        <f>IF(A111="Q42027",COUNTIF($A$2:$A111,"Q42027"),"")</f>
        <v/>
      </c>
      <c r="M111" t="str">
        <f>IF(A111="Backlog",COUNTIF($A$2:$A111,"Backlog"),"")</f>
        <v/>
      </c>
    </row>
    <row r="112" spans="1:13">
      <c r="A112" t="str">
        <f>IF(AND('Q22027'!B33&lt;&gt;"",'Q22027'!E33&lt;&gt;""),'Q22027'!E33,"")</f>
        <v/>
      </c>
      <c r="B112" t="str">
        <f>IF(AND('Q22027'!B33&lt;&gt;"",'Q22027'!E33&lt;&gt;""),'Q22027'!B33,"")</f>
        <v/>
      </c>
      <c r="C112" t="str">
        <f>IF(AND('Q22027'!B33&lt;&gt;"",'Q22027'!E33&lt;&gt;""),'Q22027'!C33,"")</f>
        <v/>
      </c>
      <c r="D112" t="str">
        <f>IF(AND('Q22027'!B33&lt;&gt;"",'Q22027'!E33&lt;&gt;""),'Q22027'!D33,"")</f>
        <v/>
      </c>
      <c r="E112" t="str">
        <f>IF(AND('Q22027'!B33&lt;&gt;"",'Q22027'!E33&lt;&gt;""),'Q22027'!H33,"")</f>
        <v/>
      </c>
      <c r="F112" t="str">
        <f>IF(AND('Q22027'!B33&lt;&gt;"",'Q22027'!E33&lt;&gt;""),'Q22027'!F33,"")</f>
        <v/>
      </c>
      <c r="G112" t="str">
        <f>IF(AND('Q22027'!B33&lt;&gt;"",'Q22027'!E33&lt;&gt;""),'Q22027'!G33,"")</f>
        <v/>
      </c>
      <c r="H112" t="str">
        <f>IF(AND('Q22027'!B33&lt;&gt;"",'Q22027'!E33&lt;&gt;""),"Q22027","")</f>
        <v/>
      </c>
      <c r="I112" t="str">
        <f>IF(A112="Q12027",COUNTIF($A$2:$A112,"Q12027"),"")</f>
        <v/>
      </c>
      <c r="J112" t="str">
        <f>IF(A112="Q22027",COUNTIF($A$2:$A112,"Q22027"),"")</f>
        <v/>
      </c>
      <c r="K112" t="str">
        <f>IF(A112="Q32027",COUNTIF($A$2:$A112,"Q32027"),"")</f>
        <v/>
      </c>
      <c r="L112" t="str">
        <f>IF(A112="Q42027",COUNTIF($A$2:$A112,"Q42027"),"")</f>
        <v/>
      </c>
      <c r="M112" t="str">
        <f>IF(A112="Backlog",COUNTIF($A$2:$A112,"Backlog"),"")</f>
        <v/>
      </c>
    </row>
    <row r="113" spans="1:13">
      <c r="A113" t="str">
        <f>IF(AND('Q22027'!B34&lt;&gt;"",'Q22027'!E34&lt;&gt;""),'Q22027'!E34,"")</f>
        <v/>
      </c>
      <c r="B113" t="str">
        <f>IF(AND('Q22027'!B34&lt;&gt;"",'Q22027'!E34&lt;&gt;""),'Q22027'!B34,"")</f>
        <v/>
      </c>
      <c r="C113" t="str">
        <f>IF(AND('Q22027'!B34&lt;&gt;"",'Q22027'!E34&lt;&gt;""),'Q22027'!C34,"")</f>
        <v/>
      </c>
      <c r="D113" t="str">
        <f>IF(AND('Q22027'!B34&lt;&gt;"",'Q22027'!E34&lt;&gt;""),'Q22027'!D34,"")</f>
        <v/>
      </c>
      <c r="E113" t="str">
        <f>IF(AND('Q22027'!B34&lt;&gt;"",'Q22027'!E34&lt;&gt;""),'Q22027'!H34,"")</f>
        <v/>
      </c>
      <c r="F113" t="str">
        <f>IF(AND('Q22027'!B34&lt;&gt;"",'Q22027'!E34&lt;&gt;""),'Q22027'!F34,"")</f>
        <v/>
      </c>
      <c r="G113" t="str">
        <f>IF(AND('Q22027'!B34&lt;&gt;"",'Q22027'!E34&lt;&gt;""),'Q22027'!G34,"")</f>
        <v/>
      </c>
      <c r="H113" t="str">
        <f>IF(AND('Q22027'!B34&lt;&gt;"",'Q22027'!E34&lt;&gt;""),"Q22027","")</f>
        <v/>
      </c>
      <c r="I113" t="str">
        <f>IF(A113="Q12027",COUNTIF($A$2:$A113,"Q12027"),"")</f>
        <v/>
      </c>
      <c r="J113" t="str">
        <f>IF(A113="Q22027",COUNTIF($A$2:$A113,"Q22027"),"")</f>
        <v/>
      </c>
      <c r="K113" t="str">
        <f>IF(A113="Q32027",COUNTIF($A$2:$A113,"Q32027"),"")</f>
        <v/>
      </c>
      <c r="L113" t="str">
        <f>IF(A113="Q42027",COUNTIF($A$2:$A113,"Q42027"),"")</f>
        <v/>
      </c>
      <c r="M113" t="str">
        <f>IF(A113="Backlog",COUNTIF($A$2:$A113,"Backlog"),"")</f>
        <v/>
      </c>
    </row>
    <row r="114" spans="1:13">
      <c r="A114" t="str">
        <f>IF(AND('Q22027'!B35&lt;&gt;"",'Q22027'!E35&lt;&gt;""),'Q22027'!E35,"")</f>
        <v/>
      </c>
      <c r="B114" t="str">
        <f>IF(AND('Q22027'!B35&lt;&gt;"",'Q22027'!E35&lt;&gt;""),'Q22027'!B35,"")</f>
        <v/>
      </c>
      <c r="C114" t="str">
        <f>IF(AND('Q22027'!B35&lt;&gt;"",'Q22027'!E35&lt;&gt;""),'Q22027'!C35,"")</f>
        <v/>
      </c>
      <c r="D114" t="str">
        <f>IF(AND('Q22027'!B35&lt;&gt;"",'Q22027'!E35&lt;&gt;""),'Q22027'!D35,"")</f>
        <v/>
      </c>
      <c r="E114" t="str">
        <f>IF(AND('Q22027'!B35&lt;&gt;"",'Q22027'!E35&lt;&gt;""),'Q22027'!H35,"")</f>
        <v/>
      </c>
      <c r="F114" t="str">
        <f>IF(AND('Q22027'!B35&lt;&gt;"",'Q22027'!E35&lt;&gt;""),'Q22027'!F35,"")</f>
        <v/>
      </c>
      <c r="G114" t="str">
        <f>IF(AND('Q22027'!B35&lt;&gt;"",'Q22027'!E35&lt;&gt;""),'Q22027'!G35,"")</f>
        <v/>
      </c>
      <c r="H114" t="str">
        <f>IF(AND('Q22027'!B35&lt;&gt;"",'Q22027'!E35&lt;&gt;""),"Q22027","")</f>
        <v/>
      </c>
      <c r="I114" t="str">
        <f>IF(A114="Q12027",COUNTIF($A$2:$A114,"Q12027"),"")</f>
        <v/>
      </c>
      <c r="J114" t="str">
        <f>IF(A114="Q22027",COUNTIF($A$2:$A114,"Q22027"),"")</f>
        <v/>
      </c>
      <c r="K114" t="str">
        <f>IF(A114="Q32027",COUNTIF($A$2:$A114,"Q32027"),"")</f>
        <v/>
      </c>
      <c r="L114" t="str">
        <f>IF(A114="Q42027",COUNTIF($A$2:$A114,"Q42027"),"")</f>
        <v/>
      </c>
      <c r="M114" t="str">
        <f>IF(A114="Backlog",COUNTIF($A$2:$A114,"Backlog"),"")</f>
        <v/>
      </c>
    </row>
    <row r="115" spans="1:13">
      <c r="A115" t="str">
        <f>IF(AND('Q22027'!B36&lt;&gt;"",'Q22027'!E36&lt;&gt;""),'Q22027'!E36,"")</f>
        <v/>
      </c>
      <c r="B115" t="str">
        <f>IF(AND('Q22027'!B36&lt;&gt;"",'Q22027'!E36&lt;&gt;""),'Q22027'!B36,"")</f>
        <v/>
      </c>
      <c r="C115" t="str">
        <f>IF(AND('Q22027'!B36&lt;&gt;"",'Q22027'!E36&lt;&gt;""),'Q22027'!C36,"")</f>
        <v/>
      </c>
      <c r="D115" t="str">
        <f>IF(AND('Q22027'!B36&lt;&gt;"",'Q22027'!E36&lt;&gt;""),'Q22027'!D36,"")</f>
        <v/>
      </c>
      <c r="E115" t="str">
        <f>IF(AND('Q22027'!B36&lt;&gt;"",'Q22027'!E36&lt;&gt;""),'Q22027'!H36,"")</f>
        <v/>
      </c>
      <c r="F115" t="str">
        <f>IF(AND('Q22027'!B36&lt;&gt;"",'Q22027'!E36&lt;&gt;""),'Q22027'!F36,"")</f>
        <v/>
      </c>
      <c r="G115" t="str">
        <f>IF(AND('Q22027'!B36&lt;&gt;"",'Q22027'!E36&lt;&gt;""),'Q22027'!G36,"")</f>
        <v/>
      </c>
      <c r="H115" t="str">
        <f>IF(AND('Q22027'!B36&lt;&gt;"",'Q22027'!E36&lt;&gt;""),"Q22027","")</f>
        <v/>
      </c>
      <c r="I115" t="str">
        <f>IF(A115="Q12027",COUNTIF($A$2:$A115,"Q12027"),"")</f>
        <v/>
      </c>
      <c r="J115" t="str">
        <f>IF(A115="Q22027",COUNTIF($A$2:$A115,"Q22027"),"")</f>
        <v/>
      </c>
      <c r="K115" t="str">
        <f>IF(A115="Q32027",COUNTIF($A$2:$A115,"Q32027"),"")</f>
        <v/>
      </c>
      <c r="L115" t="str">
        <f>IF(A115="Q42027",COUNTIF($A$2:$A115,"Q42027"),"")</f>
        <v/>
      </c>
      <c r="M115" t="str">
        <f>IF(A115="Backlog",COUNTIF($A$2:$A115,"Backlog"),"")</f>
        <v/>
      </c>
    </row>
    <row r="116" spans="1:13">
      <c r="A116" t="str">
        <f>IF(AND('Q22027'!B37&lt;&gt;"",'Q22027'!E37&lt;&gt;""),'Q22027'!E37,"")</f>
        <v/>
      </c>
      <c r="B116" t="str">
        <f>IF(AND('Q22027'!B37&lt;&gt;"",'Q22027'!E37&lt;&gt;""),'Q22027'!B37,"")</f>
        <v/>
      </c>
      <c r="C116" t="str">
        <f>IF(AND('Q22027'!B37&lt;&gt;"",'Q22027'!E37&lt;&gt;""),'Q22027'!C37,"")</f>
        <v/>
      </c>
      <c r="D116" t="str">
        <f>IF(AND('Q22027'!B37&lt;&gt;"",'Q22027'!E37&lt;&gt;""),'Q22027'!D37,"")</f>
        <v/>
      </c>
      <c r="E116" t="str">
        <f>IF(AND('Q22027'!B37&lt;&gt;"",'Q22027'!E37&lt;&gt;""),'Q22027'!H37,"")</f>
        <v/>
      </c>
      <c r="F116" t="str">
        <f>IF(AND('Q22027'!B37&lt;&gt;"",'Q22027'!E37&lt;&gt;""),'Q22027'!F37,"")</f>
        <v/>
      </c>
      <c r="G116" t="str">
        <f>IF(AND('Q22027'!B37&lt;&gt;"",'Q22027'!E37&lt;&gt;""),'Q22027'!G37,"")</f>
        <v/>
      </c>
      <c r="H116" t="str">
        <f>IF(AND('Q22027'!B37&lt;&gt;"",'Q22027'!E37&lt;&gt;""),"Q22027","")</f>
        <v/>
      </c>
      <c r="I116" t="str">
        <f>IF(A116="Q12027",COUNTIF($A$2:$A116,"Q12027"),"")</f>
        <v/>
      </c>
      <c r="J116" t="str">
        <f>IF(A116="Q22027",COUNTIF($A$2:$A116,"Q22027"),"")</f>
        <v/>
      </c>
      <c r="K116" t="str">
        <f>IF(A116="Q32027",COUNTIF($A$2:$A116,"Q32027"),"")</f>
        <v/>
      </c>
      <c r="L116" t="str">
        <f>IF(A116="Q42027",COUNTIF($A$2:$A116,"Q42027"),"")</f>
        <v/>
      </c>
      <c r="M116" t="str">
        <f>IF(A116="Backlog",COUNTIF($A$2:$A116,"Backlog"),"")</f>
        <v/>
      </c>
    </row>
    <row r="117" spans="1:13">
      <c r="A117" t="str">
        <f>IF(AND('Q22027'!B38&lt;&gt;"",'Q22027'!E38&lt;&gt;""),'Q22027'!E38,"")</f>
        <v/>
      </c>
      <c r="B117" t="str">
        <f>IF(AND('Q22027'!B38&lt;&gt;"",'Q22027'!E38&lt;&gt;""),'Q22027'!B38,"")</f>
        <v/>
      </c>
      <c r="C117" t="str">
        <f>IF(AND('Q22027'!B38&lt;&gt;"",'Q22027'!E38&lt;&gt;""),'Q22027'!C38,"")</f>
        <v/>
      </c>
      <c r="D117" t="str">
        <f>IF(AND('Q22027'!B38&lt;&gt;"",'Q22027'!E38&lt;&gt;""),'Q22027'!D38,"")</f>
        <v/>
      </c>
      <c r="E117" t="str">
        <f>IF(AND('Q22027'!B38&lt;&gt;"",'Q22027'!E38&lt;&gt;""),'Q22027'!H38,"")</f>
        <v/>
      </c>
      <c r="F117" t="str">
        <f>IF(AND('Q22027'!B38&lt;&gt;"",'Q22027'!E38&lt;&gt;""),'Q22027'!F38,"")</f>
        <v/>
      </c>
      <c r="G117" t="str">
        <f>IF(AND('Q22027'!B38&lt;&gt;"",'Q22027'!E38&lt;&gt;""),'Q22027'!G38,"")</f>
        <v/>
      </c>
      <c r="H117" t="str">
        <f>IF(AND('Q22027'!B38&lt;&gt;"",'Q22027'!E38&lt;&gt;""),"Q22027","")</f>
        <v/>
      </c>
      <c r="I117" t="str">
        <f>IF(A117="Q12027",COUNTIF($A$2:$A117,"Q12027"),"")</f>
        <v/>
      </c>
      <c r="J117" t="str">
        <f>IF(A117="Q22027",COUNTIF($A$2:$A117,"Q22027"),"")</f>
        <v/>
      </c>
      <c r="K117" t="str">
        <f>IF(A117="Q32027",COUNTIF($A$2:$A117,"Q32027"),"")</f>
        <v/>
      </c>
      <c r="L117" t="str">
        <f>IF(A117="Q42027",COUNTIF($A$2:$A117,"Q42027"),"")</f>
        <v/>
      </c>
      <c r="M117" t="str">
        <f>IF(A117="Backlog",COUNTIF($A$2:$A117,"Backlog"),"")</f>
        <v/>
      </c>
    </row>
    <row r="118" spans="1:13">
      <c r="A118" t="str">
        <f>IF(AND('Q22027'!B39&lt;&gt;"",'Q22027'!E39&lt;&gt;""),'Q22027'!E39,"")</f>
        <v/>
      </c>
      <c r="B118" t="str">
        <f>IF(AND('Q22027'!B39&lt;&gt;"",'Q22027'!E39&lt;&gt;""),'Q22027'!B39,"")</f>
        <v/>
      </c>
      <c r="C118" t="str">
        <f>IF(AND('Q22027'!B39&lt;&gt;"",'Q22027'!E39&lt;&gt;""),'Q22027'!C39,"")</f>
        <v/>
      </c>
      <c r="D118" t="str">
        <f>IF(AND('Q22027'!B39&lt;&gt;"",'Q22027'!E39&lt;&gt;""),'Q22027'!D39,"")</f>
        <v/>
      </c>
      <c r="E118" t="str">
        <f>IF(AND('Q22027'!B39&lt;&gt;"",'Q22027'!E39&lt;&gt;""),'Q22027'!H39,"")</f>
        <v/>
      </c>
      <c r="F118" t="str">
        <f>IF(AND('Q22027'!B39&lt;&gt;"",'Q22027'!E39&lt;&gt;""),'Q22027'!F39,"")</f>
        <v/>
      </c>
      <c r="G118" t="str">
        <f>IF(AND('Q22027'!B39&lt;&gt;"",'Q22027'!E39&lt;&gt;""),'Q22027'!G39,"")</f>
        <v/>
      </c>
      <c r="H118" t="str">
        <f>IF(AND('Q22027'!B39&lt;&gt;"",'Q22027'!E39&lt;&gt;""),"Q22027","")</f>
        <v/>
      </c>
      <c r="I118" t="str">
        <f>IF(A118="Q12027",COUNTIF($A$2:$A118,"Q12027"),"")</f>
        <v/>
      </c>
      <c r="J118" t="str">
        <f>IF(A118="Q22027",COUNTIF($A$2:$A118,"Q22027"),"")</f>
        <v/>
      </c>
      <c r="K118" t="str">
        <f>IF(A118="Q32027",COUNTIF($A$2:$A118,"Q32027"),"")</f>
        <v/>
      </c>
      <c r="L118" t="str">
        <f>IF(A118="Q42027",COUNTIF($A$2:$A118,"Q42027"),"")</f>
        <v/>
      </c>
      <c r="M118" t="str">
        <f>IF(A118="Backlog",COUNTIF($A$2:$A118,"Backlog"),"")</f>
        <v/>
      </c>
    </row>
    <row r="119" spans="1:13">
      <c r="A119" t="str">
        <f>IF(AND('Q22027'!B40&lt;&gt;"",'Q22027'!E40&lt;&gt;""),'Q22027'!E40,"")</f>
        <v/>
      </c>
      <c r="B119" t="str">
        <f>IF(AND('Q22027'!B40&lt;&gt;"",'Q22027'!E40&lt;&gt;""),'Q22027'!B40,"")</f>
        <v/>
      </c>
      <c r="C119" t="str">
        <f>IF(AND('Q22027'!B40&lt;&gt;"",'Q22027'!E40&lt;&gt;""),'Q22027'!C40,"")</f>
        <v/>
      </c>
      <c r="D119" t="str">
        <f>IF(AND('Q22027'!B40&lt;&gt;"",'Q22027'!E40&lt;&gt;""),'Q22027'!D40,"")</f>
        <v/>
      </c>
      <c r="E119" t="str">
        <f>IF(AND('Q22027'!B40&lt;&gt;"",'Q22027'!E40&lt;&gt;""),'Q22027'!H40,"")</f>
        <v/>
      </c>
      <c r="F119" t="str">
        <f>IF(AND('Q22027'!B40&lt;&gt;"",'Q22027'!E40&lt;&gt;""),'Q22027'!F40,"")</f>
        <v/>
      </c>
      <c r="G119" t="str">
        <f>IF(AND('Q22027'!B40&lt;&gt;"",'Q22027'!E40&lt;&gt;""),'Q22027'!G40,"")</f>
        <v/>
      </c>
      <c r="H119" t="str">
        <f>IF(AND('Q22027'!B40&lt;&gt;"",'Q22027'!E40&lt;&gt;""),"Q22027","")</f>
        <v/>
      </c>
      <c r="I119" t="str">
        <f>IF(A119="Q12027",COUNTIF($A$2:$A119,"Q12027"),"")</f>
        <v/>
      </c>
      <c r="J119" t="str">
        <f>IF(A119="Q22027",COUNTIF($A$2:$A119,"Q22027"),"")</f>
        <v/>
      </c>
      <c r="K119" t="str">
        <f>IF(A119="Q32027",COUNTIF($A$2:$A119,"Q32027"),"")</f>
        <v/>
      </c>
      <c r="L119" t="str">
        <f>IF(A119="Q42027",COUNTIF($A$2:$A119,"Q42027"),"")</f>
        <v/>
      </c>
      <c r="M119" t="str">
        <f>IF(A119="Backlog",COUNTIF($A$2:$A119,"Backlog"),"")</f>
        <v/>
      </c>
    </row>
    <row r="120" spans="1:13">
      <c r="A120" t="str">
        <f>IF(AND('Q22027'!B41&lt;&gt;"",'Q22027'!E41&lt;&gt;""),'Q22027'!E41,"")</f>
        <v/>
      </c>
      <c r="B120" t="str">
        <f>IF(AND('Q22027'!B41&lt;&gt;"",'Q22027'!E41&lt;&gt;""),'Q22027'!B41,"")</f>
        <v/>
      </c>
      <c r="C120" t="str">
        <f>IF(AND('Q22027'!B41&lt;&gt;"",'Q22027'!E41&lt;&gt;""),'Q22027'!C41,"")</f>
        <v/>
      </c>
      <c r="D120" t="str">
        <f>IF(AND('Q22027'!B41&lt;&gt;"",'Q22027'!E41&lt;&gt;""),'Q22027'!D41,"")</f>
        <v/>
      </c>
      <c r="E120" t="str">
        <f>IF(AND('Q22027'!B41&lt;&gt;"",'Q22027'!E41&lt;&gt;""),'Q22027'!H41,"")</f>
        <v/>
      </c>
      <c r="F120" t="str">
        <f>IF(AND('Q22027'!B41&lt;&gt;"",'Q22027'!E41&lt;&gt;""),'Q22027'!F41,"")</f>
        <v/>
      </c>
      <c r="G120" t="str">
        <f>IF(AND('Q22027'!B41&lt;&gt;"",'Q22027'!E41&lt;&gt;""),'Q22027'!G41,"")</f>
        <v/>
      </c>
      <c r="H120" t="str">
        <f>IF(AND('Q22027'!B41&lt;&gt;"",'Q22027'!E41&lt;&gt;""),"Q22027","")</f>
        <v/>
      </c>
      <c r="I120" t="str">
        <f>IF(A120="Q12027",COUNTIF($A$2:$A120,"Q12027"),"")</f>
        <v/>
      </c>
      <c r="J120" t="str">
        <f>IF(A120="Q22027",COUNTIF($A$2:$A120,"Q22027"),"")</f>
        <v/>
      </c>
      <c r="K120" t="str">
        <f>IF(A120="Q32027",COUNTIF($A$2:$A120,"Q32027"),"")</f>
        <v/>
      </c>
      <c r="L120" t="str">
        <f>IF(A120="Q42027",COUNTIF($A$2:$A120,"Q42027"),"")</f>
        <v/>
      </c>
      <c r="M120" t="str">
        <f>IF(A120="Backlog",COUNTIF($A$2:$A120,"Backlog"),"")</f>
        <v/>
      </c>
    </row>
    <row r="121" spans="1:13">
      <c r="A121" t="str">
        <f>IF(AND('Q22027'!B42&lt;&gt;"",'Q22027'!E42&lt;&gt;""),'Q22027'!E42,"")</f>
        <v/>
      </c>
      <c r="B121" t="str">
        <f>IF(AND('Q22027'!B42&lt;&gt;"",'Q22027'!E42&lt;&gt;""),'Q22027'!B42,"")</f>
        <v/>
      </c>
      <c r="C121" t="str">
        <f>IF(AND('Q22027'!B42&lt;&gt;"",'Q22027'!E42&lt;&gt;""),'Q22027'!C42,"")</f>
        <v/>
      </c>
      <c r="D121" t="str">
        <f>IF(AND('Q22027'!B42&lt;&gt;"",'Q22027'!E42&lt;&gt;""),'Q22027'!D42,"")</f>
        <v/>
      </c>
      <c r="E121" t="str">
        <f>IF(AND('Q22027'!B42&lt;&gt;"",'Q22027'!E42&lt;&gt;""),'Q22027'!H42,"")</f>
        <v/>
      </c>
      <c r="F121" t="str">
        <f>IF(AND('Q22027'!B42&lt;&gt;"",'Q22027'!E42&lt;&gt;""),'Q22027'!F42,"")</f>
        <v/>
      </c>
      <c r="G121" t="str">
        <f>IF(AND('Q22027'!B42&lt;&gt;"",'Q22027'!E42&lt;&gt;""),'Q22027'!G42,"")</f>
        <v/>
      </c>
      <c r="H121" t="str">
        <f>IF(AND('Q22027'!B42&lt;&gt;"",'Q22027'!E42&lt;&gt;""),"Q22027","")</f>
        <v/>
      </c>
      <c r="I121" t="str">
        <f>IF(A121="Q12027",COUNTIF($A$2:$A121,"Q12027"),"")</f>
        <v/>
      </c>
      <c r="J121" t="str">
        <f>IF(A121="Q22027",COUNTIF($A$2:$A121,"Q22027"),"")</f>
        <v/>
      </c>
      <c r="K121" t="str">
        <f>IF(A121="Q32027",COUNTIF($A$2:$A121,"Q32027"),"")</f>
        <v/>
      </c>
      <c r="L121" t="str">
        <f>IF(A121="Q42027",COUNTIF($A$2:$A121,"Q42027"),"")</f>
        <v/>
      </c>
      <c r="M121" t="str">
        <f>IF(A121="Backlog",COUNTIF($A$2:$A121,"Backlog"),"")</f>
        <v/>
      </c>
    </row>
    <row r="122" spans="1:13">
      <c r="A122" t="str">
        <f>IF(AND('Q22027'!B43&lt;&gt;"",'Q22027'!E43&lt;&gt;""),'Q22027'!E43,"")</f>
        <v/>
      </c>
      <c r="B122" t="str">
        <f>IF(AND('Q22027'!B43&lt;&gt;"",'Q22027'!E43&lt;&gt;""),'Q22027'!B43,"")</f>
        <v/>
      </c>
      <c r="C122" t="str">
        <f>IF(AND('Q22027'!B43&lt;&gt;"",'Q22027'!E43&lt;&gt;""),'Q22027'!C43,"")</f>
        <v/>
      </c>
      <c r="D122" t="str">
        <f>IF(AND('Q22027'!B43&lt;&gt;"",'Q22027'!E43&lt;&gt;""),'Q22027'!D43,"")</f>
        <v/>
      </c>
      <c r="E122" t="str">
        <f>IF(AND('Q22027'!B43&lt;&gt;"",'Q22027'!E43&lt;&gt;""),'Q22027'!H43,"")</f>
        <v/>
      </c>
      <c r="F122" t="str">
        <f>IF(AND('Q22027'!B43&lt;&gt;"",'Q22027'!E43&lt;&gt;""),'Q22027'!F43,"")</f>
        <v/>
      </c>
      <c r="G122" t="str">
        <f>IF(AND('Q22027'!B43&lt;&gt;"",'Q22027'!E43&lt;&gt;""),'Q22027'!G43,"")</f>
        <v/>
      </c>
      <c r="H122" t="str">
        <f>IF(AND('Q22027'!B43&lt;&gt;"",'Q22027'!E43&lt;&gt;""),"Q22027","")</f>
        <v/>
      </c>
      <c r="I122" t="str">
        <f>IF(A122="Q12027",COUNTIF($A$2:$A122,"Q12027"),"")</f>
        <v/>
      </c>
      <c r="J122" t="str">
        <f>IF(A122="Q22027",COUNTIF($A$2:$A122,"Q22027"),"")</f>
        <v/>
      </c>
      <c r="K122" t="str">
        <f>IF(A122="Q32027",COUNTIF($A$2:$A122,"Q32027"),"")</f>
        <v/>
      </c>
      <c r="L122" t="str">
        <f>IF(A122="Q42027",COUNTIF($A$2:$A122,"Q42027"),"")</f>
        <v/>
      </c>
      <c r="M122" t="str">
        <f>IF(A122="Backlog",COUNTIF($A$2:$A122,"Backlog"),"")</f>
        <v/>
      </c>
    </row>
    <row r="123" spans="1:13">
      <c r="A123" t="str">
        <f>IF(AND('Q22027'!B44&lt;&gt;"",'Q22027'!E44&lt;&gt;""),'Q22027'!E44,"")</f>
        <v/>
      </c>
      <c r="B123" t="str">
        <f>IF(AND('Q22027'!B44&lt;&gt;"",'Q22027'!E44&lt;&gt;""),'Q22027'!B44,"")</f>
        <v/>
      </c>
      <c r="C123" t="str">
        <f>IF(AND('Q22027'!B44&lt;&gt;"",'Q22027'!E44&lt;&gt;""),'Q22027'!C44,"")</f>
        <v/>
      </c>
      <c r="D123" t="str">
        <f>IF(AND('Q22027'!B44&lt;&gt;"",'Q22027'!E44&lt;&gt;""),'Q22027'!D44,"")</f>
        <v/>
      </c>
      <c r="E123" t="str">
        <f>IF(AND('Q22027'!B44&lt;&gt;"",'Q22027'!E44&lt;&gt;""),'Q22027'!H44,"")</f>
        <v/>
      </c>
      <c r="F123" t="str">
        <f>IF(AND('Q22027'!B44&lt;&gt;"",'Q22027'!E44&lt;&gt;""),'Q22027'!F44,"")</f>
        <v/>
      </c>
      <c r="G123" t="str">
        <f>IF(AND('Q22027'!B44&lt;&gt;"",'Q22027'!E44&lt;&gt;""),'Q22027'!G44,"")</f>
        <v/>
      </c>
      <c r="H123" t="str">
        <f>IF(AND('Q22027'!B44&lt;&gt;"",'Q22027'!E44&lt;&gt;""),"Q22027","")</f>
        <v/>
      </c>
      <c r="I123" t="str">
        <f>IF(A123="Q12027",COUNTIF($A$2:$A123,"Q12027"),"")</f>
        <v/>
      </c>
      <c r="J123" t="str">
        <f>IF(A123="Q22027",COUNTIF($A$2:$A123,"Q22027"),"")</f>
        <v/>
      </c>
      <c r="K123" t="str">
        <f>IF(A123="Q32027",COUNTIF($A$2:$A123,"Q32027"),"")</f>
        <v/>
      </c>
      <c r="L123" t="str">
        <f>IF(A123="Q42027",COUNTIF($A$2:$A123,"Q42027"),"")</f>
        <v/>
      </c>
      <c r="M123" t="str">
        <f>IF(A123="Backlog",COUNTIF($A$2:$A123,"Backlog"),"")</f>
        <v/>
      </c>
    </row>
    <row r="124" spans="1:13">
      <c r="A124" t="str">
        <f>IF(AND('Q22027'!B45&lt;&gt;"",'Q22027'!E45&lt;&gt;""),'Q22027'!E45,"")</f>
        <v/>
      </c>
      <c r="B124" t="str">
        <f>IF(AND('Q22027'!B45&lt;&gt;"",'Q22027'!E45&lt;&gt;""),'Q22027'!B45,"")</f>
        <v/>
      </c>
      <c r="C124" t="str">
        <f>IF(AND('Q22027'!B45&lt;&gt;"",'Q22027'!E45&lt;&gt;""),'Q22027'!C45,"")</f>
        <v/>
      </c>
      <c r="D124" t="str">
        <f>IF(AND('Q22027'!B45&lt;&gt;"",'Q22027'!E45&lt;&gt;""),'Q22027'!D45,"")</f>
        <v/>
      </c>
      <c r="E124" t="str">
        <f>IF(AND('Q22027'!B45&lt;&gt;"",'Q22027'!E45&lt;&gt;""),'Q22027'!H45,"")</f>
        <v/>
      </c>
      <c r="F124" t="str">
        <f>IF(AND('Q22027'!B45&lt;&gt;"",'Q22027'!E45&lt;&gt;""),'Q22027'!F45,"")</f>
        <v/>
      </c>
      <c r="G124" t="str">
        <f>IF(AND('Q22027'!B45&lt;&gt;"",'Q22027'!E45&lt;&gt;""),'Q22027'!G45,"")</f>
        <v/>
      </c>
      <c r="H124" t="str">
        <f>IF(AND('Q22027'!B45&lt;&gt;"",'Q22027'!E45&lt;&gt;""),"Q22027","")</f>
        <v/>
      </c>
      <c r="I124" t="str">
        <f>IF(A124="Q12027",COUNTIF($A$2:$A124,"Q12027"),"")</f>
        <v/>
      </c>
      <c r="J124" t="str">
        <f>IF(A124="Q22027",COUNTIF($A$2:$A124,"Q22027"),"")</f>
        <v/>
      </c>
      <c r="K124" t="str">
        <f>IF(A124="Q32027",COUNTIF($A$2:$A124,"Q32027"),"")</f>
        <v/>
      </c>
      <c r="L124" t="str">
        <f>IF(A124="Q42027",COUNTIF($A$2:$A124,"Q42027"),"")</f>
        <v/>
      </c>
      <c r="M124" t="str">
        <f>IF(A124="Backlog",COUNTIF($A$2:$A124,"Backlog"),"")</f>
        <v/>
      </c>
    </row>
    <row r="125" spans="1:13">
      <c r="A125" t="str">
        <f>IF(AND('Q22027'!B46&lt;&gt;"",'Q22027'!E46&lt;&gt;""),'Q22027'!E46,"")</f>
        <v/>
      </c>
      <c r="B125" t="str">
        <f>IF(AND('Q22027'!B46&lt;&gt;"",'Q22027'!E46&lt;&gt;""),'Q22027'!B46,"")</f>
        <v/>
      </c>
      <c r="C125" t="str">
        <f>IF(AND('Q22027'!B46&lt;&gt;"",'Q22027'!E46&lt;&gt;""),'Q22027'!C46,"")</f>
        <v/>
      </c>
      <c r="D125" t="str">
        <f>IF(AND('Q22027'!B46&lt;&gt;"",'Q22027'!E46&lt;&gt;""),'Q22027'!D46,"")</f>
        <v/>
      </c>
      <c r="E125" t="str">
        <f>IF(AND('Q22027'!B46&lt;&gt;"",'Q22027'!E46&lt;&gt;""),'Q22027'!H46,"")</f>
        <v/>
      </c>
      <c r="F125" t="str">
        <f>IF(AND('Q22027'!B46&lt;&gt;"",'Q22027'!E46&lt;&gt;""),'Q22027'!F46,"")</f>
        <v/>
      </c>
      <c r="G125" t="str">
        <f>IF(AND('Q22027'!B46&lt;&gt;"",'Q22027'!E46&lt;&gt;""),'Q22027'!G46,"")</f>
        <v/>
      </c>
      <c r="H125" t="str">
        <f>IF(AND('Q22027'!B46&lt;&gt;"",'Q22027'!E46&lt;&gt;""),"Q22027","")</f>
        <v/>
      </c>
      <c r="I125" t="str">
        <f>IF(A125="Q12027",COUNTIF($A$2:$A125,"Q12027"),"")</f>
        <v/>
      </c>
      <c r="J125" t="str">
        <f>IF(A125="Q22027",COUNTIF($A$2:$A125,"Q22027"),"")</f>
        <v/>
      </c>
      <c r="K125" t="str">
        <f>IF(A125="Q32027",COUNTIF($A$2:$A125,"Q32027"),"")</f>
        <v/>
      </c>
      <c r="L125" t="str">
        <f>IF(A125="Q42027",COUNTIF($A$2:$A125,"Q42027"),"")</f>
        <v/>
      </c>
      <c r="M125" t="str">
        <f>IF(A125="Backlog",COUNTIF($A$2:$A125,"Backlog"),"")</f>
        <v/>
      </c>
    </row>
    <row r="126" spans="1:13">
      <c r="A126" t="str">
        <f>IF(AND('Q22027'!B47&lt;&gt;"",'Q22027'!E47&lt;&gt;""),'Q22027'!E47,"")</f>
        <v/>
      </c>
      <c r="B126" t="str">
        <f>IF(AND('Q22027'!B47&lt;&gt;"",'Q22027'!E47&lt;&gt;""),'Q22027'!B47,"")</f>
        <v/>
      </c>
      <c r="C126" t="str">
        <f>IF(AND('Q22027'!B47&lt;&gt;"",'Q22027'!E47&lt;&gt;""),'Q22027'!C47,"")</f>
        <v/>
      </c>
      <c r="D126" t="str">
        <f>IF(AND('Q22027'!B47&lt;&gt;"",'Q22027'!E47&lt;&gt;""),'Q22027'!D47,"")</f>
        <v/>
      </c>
      <c r="E126" t="str">
        <f>IF(AND('Q22027'!B47&lt;&gt;"",'Q22027'!E47&lt;&gt;""),'Q22027'!H47,"")</f>
        <v/>
      </c>
      <c r="F126" t="str">
        <f>IF(AND('Q22027'!B47&lt;&gt;"",'Q22027'!E47&lt;&gt;""),'Q22027'!F47,"")</f>
        <v/>
      </c>
      <c r="G126" t="str">
        <f>IF(AND('Q22027'!B47&lt;&gt;"",'Q22027'!E47&lt;&gt;""),'Q22027'!G47,"")</f>
        <v/>
      </c>
      <c r="H126" t="str">
        <f>IF(AND('Q22027'!B47&lt;&gt;"",'Q22027'!E47&lt;&gt;""),"Q22027","")</f>
        <v/>
      </c>
      <c r="I126" t="str">
        <f>IF(A126="Q12027",COUNTIF($A$2:$A126,"Q12027"),"")</f>
        <v/>
      </c>
      <c r="J126" t="str">
        <f>IF(A126="Q22027",COUNTIF($A$2:$A126,"Q22027"),"")</f>
        <v/>
      </c>
      <c r="K126" t="str">
        <f>IF(A126="Q32027",COUNTIF($A$2:$A126,"Q32027"),"")</f>
        <v/>
      </c>
      <c r="L126" t="str">
        <f>IF(A126="Q42027",COUNTIF($A$2:$A126,"Q42027"),"")</f>
        <v/>
      </c>
      <c r="M126" t="str">
        <f>IF(A126="Backlog",COUNTIF($A$2:$A126,"Backlog"),"")</f>
        <v/>
      </c>
    </row>
    <row r="127" spans="1:13">
      <c r="A127" t="str">
        <f>IF(AND('Q22027'!B48&lt;&gt;"",'Q22027'!E48&lt;&gt;""),'Q22027'!E48,"")</f>
        <v/>
      </c>
      <c r="B127" t="str">
        <f>IF(AND('Q22027'!B48&lt;&gt;"",'Q22027'!E48&lt;&gt;""),'Q22027'!B48,"")</f>
        <v/>
      </c>
      <c r="C127" t="str">
        <f>IF(AND('Q22027'!B48&lt;&gt;"",'Q22027'!E48&lt;&gt;""),'Q22027'!C48,"")</f>
        <v/>
      </c>
      <c r="D127" t="str">
        <f>IF(AND('Q22027'!B48&lt;&gt;"",'Q22027'!E48&lt;&gt;""),'Q22027'!D48,"")</f>
        <v/>
      </c>
      <c r="E127" t="str">
        <f>IF(AND('Q22027'!B48&lt;&gt;"",'Q22027'!E48&lt;&gt;""),'Q22027'!H48,"")</f>
        <v/>
      </c>
      <c r="F127" t="str">
        <f>IF(AND('Q22027'!B48&lt;&gt;"",'Q22027'!E48&lt;&gt;""),'Q22027'!F48,"")</f>
        <v/>
      </c>
      <c r="G127" t="str">
        <f>IF(AND('Q22027'!B48&lt;&gt;"",'Q22027'!E48&lt;&gt;""),'Q22027'!G48,"")</f>
        <v/>
      </c>
      <c r="H127" t="str">
        <f>IF(AND('Q22027'!B48&lt;&gt;"",'Q22027'!E48&lt;&gt;""),"Q22027","")</f>
        <v/>
      </c>
      <c r="I127" t="str">
        <f>IF(A127="Q12027",COUNTIF($A$2:$A127,"Q12027"),"")</f>
        <v/>
      </c>
      <c r="J127" t="str">
        <f>IF(A127="Q22027",COUNTIF($A$2:$A127,"Q22027"),"")</f>
        <v/>
      </c>
      <c r="K127" t="str">
        <f>IF(A127="Q32027",COUNTIF($A$2:$A127,"Q32027"),"")</f>
        <v/>
      </c>
      <c r="L127" t="str">
        <f>IF(A127="Q42027",COUNTIF($A$2:$A127,"Q42027"),"")</f>
        <v/>
      </c>
      <c r="M127" t="str">
        <f>IF(A127="Backlog",COUNTIF($A$2:$A127,"Backlog"),"")</f>
        <v/>
      </c>
    </row>
    <row r="128" spans="1:13">
      <c r="A128" t="str">
        <f>IF(AND('Q22027'!B49&lt;&gt;"",'Q22027'!E49&lt;&gt;""),'Q22027'!E49,"")</f>
        <v/>
      </c>
      <c r="B128" t="str">
        <f>IF(AND('Q22027'!B49&lt;&gt;"",'Q22027'!E49&lt;&gt;""),'Q22027'!B49,"")</f>
        <v/>
      </c>
      <c r="C128" t="str">
        <f>IF(AND('Q22027'!B49&lt;&gt;"",'Q22027'!E49&lt;&gt;""),'Q22027'!C49,"")</f>
        <v/>
      </c>
      <c r="D128" t="str">
        <f>IF(AND('Q22027'!B49&lt;&gt;"",'Q22027'!E49&lt;&gt;""),'Q22027'!D49,"")</f>
        <v/>
      </c>
      <c r="E128" t="str">
        <f>IF(AND('Q22027'!B49&lt;&gt;"",'Q22027'!E49&lt;&gt;""),'Q22027'!H49,"")</f>
        <v/>
      </c>
      <c r="F128" t="str">
        <f>IF(AND('Q22027'!B49&lt;&gt;"",'Q22027'!E49&lt;&gt;""),'Q22027'!F49,"")</f>
        <v/>
      </c>
      <c r="G128" t="str">
        <f>IF(AND('Q22027'!B49&lt;&gt;"",'Q22027'!E49&lt;&gt;""),'Q22027'!G49,"")</f>
        <v/>
      </c>
      <c r="H128" t="str">
        <f>IF(AND('Q22027'!B49&lt;&gt;"",'Q22027'!E49&lt;&gt;""),"Q22027","")</f>
        <v/>
      </c>
      <c r="I128" t="str">
        <f>IF(A128="Q12027",COUNTIF($A$2:$A128,"Q12027"),"")</f>
        <v/>
      </c>
      <c r="J128" t="str">
        <f>IF(A128="Q22027",COUNTIF($A$2:$A128,"Q22027"),"")</f>
        <v/>
      </c>
      <c r="K128" t="str">
        <f>IF(A128="Q32027",COUNTIF($A$2:$A128,"Q32027"),"")</f>
        <v/>
      </c>
      <c r="L128" t="str">
        <f>IF(A128="Q42027",COUNTIF($A$2:$A128,"Q42027"),"")</f>
        <v/>
      </c>
      <c r="M128" t="str">
        <f>IF(A128="Backlog",COUNTIF($A$2:$A128,"Backlog"),"")</f>
        <v/>
      </c>
    </row>
    <row r="129" spans="1:13">
      <c r="A129" t="str">
        <f>IF(AND('Q22027'!B50&lt;&gt;"",'Q22027'!E50&lt;&gt;""),'Q22027'!E50,"")</f>
        <v/>
      </c>
      <c r="B129" t="str">
        <f>IF(AND('Q22027'!B50&lt;&gt;"",'Q22027'!E50&lt;&gt;""),'Q22027'!B50,"")</f>
        <v/>
      </c>
      <c r="C129" t="str">
        <f>IF(AND('Q22027'!B50&lt;&gt;"",'Q22027'!E50&lt;&gt;""),'Q22027'!C50,"")</f>
        <v/>
      </c>
      <c r="D129" t="str">
        <f>IF(AND('Q22027'!B50&lt;&gt;"",'Q22027'!E50&lt;&gt;""),'Q22027'!D50,"")</f>
        <v/>
      </c>
      <c r="E129" t="str">
        <f>IF(AND('Q22027'!B50&lt;&gt;"",'Q22027'!E50&lt;&gt;""),'Q22027'!H50,"")</f>
        <v/>
      </c>
      <c r="F129" t="str">
        <f>IF(AND('Q22027'!B50&lt;&gt;"",'Q22027'!E50&lt;&gt;""),'Q22027'!F50,"")</f>
        <v/>
      </c>
      <c r="G129" t="str">
        <f>IF(AND('Q22027'!B50&lt;&gt;"",'Q22027'!E50&lt;&gt;""),'Q22027'!G50,"")</f>
        <v/>
      </c>
      <c r="H129" t="str">
        <f>IF(AND('Q22027'!B50&lt;&gt;"",'Q22027'!E50&lt;&gt;""),"Q22027","")</f>
        <v/>
      </c>
      <c r="I129" t="str">
        <f>IF(A129="Q12027",COUNTIF($A$2:$A129,"Q12027"),"")</f>
        <v/>
      </c>
      <c r="J129" t="str">
        <f>IF(A129="Q22027",COUNTIF($A$2:$A129,"Q22027"),"")</f>
        <v/>
      </c>
      <c r="K129" t="str">
        <f>IF(A129="Q32027",COUNTIF($A$2:$A129,"Q32027"),"")</f>
        <v/>
      </c>
      <c r="L129" t="str">
        <f>IF(A129="Q42027",COUNTIF($A$2:$A129,"Q42027"),"")</f>
        <v/>
      </c>
      <c r="M129" t="str">
        <f>IF(A129="Backlog",COUNTIF($A$2:$A129,"Backlog"),"")</f>
        <v/>
      </c>
    </row>
    <row r="130" spans="1:13">
      <c r="A130" t="str">
        <f>IF(AND('Q22027'!B51&lt;&gt;"",'Q22027'!E51&lt;&gt;""),'Q22027'!E51,"")</f>
        <v/>
      </c>
      <c r="B130" t="str">
        <f>IF(AND('Q22027'!B51&lt;&gt;"",'Q22027'!E51&lt;&gt;""),'Q22027'!B51,"")</f>
        <v/>
      </c>
      <c r="C130" t="str">
        <f>IF(AND('Q22027'!B51&lt;&gt;"",'Q22027'!E51&lt;&gt;""),'Q22027'!C51,"")</f>
        <v/>
      </c>
      <c r="D130" t="str">
        <f>IF(AND('Q22027'!B51&lt;&gt;"",'Q22027'!E51&lt;&gt;""),'Q22027'!D51,"")</f>
        <v/>
      </c>
      <c r="E130" t="str">
        <f>IF(AND('Q22027'!B51&lt;&gt;"",'Q22027'!E51&lt;&gt;""),'Q22027'!H51,"")</f>
        <v/>
      </c>
      <c r="F130" t="str">
        <f>IF(AND('Q22027'!B51&lt;&gt;"",'Q22027'!E51&lt;&gt;""),'Q22027'!F51,"")</f>
        <v/>
      </c>
      <c r="G130" t="str">
        <f>IF(AND('Q22027'!B51&lt;&gt;"",'Q22027'!E51&lt;&gt;""),'Q22027'!G51,"")</f>
        <v/>
      </c>
      <c r="H130" t="str">
        <f>IF(AND('Q22027'!B51&lt;&gt;"",'Q22027'!E51&lt;&gt;""),"Q22027","")</f>
        <v/>
      </c>
      <c r="I130" t="str">
        <f>IF(A130="Q12027",COUNTIF($A$2:$A130,"Q12027"),"")</f>
        <v/>
      </c>
      <c r="J130" t="str">
        <f>IF(A130="Q22027",COUNTIF($A$2:$A130,"Q22027"),"")</f>
        <v/>
      </c>
      <c r="K130" t="str">
        <f>IF(A130="Q32027",COUNTIF($A$2:$A130,"Q32027"),"")</f>
        <v/>
      </c>
      <c r="L130" t="str">
        <f>IF(A130="Q42027",COUNTIF($A$2:$A130,"Q42027"),"")</f>
        <v/>
      </c>
      <c r="M130" t="str">
        <f>IF(A130="Backlog",COUNTIF($A$2:$A130,"Backlog"),"")</f>
        <v/>
      </c>
    </row>
    <row r="131" spans="1:13">
      <c r="A131" t="str">
        <f>IF(AND('Q22027'!B52&lt;&gt;"",'Q22027'!E52&lt;&gt;""),'Q22027'!E52,"")</f>
        <v/>
      </c>
      <c r="B131" t="str">
        <f>IF(AND('Q22027'!B52&lt;&gt;"",'Q22027'!E52&lt;&gt;""),'Q22027'!B52,"")</f>
        <v/>
      </c>
      <c r="C131" t="str">
        <f>IF(AND('Q22027'!B52&lt;&gt;"",'Q22027'!E52&lt;&gt;""),'Q22027'!C52,"")</f>
        <v/>
      </c>
      <c r="D131" t="str">
        <f>IF(AND('Q22027'!B52&lt;&gt;"",'Q22027'!E52&lt;&gt;""),'Q22027'!D52,"")</f>
        <v/>
      </c>
      <c r="E131" t="str">
        <f>IF(AND('Q22027'!B52&lt;&gt;"",'Q22027'!E52&lt;&gt;""),'Q22027'!H52,"")</f>
        <v/>
      </c>
      <c r="F131" t="str">
        <f>IF(AND('Q22027'!B52&lt;&gt;"",'Q22027'!E52&lt;&gt;""),'Q22027'!F52,"")</f>
        <v/>
      </c>
      <c r="G131" t="str">
        <f>IF(AND('Q22027'!B52&lt;&gt;"",'Q22027'!E52&lt;&gt;""),'Q22027'!G52,"")</f>
        <v/>
      </c>
      <c r="H131" t="str">
        <f>IF(AND('Q22027'!B52&lt;&gt;"",'Q22027'!E52&lt;&gt;""),"Q22027","")</f>
        <v/>
      </c>
      <c r="I131" t="str">
        <f>IF(A131="Q12027",COUNTIF($A$2:$A131,"Q12027"),"")</f>
        <v/>
      </c>
      <c r="J131" t="str">
        <f>IF(A131="Q22027",COUNTIF($A$2:$A131,"Q22027"),"")</f>
        <v/>
      </c>
      <c r="K131" t="str">
        <f>IF(A131="Q32027",COUNTIF($A$2:$A131,"Q32027"),"")</f>
        <v/>
      </c>
      <c r="L131" t="str">
        <f>IF(A131="Q42027",COUNTIF($A$2:$A131,"Q42027"),"")</f>
        <v/>
      </c>
      <c r="M131" t="str">
        <f>IF(A131="Backlog",COUNTIF($A$2:$A131,"Backlog"),"")</f>
        <v/>
      </c>
    </row>
    <row r="132" spans="1:13">
      <c r="A132" t="str">
        <f>IF(AND('Q22027'!B53&lt;&gt;"",'Q22027'!E53&lt;&gt;""),'Q22027'!E53,"")</f>
        <v/>
      </c>
      <c r="B132" t="str">
        <f>IF(AND('Q22027'!B53&lt;&gt;"",'Q22027'!E53&lt;&gt;""),'Q22027'!B53,"")</f>
        <v/>
      </c>
      <c r="C132" t="str">
        <f>IF(AND('Q22027'!B53&lt;&gt;"",'Q22027'!E53&lt;&gt;""),'Q22027'!C53,"")</f>
        <v/>
      </c>
      <c r="D132" t="str">
        <f>IF(AND('Q22027'!B53&lt;&gt;"",'Q22027'!E53&lt;&gt;""),'Q22027'!D53,"")</f>
        <v/>
      </c>
      <c r="E132" t="str">
        <f>IF(AND('Q22027'!B53&lt;&gt;"",'Q22027'!E53&lt;&gt;""),'Q22027'!H53,"")</f>
        <v/>
      </c>
      <c r="F132" t="str">
        <f>IF(AND('Q22027'!B53&lt;&gt;"",'Q22027'!E53&lt;&gt;""),'Q22027'!F53,"")</f>
        <v/>
      </c>
      <c r="G132" t="str">
        <f>IF(AND('Q22027'!B53&lt;&gt;"",'Q22027'!E53&lt;&gt;""),'Q22027'!G53,"")</f>
        <v/>
      </c>
      <c r="H132" t="str">
        <f>IF(AND('Q22027'!B53&lt;&gt;"",'Q22027'!E53&lt;&gt;""),"Q22027","")</f>
        <v/>
      </c>
      <c r="I132" t="str">
        <f>IF(A132="Q12027",COUNTIF($A$2:$A132,"Q12027"),"")</f>
        <v/>
      </c>
      <c r="J132" t="str">
        <f>IF(A132="Q22027",COUNTIF($A$2:$A132,"Q22027"),"")</f>
        <v/>
      </c>
      <c r="K132" t="str">
        <f>IF(A132="Q32027",COUNTIF($A$2:$A132,"Q32027"),"")</f>
        <v/>
      </c>
      <c r="L132" t="str">
        <f>IF(A132="Q42027",COUNTIF($A$2:$A132,"Q42027"),"")</f>
        <v/>
      </c>
      <c r="M132" t="str">
        <f>IF(A132="Backlog",COUNTIF($A$2:$A132,"Backlog"),"")</f>
        <v/>
      </c>
    </row>
    <row r="133" spans="1:13">
      <c r="A133" t="str">
        <f>IF(AND('Q22027'!B54&lt;&gt;"",'Q22027'!E54&lt;&gt;""),'Q22027'!E54,"")</f>
        <v/>
      </c>
      <c r="B133" t="str">
        <f>IF(AND('Q22027'!B54&lt;&gt;"",'Q22027'!E54&lt;&gt;""),'Q22027'!B54,"")</f>
        <v/>
      </c>
      <c r="C133" t="str">
        <f>IF(AND('Q22027'!B54&lt;&gt;"",'Q22027'!E54&lt;&gt;""),'Q22027'!C54,"")</f>
        <v/>
      </c>
      <c r="D133" t="str">
        <f>IF(AND('Q22027'!B54&lt;&gt;"",'Q22027'!E54&lt;&gt;""),'Q22027'!D54,"")</f>
        <v/>
      </c>
      <c r="E133" t="str">
        <f>IF(AND('Q22027'!B54&lt;&gt;"",'Q22027'!E54&lt;&gt;""),'Q22027'!H54,"")</f>
        <v/>
      </c>
      <c r="F133" t="str">
        <f>IF(AND('Q22027'!B54&lt;&gt;"",'Q22027'!E54&lt;&gt;""),'Q22027'!F54,"")</f>
        <v/>
      </c>
      <c r="G133" t="str">
        <f>IF(AND('Q22027'!B54&lt;&gt;"",'Q22027'!E54&lt;&gt;""),'Q22027'!G54,"")</f>
        <v/>
      </c>
      <c r="H133" t="str">
        <f>IF(AND('Q22027'!B54&lt;&gt;"",'Q22027'!E54&lt;&gt;""),"Q22027","")</f>
        <v/>
      </c>
      <c r="I133" t="str">
        <f>IF(A133="Q12027",COUNTIF($A$2:$A133,"Q12027"),"")</f>
        <v/>
      </c>
      <c r="J133" t="str">
        <f>IF(A133="Q22027",COUNTIF($A$2:$A133,"Q22027"),"")</f>
        <v/>
      </c>
      <c r="K133" t="str">
        <f>IF(A133="Q32027",COUNTIF($A$2:$A133,"Q32027"),"")</f>
        <v/>
      </c>
      <c r="L133" t="str">
        <f>IF(A133="Q42027",COUNTIF($A$2:$A133,"Q42027"),"")</f>
        <v/>
      </c>
      <c r="M133" t="str">
        <f>IF(A133="Backlog",COUNTIF($A$2:$A133,"Backlog"),"")</f>
        <v/>
      </c>
    </row>
    <row r="134" spans="1:13">
      <c r="A134" t="str">
        <f>IF(AND('Q22027'!B55&lt;&gt;"",'Q22027'!E55&lt;&gt;""),'Q22027'!E55,"")</f>
        <v/>
      </c>
      <c r="B134" t="str">
        <f>IF(AND('Q22027'!B55&lt;&gt;"",'Q22027'!E55&lt;&gt;""),'Q22027'!B55,"")</f>
        <v/>
      </c>
      <c r="C134" t="str">
        <f>IF(AND('Q22027'!B55&lt;&gt;"",'Q22027'!E55&lt;&gt;""),'Q22027'!C55,"")</f>
        <v/>
      </c>
      <c r="D134" t="str">
        <f>IF(AND('Q22027'!B55&lt;&gt;"",'Q22027'!E55&lt;&gt;""),'Q22027'!D55,"")</f>
        <v/>
      </c>
      <c r="E134" t="str">
        <f>IF(AND('Q22027'!B55&lt;&gt;"",'Q22027'!E55&lt;&gt;""),'Q22027'!H55,"")</f>
        <v/>
      </c>
      <c r="F134" t="str">
        <f>IF(AND('Q22027'!B55&lt;&gt;"",'Q22027'!E55&lt;&gt;""),'Q22027'!F55,"")</f>
        <v/>
      </c>
      <c r="G134" t="str">
        <f>IF(AND('Q22027'!B55&lt;&gt;"",'Q22027'!E55&lt;&gt;""),'Q22027'!G55,"")</f>
        <v/>
      </c>
      <c r="H134" t="str">
        <f>IF(AND('Q22027'!B55&lt;&gt;"",'Q22027'!E55&lt;&gt;""),"Q22027","")</f>
        <v/>
      </c>
      <c r="I134" t="str">
        <f>IF(A134="Q12027",COUNTIF($A$2:$A134,"Q12027"),"")</f>
        <v/>
      </c>
      <c r="J134" t="str">
        <f>IF(A134="Q22027",COUNTIF($A$2:$A134,"Q22027"),"")</f>
        <v/>
      </c>
      <c r="K134" t="str">
        <f>IF(A134="Q32027",COUNTIF($A$2:$A134,"Q32027"),"")</f>
        <v/>
      </c>
      <c r="L134" t="str">
        <f>IF(A134="Q42027",COUNTIF($A$2:$A134,"Q42027"),"")</f>
        <v/>
      </c>
      <c r="M134" t="str">
        <f>IF(A134="Backlog",COUNTIF($A$2:$A134,"Backlog"),"")</f>
        <v/>
      </c>
    </row>
    <row r="135" spans="1:13">
      <c r="A135" t="str">
        <f>IF(AND('Q22027'!B56&lt;&gt;"",'Q22027'!E56&lt;&gt;""),'Q22027'!E56,"")</f>
        <v/>
      </c>
      <c r="B135" t="str">
        <f>IF(AND('Q22027'!B56&lt;&gt;"",'Q22027'!E56&lt;&gt;""),'Q22027'!B56,"")</f>
        <v/>
      </c>
      <c r="C135" t="str">
        <f>IF(AND('Q22027'!B56&lt;&gt;"",'Q22027'!E56&lt;&gt;""),'Q22027'!C56,"")</f>
        <v/>
      </c>
      <c r="D135" t="str">
        <f>IF(AND('Q22027'!B56&lt;&gt;"",'Q22027'!E56&lt;&gt;""),'Q22027'!D56,"")</f>
        <v/>
      </c>
      <c r="E135" t="str">
        <f>IF(AND('Q22027'!B56&lt;&gt;"",'Q22027'!E56&lt;&gt;""),'Q22027'!H56,"")</f>
        <v/>
      </c>
      <c r="F135" t="str">
        <f>IF(AND('Q22027'!B56&lt;&gt;"",'Q22027'!E56&lt;&gt;""),'Q22027'!F56,"")</f>
        <v/>
      </c>
      <c r="G135" t="str">
        <f>IF(AND('Q22027'!B56&lt;&gt;"",'Q22027'!E56&lt;&gt;""),'Q22027'!G56,"")</f>
        <v/>
      </c>
      <c r="H135" t="str">
        <f>IF(AND('Q22027'!B56&lt;&gt;"",'Q22027'!E56&lt;&gt;""),"Q22027","")</f>
        <v/>
      </c>
      <c r="I135" t="str">
        <f>IF(A135="Q12027",COUNTIF($A$2:$A135,"Q12027"),"")</f>
        <v/>
      </c>
      <c r="J135" t="str">
        <f>IF(A135="Q22027",COUNTIF($A$2:$A135,"Q22027"),"")</f>
        <v/>
      </c>
      <c r="K135" t="str">
        <f>IF(A135="Q32027",COUNTIF($A$2:$A135,"Q32027"),"")</f>
        <v/>
      </c>
      <c r="L135" t="str">
        <f>IF(A135="Q42027",COUNTIF($A$2:$A135,"Q42027"),"")</f>
        <v/>
      </c>
      <c r="M135" t="str">
        <f>IF(A135="Backlog",COUNTIF($A$2:$A135,"Backlog"),"")</f>
        <v/>
      </c>
    </row>
    <row r="136" spans="1:13">
      <c r="A136" t="str">
        <f>IF(AND('Q22027'!B57&lt;&gt;"",'Q22027'!E57&lt;&gt;""),'Q22027'!E57,"")</f>
        <v/>
      </c>
      <c r="B136" t="str">
        <f>IF(AND('Q22027'!B57&lt;&gt;"",'Q22027'!E57&lt;&gt;""),'Q22027'!B57,"")</f>
        <v/>
      </c>
      <c r="C136" t="str">
        <f>IF(AND('Q22027'!B57&lt;&gt;"",'Q22027'!E57&lt;&gt;""),'Q22027'!C57,"")</f>
        <v/>
      </c>
      <c r="D136" t="str">
        <f>IF(AND('Q22027'!B57&lt;&gt;"",'Q22027'!E57&lt;&gt;""),'Q22027'!D57,"")</f>
        <v/>
      </c>
      <c r="E136" t="str">
        <f>IF(AND('Q22027'!B57&lt;&gt;"",'Q22027'!E57&lt;&gt;""),'Q22027'!H57,"")</f>
        <v/>
      </c>
      <c r="F136" t="str">
        <f>IF(AND('Q22027'!B57&lt;&gt;"",'Q22027'!E57&lt;&gt;""),'Q22027'!F57,"")</f>
        <v/>
      </c>
      <c r="G136" t="str">
        <f>IF(AND('Q22027'!B57&lt;&gt;"",'Q22027'!E57&lt;&gt;""),'Q22027'!G57,"")</f>
        <v/>
      </c>
      <c r="H136" t="str">
        <f>IF(AND('Q22027'!B57&lt;&gt;"",'Q22027'!E57&lt;&gt;""),"Q22027","")</f>
        <v/>
      </c>
      <c r="I136" t="str">
        <f>IF(A136="Q12027",COUNTIF($A$2:$A136,"Q12027"),"")</f>
        <v/>
      </c>
      <c r="J136" t="str">
        <f>IF(A136="Q22027",COUNTIF($A$2:$A136,"Q22027"),"")</f>
        <v/>
      </c>
      <c r="K136" t="str">
        <f>IF(A136="Q32027",COUNTIF($A$2:$A136,"Q32027"),"")</f>
        <v/>
      </c>
      <c r="L136" t="str">
        <f>IF(A136="Q42027",COUNTIF($A$2:$A136,"Q42027"),"")</f>
        <v/>
      </c>
      <c r="M136" t="str">
        <f>IF(A136="Backlog",COUNTIF($A$2:$A136,"Backlog"),"")</f>
        <v/>
      </c>
    </row>
    <row r="137" spans="1:13">
      <c r="A137" t="str">
        <f>IF(AND('Q22027'!B58&lt;&gt;"",'Q22027'!E58&lt;&gt;""),'Q22027'!E58,"")</f>
        <v/>
      </c>
      <c r="B137" t="str">
        <f>IF(AND('Q22027'!B58&lt;&gt;"",'Q22027'!E58&lt;&gt;""),'Q22027'!B58,"")</f>
        <v/>
      </c>
      <c r="C137" t="str">
        <f>IF(AND('Q22027'!B58&lt;&gt;"",'Q22027'!E58&lt;&gt;""),'Q22027'!C58,"")</f>
        <v/>
      </c>
      <c r="D137" t="str">
        <f>IF(AND('Q22027'!B58&lt;&gt;"",'Q22027'!E58&lt;&gt;""),'Q22027'!D58,"")</f>
        <v/>
      </c>
      <c r="E137" t="str">
        <f>IF(AND('Q22027'!B58&lt;&gt;"",'Q22027'!E58&lt;&gt;""),'Q22027'!H58,"")</f>
        <v/>
      </c>
      <c r="F137" t="str">
        <f>IF(AND('Q22027'!B58&lt;&gt;"",'Q22027'!E58&lt;&gt;""),'Q22027'!F58,"")</f>
        <v/>
      </c>
      <c r="G137" t="str">
        <f>IF(AND('Q22027'!B58&lt;&gt;"",'Q22027'!E58&lt;&gt;""),'Q22027'!G58,"")</f>
        <v/>
      </c>
      <c r="H137" t="str">
        <f>IF(AND('Q22027'!B58&lt;&gt;"",'Q22027'!E58&lt;&gt;""),"Q22027","")</f>
        <v/>
      </c>
      <c r="I137" t="str">
        <f>IF(A137="Q12027",COUNTIF($A$2:$A137,"Q12027"),"")</f>
        <v/>
      </c>
      <c r="J137" t="str">
        <f>IF(A137="Q22027",COUNTIF($A$2:$A137,"Q22027"),"")</f>
        <v/>
      </c>
      <c r="K137" t="str">
        <f>IF(A137="Q32027",COUNTIF($A$2:$A137,"Q32027"),"")</f>
        <v/>
      </c>
      <c r="L137" t="str">
        <f>IF(A137="Q42027",COUNTIF($A$2:$A137,"Q42027"),"")</f>
        <v/>
      </c>
      <c r="M137" t="str">
        <f>IF(A137="Backlog",COUNTIF($A$2:$A137,"Backlog"),"")</f>
        <v/>
      </c>
    </row>
    <row r="138" spans="1:13">
      <c r="A138" t="str">
        <f>IF(AND('Q22027'!B59&lt;&gt;"",'Q22027'!E59&lt;&gt;""),'Q22027'!E59,"")</f>
        <v/>
      </c>
      <c r="B138" t="str">
        <f>IF(AND('Q22027'!B59&lt;&gt;"",'Q22027'!E59&lt;&gt;""),'Q22027'!B59,"")</f>
        <v/>
      </c>
      <c r="C138" t="str">
        <f>IF(AND('Q22027'!B59&lt;&gt;"",'Q22027'!E59&lt;&gt;""),'Q22027'!C59,"")</f>
        <v/>
      </c>
      <c r="D138" t="str">
        <f>IF(AND('Q22027'!B59&lt;&gt;"",'Q22027'!E59&lt;&gt;""),'Q22027'!D59,"")</f>
        <v/>
      </c>
      <c r="E138" t="str">
        <f>IF(AND('Q22027'!B59&lt;&gt;"",'Q22027'!E59&lt;&gt;""),'Q22027'!H59,"")</f>
        <v/>
      </c>
      <c r="F138" t="str">
        <f>IF(AND('Q22027'!B59&lt;&gt;"",'Q22027'!E59&lt;&gt;""),'Q22027'!F59,"")</f>
        <v/>
      </c>
      <c r="G138" t="str">
        <f>IF(AND('Q22027'!B59&lt;&gt;"",'Q22027'!E59&lt;&gt;""),'Q22027'!G59,"")</f>
        <v/>
      </c>
      <c r="H138" t="str">
        <f>IF(AND('Q22027'!B59&lt;&gt;"",'Q22027'!E59&lt;&gt;""),"Q22027","")</f>
        <v/>
      </c>
      <c r="I138" t="str">
        <f>IF(A138="Q12027",COUNTIF($A$2:$A138,"Q12027"),"")</f>
        <v/>
      </c>
      <c r="J138" t="str">
        <f>IF(A138="Q22027",COUNTIF($A$2:$A138,"Q22027"),"")</f>
        <v/>
      </c>
      <c r="K138" t="str">
        <f>IF(A138="Q32027",COUNTIF($A$2:$A138,"Q32027"),"")</f>
        <v/>
      </c>
      <c r="L138" t="str">
        <f>IF(A138="Q42027",COUNTIF($A$2:$A138,"Q42027"),"")</f>
        <v/>
      </c>
      <c r="M138" t="str">
        <f>IF(A138="Backlog",COUNTIF($A$2:$A138,"Backlog"),"")</f>
        <v/>
      </c>
    </row>
    <row r="139" spans="1:13">
      <c r="A139" t="str">
        <f>IF(AND('Q22027'!B60&lt;&gt;"",'Q22027'!E60&lt;&gt;""),'Q22027'!E60,"")</f>
        <v/>
      </c>
      <c r="B139" t="str">
        <f>IF(AND('Q22027'!B60&lt;&gt;"",'Q22027'!E60&lt;&gt;""),'Q22027'!B60,"")</f>
        <v/>
      </c>
      <c r="C139" t="str">
        <f>IF(AND('Q22027'!B60&lt;&gt;"",'Q22027'!E60&lt;&gt;""),'Q22027'!C60,"")</f>
        <v/>
      </c>
      <c r="D139" t="str">
        <f>IF(AND('Q22027'!B60&lt;&gt;"",'Q22027'!E60&lt;&gt;""),'Q22027'!D60,"")</f>
        <v/>
      </c>
      <c r="E139" t="str">
        <f>IF(AND('Q22027'!B60&lt;&gt;"",'Q22027'!E60&lt;&gt;""),'Q22027'!H60,"")</f>
        <v/>
      </c>
      <c r="F139" t="str">
        <f>IF(AND('Q22027'!B60&lt;&gt;"",'Q22027'!E60&lt;&gt;""),'Q22027'!F60,"")</f>
        <v/>
      </c>
      <c r="G139" t="str">
        <f>IF(AND('Q22027'!B60&lt;&gt;"",'Q22027'!E60&lt;&gt;""),'Q22027'!G60,"")</f>
        <v/>
      </c>
      <c r="H139" t="str">
        <f>IF(AND('Q22027'!B60&lt;&gt;"",'Q22027'!E60&lt;&gt;""),"Q22027","")</f>
        <v/>
      </c>
      <c r="I139" t="str">
        <f>IF(A139="Q12027",COUNTIF($A$2:$A139,"Q12027"),"")</f>
        <v/>
      </c>
      <c r="J139" t="str">
        <f>IF(A139="Q22027",COUNTIF($A$2:$A139,"Q22027"),"")</f>
        <v/>
      </c>
      <c r="K139" t="str">
        <f>IF(A139="Q32027",COUNTIF($A$2:$A139,"Q32027"),"")</f>
        <v/>
      </c>
      <c r="L139" t="str">
        <f>IF(A139="Q42027",COUNTIF($A$2:$A139,"Q42027"),"")</f>
        <v/>
      </c>
      <c r="M139" t="str">
        <f>IF(A139="Backlog",COUNTIF($A$2:$A139,"Backlog"),"")</f>
        <v/>
      </c>
    </row>
    <row r="140" spans="1:13">
      <c r="A140" t="str">
        <f>IF(AND('Q22027'!B61&lt;&gt;"",'Q22027'!E61&lt;&gt;""),'Q22027'!E61,"")</f>
        <v/>
      </c>
      <c r="B140" t="str">
        <f>IF(AND('Q22027'!B61&lt;&gt;"",'Q22027'!E61&lt;&gt;""),'Q22027'!B61,"")</f>
        <v/>
      </c>
      <c r="C140" t="str">
        <f>IF(AND('Q22027'!B61&lt;&gt;"",'Q22027'!E61&lt;&gt;""),'Q22027'!C61,"")</f>
        <v/>
      </c>
      <c r="D140" t="str">
        <f>IF(AND('Q22027'!B61&lt;&gt;"",'Q22027'!E61&lt;&gt;""),'Q22027'!D61,"")</f>
        <v/>
      </c>
      <c r="E140" t="str">
        <f>IF(AND('Q22027'!B61&lt;&gt;"",'Q22027'!E61&lt;&gt;""),'Q22027'!H61,"")</f>
        <v/>
      </c>
      <c r="F140" t="str">
        <f>IF(AND('Q22027'!B61&lt;&gt;"",'Q22027'!E61&lt;&gt;""),'Q22027'!F61,"")</f>
        <v/>
      </c>
      <c r="G140" t="str">
        <f>IF(AND('Q22027'!B61&lt;&gt;"",'Q22027'!E61&lt;&gt;""),'Q22027'!G61,"")</f>
        <v/>
      </c>
      <c r="H140" t="str">
        <f>IF(AND('Q22027'!B61&lt;&gt;"",'Q22027'!E61&lt;&gt;""),"Q22027","")</f>
        <v/>
      </c>
      <c r="I140" t="str">
        <f>IF(A140="Q12027",COUNTIF($A$2:$A140,"Q12027"),"")</f>
        <v/>
      </c>
      <c r="J140" t="str">
        <f>IF(A140="Q22027",COUNTIF($A$2:$A140,"Q22027"),"")</f>
        <v/>
      </c>
      <c r="K140" t="str">
        <f>IF(A140="Q32027",COUNTIF($A$2:$A140,"Q32027"),"")</f>
        <v/>
      </c>
      <c r="L140" t="str">
        <f>IF(A140="Q42027",COUNTIF($A$2:$A140,"Q42027"),"")</f>
        <v/>
      </c>
      <c r="M140" t="str">
        <f>IF(A140="Backlog",COUNTIF($A$2:$A140,"Backlog"),"")</f>
        <v/>
      </c>
    </row>
    <row r="141" spans="1:13">
      <c r="A141" t="str">
        <f>IF(AND('Q22027'!B62&lt;&gt;"",'Q22027'!E62&lt;&gt;""),'Q22027'!E62,"")</f>
        <v/>
      </c>
      <c r="B141" t="str">
        <f>IF(AND('Q22027'!B62&lt;&gt;"",'Q22027'!E62&lt;&gt;""),'Q22027'!B62,"")</f>
        <v/>
      </c>
      <c r="C141" t="str">
        <f>IF(AND('Q22027'!B62&lt;&gt;"",'Q22027'!E62&lt;&gt;""),'Q22027'!C62,"")</f>
        <v/>
      </c>
      <c r="D141" t="str">
        <f>IF(AND('Q22027'!B62&lt;&gt;"",'Q22027'!E62&lt;&gt;""),'Q22027'!D62,"")</f>
        <v/>
      </c>
      <c r="E141" t="str">
        <f>IF(AND('Q22027'!B62&lt;&gt;"",'Q22027'!E62&lt;&gt;""),'Q22027'!H62,"")</f>
        <v/>
      </c>
      <c r="F141" t="str">
        <f>IF(AND('Q22027'!B62&lt;&gt;"",'Q22027'!E62&lt;&gt;""),'Q22027'!F62,"")</f>
        <v/>
      </c>
      <c r="G141" t="str">
        <f>IF(AND('Q22027'!B62&lt;&gt;"",'Q22027'!E62&lt;&gt;""),'Q22027'!G62,"")</f>
        <v/>
      </c>
      <c r="H141" t="str">
        <f>IF(AND('Q22027'!B62&lt;&gt;"",'Q22027'!E62&lt;&gt;""),"Q22027","")</f>
        <v/>
      </c>
      <c r="I141" t="str">
        <f>IF(A141="Q12027",COUNTIF($A$2:$A141,"Q12027"),"")</f>
        <v/>
      </c>
      <c r="J141" t="str">
        <f>IF(A141="Q22027",COUNTIF($A$2:$A141,"Q22027"),"")</f>
        <v/>
      </c>
      <c r="K141" t="str">
        <f>IF(A141="Q32027",COUNTIF($A$2:$A141,"Q32027"),"")</f>
        <v/>
      </c>
      <c r="L141" t="str">
        <f>IF(A141="Q42027",COUNTIF($A$2:$A141,"Q42027"),"")</f>
        <v/>
      </c>
      <c r="M141" t="str">
        <f>IF(A141="Backlog",COUNTIF($A$2:$A141,"Backlog"),"")</f>
        <v/>
      </c>
    </row>
    <row r="142" spans="1:13">
      <c r="A142" t="str">
        <f>IF(AND('Q22027'!B63&lt;&gt;"",'Q22027'!E63&lt;&gt;""),'Q22027'!E63,"")</f>
        <v/>
      </c>
      <c r="B142" t="str">
        <f>IF(AND('Q22027'!B63&lt;&gt;"",'Q22027'!E63&lt;&gt;""),'Q22027'!B63,"")</f>
        <v/>
      </c>
      <c r="C142" t="str">
        <f>IF(AND('Q22027'!B63&lt;&gt;"",'Q22027'!E63&lt;&gt;""),'Q22027'!C63,"")</f>
        <v/>
      </c>
      <c r="D142" t="str">
        <f>IF(AND('Q22027'!B63&lt;&gt;"",'Q22027'!E63&lt;&gt;""),'Q22027'!D63,"")</f>
        <v/>
      </c>
      <c r="E142" t="str">
        <f>IF(AND('Q22027'!B63&lt;&gt;"",'Q22027'!E63&lt;&gt;""),'Q22027'!H63,"")</f>
        <v/>
      </c>
      <c r="F142" t="str">
        <f>IF(AND('Q22027'!B63&lt;&gt;"",'Q22027'!E63&lt;&gt;""),'Q22027'!F63,"")</f>
        <v/>
      </c>
      <c r="G142" t="str">
        <f>IF(AND('Q22027'!B63&lt;&gt;"",'Q22027'!E63&lt;&gt;""),'Q22027'!G63,"")</f>
        <v/>
      </c>
      <c r="H142" t="str">
        <f>IF(AND('Q22027'!B63&lt;&gt;"",'Q22027'!E63&lt;&gt;""),"Q22027","")</f>
        <v/>
      </c>
      <c r="I142" t="str">
        <f>IF(A142="Q12027",COUNTIF($A$2:$A142,"Q12027"),"")</f>
        <v/>
      </c>
      <c r="J142" t="str">
        <f>IF(A142="Q22027",COUNTIF($A$2:$A142,"Q22027"),"")</f>
        <v/>
      </c>
      <c r="K142" t="str">
        <f>IF(A142="Q32027",COUNTIF($A$2:$A142,"Q32027"),"")</f>
        <v/>
      </c>
      <c r="L142" t="str">
        <f>IF(A142="Q42027",COUNTIF($A$2:$A142,"Q42027"),"")</f>
        <v/>
      </c>
      <c r="M142" t="str">
        <f>IF(A142="Backlog",COUNTIF($A$2:$A142,"Backlog"),"")</f>
        <v/>
      </c>
    </row>
    <row r="143" spans="1:13">
      <c r="A143" t="str">
        <f>IF(AND('Q22027'!B64&lt;&gt;"",'Q22027'!E64&lt;&gt;""),'Q22027'!E64,"")</f>
        <v/>
      </c>
      <c r="B143" t="str">
        <f>IF(AND('Q22027'!B64&lt;&gt;"",'Q22027'!E64&lt;&gt;""),'Q22027'!B64,"")</f>
        <v/>
      </c>
      <c r="C143" t="str">
        <f>IF(AND('Q22027'!B64&lt;&gt;"",'Q22027'!E64&lt;&gt;""),'Q22027'!C64,"")</f>
        <v/>
      </c>
      <c r="D143" t="str">
        <f>IF(AND('Q22027'!B64&lt;&gt;"",'Q22027'!E64&lt;&gt;""),'Q22027'!D64,"")</f>
        <v/>
      </c>
      <c r="E143" t="str">
        <f>IF(AND('Q22027'!B64&lt;&gt;"",'Q22027'!E64&lt;&gt;""),'Q22027'!H64,"")</f>
        <v/>
      </c>
      <c r="F143" t="str">
        <f>IF(AND('Q22027'!B64&lt;&gt;"",'Q22027'!E64&lt;&gt;""),'Q22027'!F64,"")</f>
        <v/>
      </c>
      <c r="G143" t="str">
        <f>IF(AND('Q22027'!B64&lt;&gt;"",'Q22027'!E64&lt;&gt;""),'Q22027'!G64,"")</f>
        <v/>
      </c>
      <c r="H143" t="str">
        <f>IF(AND('Q22027'!B64&lt;&gt;"",'Q22027'!E64&lt;&gt;""),"Q22027","")</f>
        <v/>
      </c>
      <c r="I143" t="str">
        <f>IF(A143="Q12027",COUNTIF($A$2:$A143,"Q12027"),"")</f>
        <v/>
      </c>
      <c r="J143" t="str">
        <f>IF(A143="Q22027",COUNTIF($A$2:$A143,"Q22027"),"")</f>
        <v/>
      </c>
      <c r="K143" t="str">
        <f>IF(A143="Q32027",COUNTIF($A$2:$A143,"Q32027"),"")</f>
        <v/>
      </c>
      <c r="L143" t="str">
        <f>IF(A143="Q42027",COUNTIF($A$2:$A143,"Q42027"),"")</f>
        <v/>
      </c>
      <c r="M143" t="str">
        <f>IF(A143="Backlog",COUNTIF($A$2:$A143,"Backlog"),"")</f>
        <v/>
      </c>
    </row>
    <row r="144" spans="1:13">
      <c r="A144" t="str">
        <f>IF(AND('Q22027'!B65&lt;&gt;"",'Q22027'!E65&lt;&gt;""),'Q22027'!E65,"")</f>
        <v/>
      </c>
      <c r="B144" t="str">
        <f>IF(AND('Q22027'!B65&lt;&gt;"",'Q22027'!E65&lt;&gt;""),'Q22027'!B65,"")</f>
        <v/>
      </c>
      <c r="C144" t="str">
        <f>IF(AND('Q22027'!B65&lt;&gt;"",'Q22027'!E65&lt;&gt;""),'Q22027'!C65,"")</f>
        <v/>
      </c>
      <c r="D144" t="str">
        <f>IF(AND('Q22027'!B65&lt;&gt;"",'Q22027'!E65&lt;&gt;""),'Q22027'!D65,"")</f>
        <v/>
      </c>
      <c r="E144" t="str">
        <f>IF(AND('Q22027'!B65&lt;&gt;"",'Q22027'!E65&lt;&gt;""),'Q22027'!H65,"")</f>
        <v/>
      </c>
      <c r="F144" t="str">
        <f>IF(AND('Q22027'!B65&lt;&gt;"",'Q22027'!E65&lt;&gt;""),'Q22027'!F65,"")</f>
        <v/>
      </c>
      <c r="G144" t="str">
        <f>IF(AND('Q22027'!B65&lt;&gt;"",'Q22027'!E65&lt;&gt;""),'Q22027'!G65,"")</f>
        <v/>
      </c>
      <c r="H144" t="str">
        <f>IF(AND('Q22027'!B65&lt;&gt;"",'Q22027'!E65&lt;&gt;""),"Q22027","")</f>
        <v/>
      </c>
      <c r="I144" t="str">
        <f>IF(A144="Q12027",COUNTIF($A$2:$A144,"Q12027"),"")</f>
        <v/>
      </c>
      <c r="J144" t="str">
        <f>IF(A144="Q22027",COUNTIF($A$2:$A144,"Q22027"),"")</f>
        <v/>
      </c>
      <c r="K144" t="str">
        <f>IF(A144="Q32027",COUNTIF($A$2:$A144,"Q32027"),"")</f>
        <v/>
      </c>
      <c r="L144" t="str">
        <f>IF(A144="Q42027",COUNTIF($A$2:$A144,"Q42027"),"")</f>
        <v/>
      </c>
      <c r="M144" t="str">
        <f>IF(A144="Backlog",COUNTIF($A$2:$A144,"Backlog"),"")</f>
        <v/>
      </c>
    </row>
    <row r="145" spans="1:13">
      <c r="A145" t="str">
        <f>IF(AND('Q22027'!B66&lt;&gt;"",'Q22027'!E66&lt;&gt;""),'Q22027'!E66,"")</f>
        <v/>
      </c>
      <c r="B145" t="str">
        <f>IF(AND('Q22027'!B66&lt;&gt;"",'Q22027'!E66&lt;&gt;""),'Q22027'!B66,"")</f>
        <v/>
      </c>
      <c r="C145" t="str">
        <f>IF(AND('Q22027'!B66&lt;&gt;"",'Q22027'!E66&lt;&gt;""),'Q22027'!C66,"")</f>
        <v/>
      </c>
      <c r="D145" t="str">
        <f>IF(AND('Q22027'!B66&lt;&gt;"",'Q22027'!E66&lt;&gt;""),'Q22027'!D66,"")</f>
        <v/>
      </c>
      <c r="E145" t="str">
        <f>IF(AND('Q22027'!B66&lt;&gt;"",'Q22027'!E66&lt;&gt;""),'Q22027'!H66,"")</f>
        <v/>
      </c>
      <c r="F145" t="str">
        <f>IF(AND('Q22027'!B66&lt;&gt;"",'Q22027'!E66&lt;&gt;""),'Q22027'!F66,"")</f>
        <v/>
      </c>
      <c r="G145" t="str">
        <f>IF(AND('Q22027'!B66&lt;&gt;"",'Q22027'!E66&lt;&gt;""),'Q22027'!G66,"")</f>
        <v/>
      </c>
      <c r="H145" t="str">
        <f>IF(AND('Q22027'!B66&lt;&gt;"",'Q22027'!E66&lt;&gt;""),"Q22027","")</f>
        <v/>
      </c>
      <c r="I145" t="str">
        <f>IF(A145="Q12027",COUNTIF($A$2:$A145,"Q12027"),"")</f>
        <v/>
      </c>
      <c r="J145" t="str">
        <f>IF(A145="Q22027",COUNTIF($A$2:$A145,"Q22027"),"")</f>
        <v/>
      </c>
      <c r="K145" t="str">
        <f>IF(A145="Q32027",COUNTIF($A$2:$A145,"Q32027"),"")</f>
        <v/>
      </c>
      <c r="L145" t="str">
        <f>IF(A145="Q42027",COUNTIF($A$2:$A145,"Q42027"),"")</f>
        <v/>
      </c>
      <c r="M145" t="str">
        <f>IF(A145="Backlog",COUNTIF($A$2:$A145,"Backlog"),"")</f>
        <v/>
      </c>
    </row>
    <row r="146" spans="1:13">
      <c r="A146" t="str">
        <f>IF(AND('Q22027'!B67&lt;&gt;"",'Q22027'!E67&lt;&gt;""),'Q22027'!E67,"")</f>
        <v/>
      </c>
      <c r="B146" t="str">
        <f>IF(AND('Q22027'!B67&lt;&gt;"",'Q22027'!E67&lt;&gt;""),'Q22027'!B67,"")</f>
        <v/>
      </c>
      <c r="C146" t="str">
        <f>IF(AND('Q22027'!B67&lt;&gt;"",'Q22027'!E67&lt;&gt;""),'Q22027'!C67,"")</f>
        <v/>
      </c>
      <c r="D146" t="str">
        <f>IF(AND('Q22027'!B67&lt;&gt;"",'Q22027'!E67&lt;&gt;""),'Q22027'!D67,"")</f>
        <v/>
      </c>
      <c r="E146" t="str">
        <f>IF(AND('Q22027'!B67&lt;&gt;"",'Q22027'!E67&lt;&gt;""),'Q22027'!H67,"")</f>
        <v/>
      </c>
      <c r="F146" t="str">
        <f>IF(AND('Q22027'!B67&lt;&gt;"",'Q22027'!E67&lt;&gt;""),'Q22027'!F67,"")</f>
        <v/>
      </c>
      <c r="G146" t="str">
        <f>IF(AND('Q22027'!B67&lt;&gt;"",'Q22027'!E67&lt;&gt;""),'Q22027'!G67,"")</f>
        <v/>
      </c>
      <c r="H146" t="str">
        <f>IF(AND('Q22027'!B67&lt;&gt;"",'Q22027'!E67&lt;&gt;""),"Q22027","")</f>
        <v/>
      </c>
      <c r="I146" t="str">
        <f>IF(A146="Q12027",COUNTIF($A$2:$A146,"Q12027"),"")</f>
        <v/>
      </c>
      <c r="J146" t="str">
        <f>IF(A146="Q22027",COUNTIF($A$2:$A146,"Q22027"),"")</f>
        <v/>
      </c>
      <c r="K146" t="str">
        <f>IF(A146="Q32027",COUNTIF($A$2:$A146,"Q32027"),"")</f>
        <v/>
      </c>
      <c r="L146" t="str">
        <f>IF(A146="Q42027",COUNTIF($A$2:$A146,"Q42027"),"")</f>
        <v/>
      </c>
      <c r="M146" t="str">
        <f>IF(A146="Backlog",COUNTIF($A$2:$A146,"Backlog"),"")</f>
        <v/>
      </c>
    </row>
    <row r="147" spans="1:13">
      <c r="A147" t="str">
        <f>IF(AND('Q22027'!B68&lt;&gt;"",'Q22027'!E68&lt;&gt;""),'Q22027'!E68,"")</f>
        <v/>
      </c>
      <c r="B147" t="str">
        <f>IF(AND('Q22027'!B68&lt;&gt;"",'Q22027'!E68&lt;&gt;""),'Q22027'!B68,"")</f>
        <v/>
      </c>
      <c r="C147" t="str">
        <f>IF(AND('Q22027'!B68&lt;&gt;"",'Q22027'!E68&lt;&gt;""),'Q22027'!C68,"")</f>
        <v/>
      </c>
      <c r="D147" t="str">
        <f>IF(AND('Q22027'!B68&lt;&gt;"",'Q22027'!E68&lt;&gt;""),'Q22027'!D68,"")</f>
        <v/>
      </c>
      <c r="E147" t="str">
        <f>IF(AND('Q22027'!B68&lt;&gt;"",'Q22027'!E68&lt;&gt;""),'Q22027'!H68,"")</f>
        <v/>
      </c>
      <c r="F147" t="str">
        <f>IF(AND('Q22027'!B68&lt;&gt;"",'Q22027'!E68&lt;&gt;""),'Q22027'!F68,"")</f>
        <v/>
      </c>
      <c r="G147" t="str">
        <f>IF(AND('Q22027'!B68&lt;&gt;"",'Q22027'!E68&lt;&gt;""),'Q22027'!G68,"")</f>
        <v/>
      </c>
      <c r="H147" t="str">
        <f>IF(AND('Q22027'!B68&lt;&gt;"",'Q22027'!E68&lt;&gt;""),"Q22027","")</f>
        <v/>
      </c>
      <c r="I147" t="str">
        <f>IF(A147="Q12027",COUNTIF($A$2:$A147,"Q12027"),"")</f>
        <v/>
      </c>
      <c r="J147" t="str">
        <f>IF(A147="Q22027",COUNTIF($A$2:$A147,"Q22027"),"")</f>
        <v/>
      </c>
      <c r="K147" t="str">
        <f>IF(A147="Q32027",COUNTIF($A$2:$A147,"Q32027"),"")</f>
        <v/>
      </c>
      <c r="L147" t="str">
        <f>IF(A147="Q42027",COUNTIF($A$2:$A147,"Q42027"),"")</f>
        <v/>
      </c>
      <c r="M147" t="str">
        <f>IF(A147="Backlog",COUNTIF($A$2:$A147,"Backlog"),"")</f>
        <v/>
      </c>
    </row>
    <row r="148" spans="1:13">
      <c r="A148" t="str">
        <f>IF(AND('Q22027'!B69&lt;&gt;"",'Q22027'!E69&lt;&gt;""),'Q22027'!E69,"")</f>
        <v/>
      </c>
      <c r="B148" t="str">
        <f>IF(AND('Q22027'!B69&lt;&gt;"",'Q22027'!E69&lt;&gt;""),'Q22027'!B69,"")</f>
        <v/>
      </c>
      <c r="C148" t="str">
        <f>IF(AND('Q22027'!B69&lt;&gt;"",'Q22027'!E69&lt;&gt;""),'Q22027'!C69,"")</f>
        <v/>
      </c>
      <c r="D148" t="str">
        <f>IF(AND('Q22027'!B69&lt;&gt;"",'Q22027'!E69&lt;&gt;""),'Q22027'!D69,"")</f>
        <v/>
      </c>
      <c r="E148" t="str">
        <f>IF(AND('Q22027'!B69&lt;&gt;"",'Q22027'!E69&lt;&gt;""),'Q22027'!H69,"")</f>
        <v/>
      </c>
      <c r="F148" t="str">
        <f>IF(AND('Q22027'!B69&lt;&gt;"",'Q22027'!E69&lt;&gt;""),'Q22027'!F69,"")</f>
        <v/>
      </c>
      <c r="G148" t="str">
        <f>IF(AND('Q22027'!B69&lt;&gt;"",'Q22027'!E69&lt;&gt;""),'Q22027'!G69,"")</f>
        <v/>
      </c>
      <c r="H148" t="str">
        <f>IF(AND('Q22027'!B69&lt;&gt;"",'Q22027'!E69&lt;&gt;""),"Q22027","")</f>
        <v/>
      </c>
      <c r="I148" t="str">
        <f>IF(A148="Q12027",COUNTIF($A$2:$A148,"Q12027"),"")</f>
        <v/>
      </c>
      <c r="J148" t="str">
        <f>IF(A148="Q22027",COUNTIF($A$2:$A148,"Q22027"),"")</f>
        <v/>
      </c>
      <c r="K148" t="str">
        <f>IF(A148="Q32027",COUNTIF($A$2:$A148,"Q32027"),"")</f>
        <v/>
      </c>
      <c r="L148" t="str">
        <f>IF(A148="Q42027",COUNTIF($A$2:$A148,"Q42027"),"")</f>
        <v/>
      </c>
      <c r="M148" t="str">
        <f>IF(A148="Backlog",COUNTIF($A$2:$A148,"Backlog"),"")</f>
        <v/>
      </c>
    </row>
    <row r="149" spans="1:13">
      <c r="A149" t="str">
        <f>IF(AND('Q22027'!B70&lt;&gt;"",'Q22027'!E70&lt;&gt;""),'Q22027'!E70,"")</f>
        <v/>
      </c>
      <c r="B149" t="str">
        <f>IF(AND('Q22027'!B70&lt;&gt;"",'Q22027'!E70&lt;&gt;""),'Q22027'!B70,"")</f>
        <v/>
      </c>
      <c r="C149" t="str">
        <f>IF(AND('Q22027'!B70&lt;&gt;"",'Q22027'!E70&lt;&gt;""),'Q22027'!C70,"")</f>
        <v/>
      </c>
      <c r="D149" t="str">
        <f>IF(AND('Q22027'!B70&lt;&gt;"",'Q22027'!E70&lt;&gt;""),'Q22027'!D70,"")</f>
        <v/>
      </c>
      <c r="E149" t="str">
        <f>IF(AND('Q22027'!B70&lt;&gt;"",'Q22027'!E70&lt;&gt;""),'Q22027'!H70,"")</f>
        <v/>
      </c>
      <c r="F149" t="str">
        <f>IF(AND('Q22027'!B70&lt;&gt;"",'Q22027'!E70&lt;&gt;""),'Q22027'!F70,"")</f>
        <v/>
      </c>
      <c r="G149" t="str">
        <f>IF(AND('Q22027'!B70&lt;&gt;"",'Q22027'!E70&lt;&gt;""),'Q22027'!G70,"")</f>
        <v/>
      </c>
      <c r="H149" t="str">
        <f>IF(AND('Q22027'!B70&lt;&gt;"",'Q22027'!E70&lt;&gt;""),"Q22027","")</f>
        <v/>
      </c>
      <c r="I149" t="str">
        <f>IF(A149="Q12027",COUNTIF($A$2:$A149,"Q12027"),"")</f>
        <v/>
      </c>
      <c r="J149" t="str">
        <f>IF(A149="Q22027",COUNTIF($A$2:$A149,"Q22027"),"")</f>
        <v/>
      </c>
      <c r="K149" t="str">
        <f>IF(A149="Q32027",COUNTIF($A$2:$A149,"Q32027"),"")</f>
        <v/>
      </c>
      <c r="L149" t="str">
        <f>IF(A149="Q42027",COUNTIF($A$2:$A149,"Q42027"),"")</f>
        <v/>
      </c>
      <c r="M149" t="str">
        <f>IF(A149="Backlog",COUNTIF($A$2:$A149,"Backlog"),"")</f>
        <v/>
      </c>
    </row>
    <row r="150" spans="1:13">
      <c r="A150" t="str">
        <f>IF(AND('Q22027'!B71&lt;&gt;"",'Q22027'!E71&lt;&gt;""),'Q22027'!E71,"")</f>
        <v/>
      </c>
      <c r="B150" t="str">
        <f>IF(AND('Q22027'!B71&lt;&gt;"",'Q22027'!E71&lt;&gt;""),'Q22027'!B71,"")</f>
        <v/>
      </c>
      <c r="C150" t="str">
        <f>IF(AND('Q22027'!B71&lt;&gt;"",'Q22027'!E71&lt;&gt;""),'Q22027'!C71,"")</f>
        <v/>
      </c>
      <c r="D150" t="str">
        <f>IF(AND('Q22027'!B71&lt;&gt;"",'Q22027'!E71&lt;&gt;""),'Q22027'!D71,"")</f>
        <v/>
      </c>
      <c r="E150" t="str">
        <f>IF(AND('Q22027'!B71&lt;&gt;"",'Q22027'!E71&lt;&gt;""),'Q22027'!H71,"")</f>
        <v/>
      </c>
      <c r="F150" t="str">
        <f>IF(AND('Q22027'!B71&lt;&gt;"",'Q22027'!E71&lt;&gt;""),'Q22027'!F71,"")</f>
        <v/>
      </c>
      <c r="G150" t="str">
        <f>IF(AND('Q22027'!B71&lt;&gt;"",'Q22027'!E71&lt;&gt;""),'Q22027'!G71,"")</f>
        <v/>
      </c>
      <c r="H150" t="str">
        <f>IF(AND('Q22027'!B71&lt;&gt;"",'Q22027'!E71&lt;&gt;""),"Q22027","")</f>
        <v/>
      </c>
      <c r="I150" t="str">
        <f>IF(A150="Q12027",COUNTIF($A$2:$A150,"Q12027"),"")</f>
        <v/>
      </c>
      <c r="J150" t="str">
        <f>IF(A150="Q22027",COUNTIF($A$2:$A150,"Q22027"),"")</f>
        <v/>
      </c>
      <c r="K150" t="str">
        <f>IF(A150="Q32027",COUNTIF($A$2:$A150,"Q32027"),"")</f>
        <v/>
      </c>
      <c r="L150" t="str">
        <f>IF(A150="Q42027",COUNTIF($A$2:$A150,"Q42027"),"")</f>
        <v/>
      </c>
      <c r="M150" t="str">
        <f>IF(A150="Backlog",COUNTIF($A$2:$A150,"Backlog"),"")</f>
        <v/>
      </c>
    </row>
    <row r="151" spans="1:13">
      <c r="A151" t="str">
        <f>IF(AND('Q22027'!B72&lt;&gt;"",'Q22027'!E72&lt;&gt;""),'Q22027'!E72,"")</f>
        <v/>
      </c>
      <c r="B151" t="str">
        <f>IF(AND('Q22027'!B72&lt;&gt;"",'Q22027'!E72&lt;&gt;""),'Q22027'!B72,"")</f>
        <v/>
      </c>
      <c r="C151" t="str">
        <f>IF(AND('Q22027'!B72&lt;&gt;"",'Q22027'!E72&lt;&gt;""),'Q22027'!C72,"")</f>
        <v/>
      </c>
      <c r="D151" t="str">
        <f>IF(AND('Q22027'!B72&lt;&gt;"",'Q22027'!E72&lt;&gt;""),'Q22027'!D72,"")</f>
        <v/>
      </c>
      <c r="E151" t="str">
        <f>IF(AND('Q22027'!B72&lt;&gt;"",'Q22027'!E72&lt;&gt;""),'Q22027'!H72,"")</f>
        <v/>
      </c>
      <c r="F151" t="str">
        <f>IF(AND('Q22027'!B72&lt;&gt;"",'Q22027'!E72&lt;&gt;""),'Q22027'!F72,"")</f>
        <v/>
      </c>
      <c r="G151" t="str">
        <f>IF(AND('Q22027'!B72&lt;&gt;"",'Q22027'!E72&lt;&gt;""),'Q22027'!G72,"")</f>
        <v/>
      </c>
      <c r="H151" t="str">
        <f>IF(AND('Q22027'!B72&lt;&gt;"",'Q22027'!E72&lt;&gt;""),"Q22027","")</f>
        <v/>
      </c>
      <c r="I151" t="str">
        <f>IF(A151="Q12027",COUNTIF($A$2:$A151,"Q12027"),"")</f>
        <v/>
      </c>
      <c r="J151" t="str">
        <f>IF(A151="Q22027",COUNTIF($A$2:$A151,"Q22027"),"")</f>
        <v/>
      </c>
      <c r="K151" t="str">
        <f>IF(A151="Q32027",COUNTIF($A$2:$A151,"Q32027"),"")</f>
        <v/>
      </c>
      <c r="L151" t="str">
        <f>IF(A151="Q42027",COUNTIF($A$2:$A151,"Q42027"),"")</f>
        <v/>
      </c>
      <c r="M151" t="str">
        <f>IF(A151="Backlog",COUNTIF($A$2:$A151,"Backlog"),"")</f>
        <v/>
      </c>
    </row>
    <row r="152" spans="1:13">
      <c r="A152" t="str">
        <f>IF(AND('Q22027'!B73&lt;&gt;"",'Q22027'!E73&lt;&gt;""),'Q22027'!E73,"")</f>
        <v/>
      </c>
      <c r="B152" t="str">
        <f>IF(AND('Q22027'!B73&lt;&gt;"",'Q22027'!E73&lt;&gt;""),'Q22027'!B73,"")</f>
        <v/>
      </c>
      <c r="C152" t="str">
        <f>IF(AND('Q22027'!B73&lt;&gt;"",'Q22027'!E73&lt;&gt;""),'Q22027'!C73,"")</f>
        <v/>
      </c>
      <c r="D152" t="str">
        <f>IF(AND('Q22027'!B73&lt;&gt;"",'Q22027'!E73&lt;&gt;""),'Q22027'!D73,"")</f>
        <v/>
      </c>
      <c r="E152" t="str">
        <f>IF(AND('Q22027'!B73&lt;&gt;"",'Q22027'!E73&lt;&gt;""),'Q22027'!H73,"")</f>
        <v/>
      </c>
      <c r="F152" t="str">
        <f>IF(AND('Q22027'!B73&lt;&gt;"",'Q22027'!E73&lt;&gt;""),'Q22027'!F73,"")</f>
        <v/>
      </c>
      <c r="G152" t="str">
        <f>IF(AND('Q22027'!B73&lt;&gt;"",'Q22027'!E73&lt;&gt;""),'Q22027'!G73,"")</f>
        <v/>
      </c>
      <c r="H152" t="str">
        <f>IF(AND('Q22027'!B73&lt;&gt;"",'Q22027'!E73&lt;&gt;""),"Q22027","")</f>
        <v/>
      </c>
      <c r="I152" t="str">
        <f>IF(A152="Q12027",COUNTIF($A$2:$A152,"Q12027"),"")</f>
        <v/>
      </c>
      <c r="J152" t="str">
        <f>IF(A152="Q22027",COUNTIF($A$2:$A152,"Q22027"),"")</f>
        <v/>
      </c>
      <c r="K152" t="str">
        <f>IF(A152="Q32027",COUNTIF($A$2:$A152,"Q32027"),"")</f>
        <v/>
      </c>
      <c r="L152" t="str">
        <f>IF(A152="Q42027",COUNTIF($A$2:$A152,"Q42027"),"")</f>
        <v/>
      </c>
      <c r="M152" t="str">
        <f>IF(A152="Backlog",COUNTIF($A$2:$A152,"Backlog"),"")</f>
        <v/>
      </c>
    </row>
    <row r="153" spans="1:13">
      <c r="A153" t="str">
        <f>IF(AND('Q22027'!B74&lt;&gt;"",'Q22027'!E74&lt;&gt;""),'Q22027'!E74,"")</f>
        <v/>
      </c>
      <c r="B153" t="str">
        <f>IF(AND('Q22027'!B74&lt;&gt;"",'Q22027'!E74&lt;&gt;""),'Q22027'!B74,"")</f>
        <v/>
      </c>
      <c r="C153" t="str">
        <f>IF(AND('Q22027'!B74&lt;&gt;"",'Q22027'!E74&lt;&gt;""),'Q22027'!C74,"")</f>
        <v/>
      </c>
      <c r="D153" t="str">
        <f>IF(AND('Q22027'!B74&lt;&gt;"",'Q22027'!E74&lt;&gt;""),'Q22027'!D74,"")</f>
        <v/>
      </c>
      <c r="E153" t="str">
        <f>IF(AND('Q22027'!B74&lt;&gt;"",'Q22027'!E74&lt;&gt;""),'Q22027'!H74,"")</f>
        <v/>
      </c>
      <c r="F153" t="str">
        <f>IF(AND('Q22027'!B74&lt;&gt;"",'Q22027'!E74&lt;&gt;""),'Q22027'!F74,"")</f>
        <v/>
      </c>
      <c r="G153" t="str">
        <f>IF(AND('Q22027'!B74&lt;&gt;"",'Q22027'!E74&lt;&gt;""),'Q22027'!G74,"")</f>
        <v/>
      </c>
      <c r="H153" t="str">
        <f>IF(AND('Q22027'!B74&lt;&gt;"",'Q22027'!E74&lt;&gt;""),"Q22027","")</f>
        <v/>
      </c>
      <c r="I153" t="str">
        <f>IF(A153="Q12027",COUNTIF($A$2:$A153,"Q12027"),"")</f>
        <v/>
      </c>
      <c r="J153" t="str">
        <f>IF(A153="Q22027",COUNTIF($A$2:$A153,"Q22027"),"")</f>
        <v/>
      </c>
      <c r="K153" t="str">
        <f>IF(A153="Q32027",COUNTIF($A$2:$A153,"Q32027"),"")</f>
        <v/>
      </c>
      <c r="L153" t="str">
        <f>IF(A153="Q42027",COUNTIF($A$2:$A153,"Q42027"),"")</f>
        <v/>
      </c>
      <c r="M153" t="str">
        <f>IF(A153="Backlog",COUNTIF($A$2:$A153,"Backlog"),"")</f>
        <v/>
      </c>
    </row>
    <row r="154" spans="1:13">
      <c r="A154" t="str">
        <f>IF(AND('Q22027'!B75&lt;&gt;"",'Q22027'!E75&lt;&gt;""),'Q22027'!E75,"")</f>
        <v/>
      </c>
      <c r="B154" t="str">
        <f>IF(AND('Q22027'!B75&lt;&gt;"",'Q22027'!E75&lt;&gt;""),'Q22027'!B75,"")</f>
        <v/>
      </c>
      <c r="C154" t="str">
        <f>IF(AND('Q22027'!B75&lt;&gt;"",'Q22027'!E75&lt;&gt;""),'Q22027'!C75,"")</f>
        <v/>
      </c>
      <c r="D154" t="str">
        <f>IF(AND('Q22027'!B75&lt;&gt;"",'Q22027'!E75&lt;&gt;""),'Q22027'!D75,"")</f>
        <v/>
      </c>
      <c r="E154" t="str">
        <f>IF(AND('Q22027'!B75&lt;&gt;"",'Q22027'!E75&lt;&gt;""),'Q22027'!H75,"")</f>
        <v/>
      </c>
      <c r="F154" t="str">
        <f>IF(AND('Q22027'!B75&lt;&gt;"",'Q22027'!E75&lt;&gt;""),'Q22027'!F75,"")</f>
        <v/>
      </c>
      <c r="G154" t="str">
        <f>IF(AND('Q22027'!B75&lt;&gt;"",'Q22027'!E75&lt;&gt;""),'Q22027'!G75,"")</f>
        <v/>
      </c>
      <c r="H154" t="str">
        <f>IF(AND('Q22027'!B75&lt;&gt;"",'Q22027'!E75&lt;&gt;""),"Q22027","")</f>
        <v/>
      </c>
      <c r="I154" t="str">
        <f>IF(A154="Q12027",COUNTIF($A$2:$A154,"Q12027"),"")</f>
        <v/>
      </c>
      <c r="J154" t="str">
        <f>IF(A154="Q22027",COUNTIF($A$2:$A154,"Q22027"),"")</f>
        <v/>
      </c>
      <c r="K154" t="str">
        <f>IF(A154="Q32027",COUNTIF($A$2:$A154,"Q32027"),"")</f>
        <v/>
      </c>
      <c r="L154" t="str">
        <f>IF(A154="Q42027",COUNTIF($A$2:$A154,"Q42027"),"")</f>
        <v/>
      </c>
      <c r="M154" t="str">
        <f>IF(A154="Backlog",COUNTIF($A$2:$A154,"Backlog"),"")</f>
        <v/>
      </c>
    </row>
    <row r="155" spans="1:13">
      <c r="A155" t="str">
        <f>IF(AND('Q22027'!B76&lt;&gt;"",'Q22027'!E76&lt;&gt;""),'Q22027'!E76,"")</f>
        <v/>
      </c>
      <c r="B155" t="str">
        <f>IF(AND('Q22027'!B76&lt;&gt;"",'Q22027'!E76&lt;&gt;""),'Q22027'!B76,"")</f>
        <v/>
      </c>
      <c r="C155" t="str">
        <f>IF(AND('Q22027'!B76&lt;&gt;"",'Q22027'!E76&lt;&gt;""),'Q22027'!C76,"")</f>
        <v/>
      </c>
      <c r="D155" t="str">
        <f>IF(AND('Q22027'!B76&lt;&gt;"",'Q22027'!E76&lt;&gt;""),'Q22027'!D76,"")</f>
        <v/>
      </c>
      <c r="E155" t="str">
        <f>IF(AND('Q22027'!B76&lt;&gt;"",'Q22027'!E76&lt;&gt;""),'Q22027'!H76,"")</f>
        <v/>
      </c>
      <c r="F155" t="str">
        <f>IF(AND('Q22027'!B76&lt;&gt;"",'Q22027'!E76&lt;&gt;""),'Q22027'!F76,"")</f>
        <v/>
      </c>
      <c r="G155" t="str">
        <f>IF(AND('Q22027'!B76&lt;&gt;"",'Q22027'!E76&lt;&gt;""),'Q22027'!G76,"")</f>
        <v/>
      </c>
      <c r="H155" t="str">
        <f>IF(AND('Q22027'!B76&lt;&gt;"",'Q22027'!E76&lt;&gt;""),"Q22027","")</f>
        <v/>
      </c>
      <c r="I155" t="str">
        <f>IF(A155="Q12027",COUNTIF($A$2:$A155,"Q12027"),"")</f>
        <v/>
      </c>
      <c r="J155" t="str">
        <f>IF(A155="Q22027",COUNTIF($A$2:$A155,"Q22027"),"")</f>
        <v/>
      </c>
      <c r="K155" t="str">
        <f>IF(A155="Q32027",COUNTIF($A$2:$A155,"Q32027"),"")</f>
        <v/>
      </c>
      <c r="L155" t="str">
        <f>IF(A155="Q42027",COUNTIF($A$2:$A155,"Q42027"),"")</f>
        <v/>
      </c>
      <c r="M155" t="str">
        <f>IF(A155="Backlog",COUNTIF($A$2:$A155,"Backlog"),"")</f>
        <v/>
      </c>
    </row>
    <row r="156" spans="1:13">
      <c r="A156" t="str">
        <f>IF(AND('Q22027'!B77&lt;&gt;"",'Q22027'!E77&lt;&gt;""),'Q22027'!E77,"")</f>
        <v/>
      </c>
      <c r="B156" t="str">
        <f>IF(AND('Q22027'!B77&lt;&gt;"",'Q22027'!E77&lt;&gt;""),'Q22027'!B77,"")</f>
        <v/>
      </c>
      <c r="C156" t="str">
        <f>IF(AND('Q22027'!B77&lt;&gt;"",'Q22027'!E77&lt;&gt;""),'Q22027'!C77,"")</f>
        <v/>
      </c>
      <c r="D156" t="str">
        <f>IF(AND('Q22027'!B77&lt;&gt;"",'Q22027'!E77&lt;&gt;""),'Q22027'!D77,"")</f>
        <v/>
      </c>
      <c r="E156" t="str">
        <f>IF(AND('Q22027'!B77&lt;&gt;"",'Q22027'!E77&lt;&gt;""),'Q22027'!H77,"")</f>
        <v/>
      </c>
      <c r="F156" t="str">
        <f>IF(AND('Q22027'!B77&lt;&gt;"",'Q22027'!E77&lt;&gt;""),'Q22027'!F77,"")</f>
        <v/>
      </c>
      <c r="G156" t="str">
        <f>IF(AND('Q22027'!B77&lt;&gt;"",'Q22027'!E77&lt;&gt;""),'Q22027'!G77,"")</f>
        <v/>
      </c>
      <c r="H156" t="str">
        <f>IF(AND('Q22027'!B77&lt;&gt;"",'Q22027'!E77&lt;&gt;""),"Q22027","")</f>
        <v/>
      </c>
      <c r="I156" t="str">
        <f>IF(A156="Q12027",COUNTIF($A$2:$A156,"Q12027"),"")</f>
        <v/>
      </c>
      <c r="J156" t="str">
        <f>IF(A156="Q22027",COUNTIF($A$2:$A156,"Q22027"),"")</f>
        <v/>
      </c>
      <c r="K156" t="str">
        <f>IF(A156="Q32027",COUNTIF($A$2:$A156,"Q32027"),"")</f>
        <v/>
      </c>
      <c r="L156" t="str">
        <f>IF(A156="Q42027",COUNTIF($A$2:$A156,"Q42027"),"")</f>
        <v/>
      </c>
      <c r="M156" t="str">
        <f>IF(A156="Backlog",COUNTIF($A$2:$A156,"Backlog"),"")</f>
        <v/>
      </c>
    </row>
    <row r="157" spans="1:13">
      <c r="A157" t="str">
        <f>IF(AND('Q22027'!B78&lt;&gt;"",'Q22027'!E78&lt;&gt;""),'Q22027'!E78,"")</f>
        <v/>
      </c>
      <c r="B157" t="str">
        <f>IF(AND('Q22027'!B78&lt;&gt;"",'Q22027'!E78&lt;&gt;""),'Q22027'!B78,"")</f>
        <v/>
      </c>
      <c r="C157" t="str">
        <f>IF(AND('Q22027'!B78&lt;&gt;"",'Q22027'!E78&lt;&gt;""),'Q22027'!C78,"")</f>
        <v/>
      </c>
      <c r="D157" t="str">
        <f>IF(AND('Q22027'!B78&lt;&gt;"",'Q22027'!E78&lt;&gt;""),'Q22027'!D78,"")</f>
        <v/>
      </c>
      <c r="E157" t="str">
        <f>IF(AND('Q22027'!B78&lt;&gt;"",'Q22027'!E78&lt;&gt;""),'Q22027'!H78,"")</f>
        <v/>
      </c>
      <c r="F157" t="str">
        <f>IF(AND('Q22027'!B78&lt;&gt;"",'Q22027'!E78&lt;&gt;""),'Q22027'!F78,"")</f>
        <v/>
      </c>
      <c r="G157" t="str">
        <f>IF(AND('Q22027'!B78&lt;&gt;"",'Q22027'!E78&lt;&gt;""),'Q22027'!G78,"")</f>
        <v/>
      </c>
      <c r="H157" t="str">
        <f>IF(AND('Q22027'!B78&lt;&gt;"",'Q22027'!E78&lt;&gt;""),"Q22027","")</f>
        <v/>
      </c>
      <c r="I157" t="str">
        <f>IF(A157="Q12027",COUNTIF($A$2:$A157,"Q12027"),"")</f>
        <v/>
      </c>
      <c r="J157" t="str">
        <f>IF(A157="Q22027",COUNTIF($A$2:$A157,"Q22027"),"")</f>
        <v/>
      </c>
      <c r="K157" t="str">
        <f>IF(A157="Q32027",COUNTIF($A$2:$A157,"Q32027"),"")</f>
        <v/>
      </c>
      <c r="L157" t="str">
        <f>IF(A157="Q42027",COUNTIF($A$2:$A157,"Q42027"),"")</f>
        <v/>
      </c>
      <c r="M157" t="str">
        <f>IF(A157="Backlog",COUNTIF($A$2:$A157,"Backlog"),"")</f>
        <v/>
      </c>
    </row>
    <row r="158" spans="1:13">
      <c r="A158" t="str">
        <f>IF(AND('Q22027'!B79&lt;&gt;"",'Q22027'!E79&lt;&gt;""),'Q22027'!E79,"")</f>
        <v/>
      </c>
      <c r="B158" t="str">
        <f>IF(AND('Q22027'!B79&lt;&gt;"",'Q22027'!E79&lt;&gt;""),'Q22027'!B79,"")</f>
        <v/>
      </c>
      <c r="C158" t="str">
        <f>IF(AND('Q22027'!B79&lt;&gt;"",'Q22027'!E79&lt;&gt;""),'Q22027'!C79,"")</f>
        <v/>
      </c>
      <c r="D158" t="str">
        <f>IF(AND('Q22027'!B79&lt;&gt;"",'Q22027'!E79&lt;&gt;""),'Q22027'!D79,"")</f>
        <v/>
      </c>
      <c r="E158" t="str">
        <f>IF(AND('Q22027'!B79&lt;&gt;"",'Q22027'!E79&lt;&gt;""),'Q22027'!H79,"")</f>
        <v/>
      </c>
      <c r="F158" t="str">
        <f>IF(AND('Q22027'!B79&lt;&gt;"",'Q22027'!E79&lt;&gt;""),'Q22027'!F79,"")</f>
        <v/>
      </c>
      <c r="G158" t="str">
        <f>IF(AND('Q22027'!B79&lt;&gt;"",'Q22027'!E79&lt;&gt;""),'Q22027'!G79,"")</f>
        <v/>
      </c>
      <c r="H158" t="str">
        <f>IF(AND('Q22027'!B79&lt;&gt;"",'Q22027'!E79&lt;&gt;""),"Q22027","")</f>
        <v/>
      </c>
      <c r="I158" t="str">
        <f>IF(A158="Q12027",COUNTIF($A$2:$A158,"Q12027"),"")</f>
        <v/>
      </c>
      <c r="J158" t="str">
        <f>IF(A158="Q22027",COUNTIF($A$2:$A158,"Q22027"),"")</f>
        <v/>
      </c>
      <c r="K158" t="str">
        <f>IF(A158="Q32027",COUNTIF($A$2:$A158,"Q32027"),"")</f>
        <v/>
      </c>
      <c r="L158" t="str">
        <f>IF(A158="Q42027",COUNTIF($A$2:$A158,"Q42027"),"")</f>
        <v/>
      </c>
      <c r="M158" t="str">
        <f>IF(A158="Backlog",COUNTIF($A$2:$A158,"Backlog"),"")</f>
        <v/>
      </c>
    </row>
    <row r="159" spans="1:13">
      <c r="A159" t="str">
        <f>IF(AND('Q22027'!B80&lt;&gt;"",'Q22027'!E80&lt;&gt;""),'Q22027'!E80,"")</f>
        <v/>
      </c>
      <c r="B159" t="str">
        <f>IF(AND('Q22027'!B80&lt;&gt;"",'Q22027'!E80&lt;&gt;""),'Q22027'!B80,"")</f>
        <v/>
      </c>
      <c r="C159" t="str">
        <f>IF(AND('Q22027'!B80&lt;&gt;"",'Q22027'!E80&lt;&gt;""),'Q22027'!C80,"")</f>
        <v/>
      </c>
      <c r="D159" t="str">
        <f>IF(AND('Q22027'!B80&lt;&gt;"",'Q22027'!E80&lt;&gt;""),'Q22027'!D80,"")</f>
        <v/>
      </c>
      <c r="E159" t="str">
        <f>IF(AND('Q22027'!B80&lt;&gt;"",'Q22027'!E80&lt;&gt;""),'Q22027'!H80,"")</f>
        <v/>
      </c>
      <c r="F159" t="str">
        <f>IF(AND('Q22027'!B80&lt;&gt;"",'Q22027'!E80&lt;&gt;""),'Q22027'!F80,"")</f>
        <v/>
      </c>
      <c r="G159" t="str">
        <f>IF(AND('Q22027'!B80&lt;&gt;"",'Q22027'!E80&lt;&gt;""),'Q22027'!G80,"")</f>
        <v/>
      </c>
      <c r="H159" t="str">
        <f>IF(AND('Q22027'!B80&lt;&gt;"",'Q22027'!E80&lt;&gt;""),"Q22027","")</f>
        <v/>
      </c>
      <c r="I159" t="str">
        <f>IF(A159="Q12027",COUNTIF($A$2:$A159,"Q12027"),"")</f>
        <v/>
      </c>
      <c r="J159" t="str">
        <f>IF(A159="Q22027",COUNTIF($A$2:$A159,"Q22027"),"")</f>
        <v/>
      </c>
      <c r="K159" t="str">
        <f>IF(A159="Q32027",COUNTIF($A$2:$A159,"Q32027"),"")</f>
        <v/>
      </c>
      <c r="L159" t="str">
        <f>IF(A159="Q42027",COUNTIF($A$2:$A159,"Q42027"),"")</f>
        <v/>
      </c>
      <c r="M159" t="str">
        <f>IF(A159="Backlog",COUNTIF($A$2:$A159,"Backlog"),"")</f>
        <v/>
      </c>
    </row>
    <row r="160" spans="1:13">
      <c r="A160" t="str">
        <f>IF(AND('Q22027'!B81&lt;&gt;"",'Q22027'!E81&lt;&gt;""),'Q22027'!E81,"")</f>
        <v/>
      </c>
      <c r="B160" t="str">
        <f>IF(AND('Q22027'!B81&lt;&gt;"",'Q22027'!E81&lt;&gt;""),'Q22027'!B81,"")</f>
        <v/>
      </c>
      <c r="C160" t="str">
        <f>IF(AND('Q22027'!B81&lt;&gt;"",'Q22027'!E81&lt;&gt;""),'Q22027'!C81,"")</f>
        <v/>
      </c>
      <c r="D160" t="str">
        <f>IF(AND('Q22027'!B81&lt;&gt;"",'Q22027'!E81&lt;&gt;""),'Q22027'!D81,"")</f>
        <v/>
      </c>
      <c r="E160" t="str">
        <f>IF(AND('Q22027'!B81&lt;&gt;"",'Q22027'!E81&lt;&gt;""),'Q22027'!H81,"")</f>
        <v/>
      </c>
      <c r="F160" t="str">
        <f>IF(AND('Q22027'!B81&lt;&gt;"",'Q22027'!E81&lt;&gt;""),'Q22027'!F81,"")</f>
        <v/>
      </c>
      <c r="G160" t="str">
        <f>IF(AND('Q22027'!B81&lt;&gt;"",'Q22027'!E81&lt;&gt;""),'Q22027'!G81,"")</f>
        <v/>
      </c>
      <c r="H160" t="str">
        <f>IF(AND('Q22027'!B81&lt;&gt;"",'Q22027'!E81&lt;&gt;""),"Q22027","")</f>
        <v/>
      </c>
      <c r="I160" t="str">
        <f>IF(A160="Q12027",COUNTIF($A$2:$A160,"Q12027"),"")</f>
        <v/>
      </c>
      <c r="J160" t="str">
        <f>IF(A160="Q22027",COUNTIF($A$2:$A160,"Q22027"),"")</f>
        <v/>
      </c>
      <c r="K160" t="str">
        <f>IF(A160="Q32027",COUNTIF($A$2:$A160,"Q32027"),"")</f>
        <v/>
      </c>
      <c r="L160" t="str">
        <f>IF(A160="Q42027",COUNTIF($A$2:$A160,"Q42027"),"")</f>
        <v/>
      </c>
      <c r="M160" t="str">
        <f>IF(A160="Backlog",COUNTIF($A$2:$A160,"Backlog"),"")</f>
        <v/>
      </c>
    </row>
    <row r="161" spans="1:13">
      <c r="A161" t="str">
        <f>IF(AND('Q22027'!B82&lt;&gt;"",'Q22027'!E82&lt;&gt;""),'Q22027'!E82,"")</f>
        <v/>
      </c>
      <c r="B161" t="str">
        <f>IF(AND('Q22027'!B82&lt;&gt;"",'Q22027'!E82&lt;&gt;""),'Q22027'!B82,"")</f>
        <v/>
      </c>
      <c r="C161" t="str">
        <f>IF(AND('Q22027'!B82&lt;&gt;"",'Q22027'!E82&lt;&gt;""),'Q22027'!C82,"")</f>
        <v/>
      </c>
      <c r="D161" t="str">
        <f>IF(AND('Q22027'!B82&lt;&gt;"",'Q22027'!E82&lt;&gt;""),'Q22027'!D82,"")</f>
        <v/>
      </c>
      <c r="E161" t="str">
        <f>IF(AND('Q22027'!B82&lt;&gt;"",'Q22027'!E82&lt;&gt;""),'Q22027'!H82,"")</f>
        <v/>
      </c>
      <c r="F161" t="str">
        <f>IF(AND('Q22027'!B82&lt;&gt;"",'Q22027'!E82&lt;&gt;""),'Q22027'!F82,"")</f>
        <v/>
      </c>
      <c r="G161" t="str">
        <f>IF(AND('Q22027'!B82&lt;&gt;"",'Q22027'!E82&lt;&gt;""),'Q22027'!G82,"")</f>
        <v/>
      </c>
      <c r="H161" t="str">
        <f>IF(AND('Q22027'!B82&lt;&gt;"",'Q22027'!E82&lt;&gt;""),"Q22027","")</f>
        <v/>
      </c>
      <c r="I161" t="str">
        <f>IF(A161="Q12027",COUNTIF($A$2:$A161,"Q12027"),"")</f>
        <v/>
      </c>
      <c r="J161" t="str">
        <f>IF(A161="Q22027",COUNTIF($A$2:$A161,"Q22027"),"")</f>
        <v/>
      </c>
      <c r="K161" t="str">
        <f>IF(A161="Q32027",COUNTIF($A$2:$A161,"Q32027"),"")</f>
        <v/>
      </c>
      <c r="L161" t="str">
        <f>IF(A161="Q42027",COUNTIF($A$2:$A161,"Q42027"),"")</f>
        <v/>
      </c>
      <c r="M161" t="str">
        <f>IF(A161="Backlog",COUNTIF($A$2:$A161,"Backlog"),"")</f>
        <v/>
      </c>
    </row>
    <row r="162" spans="1:13">
      <c r="A162" t="str">
        <f>IF(AND('Q32027'!B3&lt;&gt;"",'Q32027'!E3&lt;&gt;""),'Q32027'!E3,"")</f>
        <v/>
      </c>
      <c r="B162" t="str">
        <f>IF(AND('Q32027'!B3&lt;&gt;"",'Q32027'!E3&lt;&gt;""),'Q32027'!B3,"")</f>
        <v/>
      </c>
      <c r="C162" t="str">
        <f>IF(AND('Q32027'!B3&lt;&gt;"",'Q32027'!E3&lt;&gt;""),'Q32027'!C3,"")</f>
        <v/>
      </c>
      <c r="D162" t="str">
        <f>IF(AND('Q32027'!B3&lt;&gt;"",'Q32027'!E3&lt;&gt;""),'Q32027'!D3,"")</f>
        <v/>
      </c>
      <c r="E162" t="str">
        <f>IF(AND('Q32027'!B3&lt;&gt;"",'Q32027'!E3&lt;&gt;""),'Q32027'!H3,"")</f>
        <v/>
      </c>
      <c r="F162" t="str">
        <f>IF(AND('Q32027'!B3&lt;&gt;"",'Q32027'!E3&lt;&gt;""),'Q32027'!F3,"")</f>
        <v/>
      </c>
      <c r="G162" t="str">
        <f>IF(AND('Q32027'!B3&lt;&gt;"",'Q32027'!E3&lt;&gt;""),'Q32027'!G3,"")</f>
        <v/>
      </c>
      <c r="H162" t="str">
        <f>IF(AND('Q32027'!B3&lt;&gt;"",'Q32027'!E3&lt;&gt;""),"Q32027","")</f>
        <v/>
      </c>
      <c r="I162" t="str">
        <f>IF(A162="Q12027",COUNTIF($A$2:$A162,"Q12027"),"")</f>
        <v/>
      </c>
      <c r="J162" t="str">
        <f>IF(A162="Q22027",COUNTIF($A$2:$A162,"Q22027"),"")</f>
        <v/>
      </c>
      <c r="K162" t="str">
        <f>IF(A162="Q32027",COUNTIF($A$2:$A162,"Q32027"),"")</f>
        <v/>
      </c>
      <c r="L162" t="str">
        <f>IF(A162="Q42027",COUNTIF($A$2:$A162,"Q42027"),"")</f>
        <v/>
      </c>
      <c r="M162" t="str">
        <f>IF(A162="Backlog",COUNTIF($A$2:$A162,"Backlog"),"")</f>
        <v/>
      </c>
    </row>
    <row r="163" spans="1:13">
      <c r="A163" t="str">
        <f>IF(AND('Q32027'!B4&lt;&gt;"",'Q32027'!E4&lt;&gt;""),'Q32027'!E4,"")</f>
        <v/>
      </c>
      <c r="B163" t="str">
        <f>IF(AND('Q32027'!B4&lt;&gt;"",'Q32027'!E4&lt;&gt;""),'Q32027'!B4,"")</f>
        <v/>
      </c>
      <c r="C163" t="str">
        <f>IF(AND('Q32027'!B4&lt;&gt;"",'Q32027'!E4&lt;&gt;""),'Q32027'!C4,"")</f>
        <v/>
      </c>
      <c r="D163" t="str">
        <f>IF(AND('Q32027'!B4&lt;&gt;"",'Q32027'!E4&lt;&gt;""),'Q32027'!D4,"")</f>
        <v/>
      </c>
      <c r="E163" t="str">
        <f>IF(AND('Q32027'!B4&lt;&gt;"",'Q32027'!E4&lt;&gt;""),'Q32027'!H4,"")</f>
        <v/>
      </c>
      <c r="F163" t="str">
        <f>IF(AND('Q32027'!B4&lt;&gt;"",'Q32027'!E4&lt;&gt;""),'Q32027'!F4,"")</f>
        <v/>
      </c>
      <c r="G163" t="str">
        <f>IF(AND('Q32027'!B4&lt;&gt;"",'Q32027'!E4&lt;&gt;""),'Q32027'!G4,"")</f>
        <v/>
      </c>
      <c r="H163" t="str">
        <f>IF(AND('Q32027'!B4&lt;&gt;"",'Q32027'!E4&lt;&gt;""),"Q32027","")</f>
        <v/>
      </c>
      <c r="I163" t="str">
        <f>IF(A163="Q12027",COUNTIF($A$2:$A163,"Q12027"),"")</f>
        <v/>
      </c>
      <c r="J163" t="str">
        <f>IF(A163="Q22027",COUNTIF($A$2:$A163,"Q22027"),"")</f>
        <v/>
      </c>
      <c r="K163" t="str">
        <f>IF(A163="Q32027",COUNTIF($A$2:$A163,"Q32027"),"")</f>
        <v/>
      </c>
      <c r="L163" t="str">
        <f>IF(A163="Q42027",COUNTIF($A$2:$A163,"Q42027"),"")</f>
        <v/>
      </c>
      <c r="M163" t="str">
        <f>IF(A163="Backlog",COUNTIF($A$2:$A163,"Backlog"),"")</f>
        <v/>
      </c>
    </row>
    <row r="164" spans="1:13">
      <c r="A164" t="str">
        <f>IF(AND('Q32027'!B5&lt;&gt;"",'Q32027'!E5&lt;&gt;""),'Q32027'!E5,"")</f>
        <v/>
      </c>
      <c r="B164" t="str">
        <f>IF(AND('Q32027'!B5&lt;&gt;"",'Q32027'!E5&lt;&gt;""),'Q32027'!B5,"")</f>
        <v/>
      </c>
      <c r="C164" t="str">
        <f>IF(AND('Q32027'!B5&lt;&gt;"",'Q32027'!E5&lt;&gt;""),'Q32027'!C5,"")</f>
        <v/>
      </c>
      <c r="D164" t="str">
        <f>IF(AND('Q32027'!B5&lt;&gt;"",'Q32027'!E5&lt;&gt;""),'Q32027'!D5,"")</f>
        <v/>
      </c>
      <c r="E164" t="str">
        <f>IF(AND('Q32027'!B5&lt;&gt;"",'Q32027'!E5&lt;&gt;""),'Q32027'!H5,"")</f>
        <v/>
      </c>
      <c r="F164" t="str">
        <f>IF(AND('Q32027'!B5&lt;&gt;"",'Q32027'!E5&lt;&gt;""),'Q32027'!F5,"")</f>
        <v/>
      </c>
      <c r="G164" t="str">
        <f>IF(AND('Q32027'!B5&lt;&gt;"",'Q32027'!E5&lt;&gt;""),'Q32027'!G5,"")</f>
        <v/>
      </c>
      <c r="H164" t="str">
        <f>IF(AND('Q32027'!B5&lt;&gt;"",'Q32027'!E5&lt;&gt;""),"Q32027","")</f>
        <v/>
      </c>
      <c r="I164" t="str">
        <f>IF(A164="Q12027",COUNTIF($A$2:$A164,"Q12027"),"")</f>
        <v/>
      </c>
      <c r="J164" t="str">
        <f>IF(A164="Q22027",COUNTIF($A$2:$A164,"Q22027"),"")</f>
        <v/>
      </c>
      <c r="K164" t="str">
        <f>IF(A164="Q32027",COUNTIF($A$2:$A164,"Q32027"),"")</f>
        <v/>
      </c>
      <c r="L164" t="str">
        <f>IF(A164="Q42027",COUNTIF($A$2:$A164,"Q42027"),"")</f>
        <v/>
      </c>
      <c r="M164" t="str">
        <f>IF(A164="Backlog",COUNTIF($A$2:$A164,"Backlog"),"")</f>
        <v/>
      </c>
    </row>
    <row r="165" spans="1:13">
      <c r="A165" t="str">
        <f>IF(AND('Q32027'!B6&lt;&gt;"",'Q32027'!E6&lt;&gt;""),'Q32027'!E6,"")</f>
        <v/>
      </c>
      <c r="B165" t="str">
        <f>IF(AND('Q32027'!B6&lt;&gt;"",'Q32027'!E6&lt;&gt;""),'Q32027'!B6,"")</f>
        <v/>
      </c>
      <c r="C165" t="str">
        <f>IF(AND('Q32027'!B6&lt;&gt;"",'Q32027'!E6&lt;&gt;""),'Q32027'!C6,"")</f>
        <v/>
      </c>
      <c r="D165" t="str">
        <f>IF(AND('Q32027'!B6&lt;&gt;"",'Q32027'!E6&lt;&gt;""),'Q32027'!D6,"")</f>
        <v/>
      </c>
      <c r="E165" t="str">
        <f>IF(AND('Q32027'!B6&lt;&gt;"",'Q32027'!E6&lt;&gt;""),'Q32027'!H6,"")</f>
        <v/>
      </c>
      <c r="F165" t="str">
        <f>IF(AND('Q32027'!B6&lt;&gt;"",'Q32027'!E6&lt;&gt;""),'Q32027'!F6,"")</f>
        <v/>
      </c>
      <c r="G165" t="str">
        <f>IF(AND('Q32027'!B6&lt;&gt;"",'Q32027'!E6&lt;&gt;""),'Q32027'!G6,"")</f>
        <v/>
      </c>
      <c r="H165" t="str">
        <f>IF(AND('Q32027'!B6&lt;&gt;"",'Q32027'!E6&lt;&gt;""),"Q32027","")</f>
        <v/>
      </c>
      <c r="I165" t="str">
        <f>IF(A165="Q12027",COUNTIF($A$2:$A165,"Q12027"),"")</f>
        <v/>
      </c>
      <c r="J165" t="str">
        <f>IF(A165="Q22027",COUNTIF($A$2:$A165,"Q22027"),"")</f>
        <v/>
      </c>
      <c r="K165" t="str">
        <f>IF(A165="Q32027",COUNTIF($A$2:$A165,"Q32027"),"")</f>
        <v/>
      </c>
      <c r="L165" t="str">
        <f>IF(A165="Q42027",COUNTIF($A$2:$A165,"Q42027"),"")</f>
        <v/>
      </c>
      <c r="M165" t="str">
        <f>IF(A165="Backlog",COUNTIF($A$2:$A165,"Backlog"),"")</f>
        <v/>
      </c>
    </row>
    <row r="166" spans="1:13">
      <c r="A166" t="str">
        <f>IF(AND('Q32027'!B7&lt;&gt;"",'Q32027'!E7&lt;&gt;""),'Q32027'!E7,"")</f>
        <v/>
      </c>
      <c r="B166" t="str">
        <f>IF(AND('Q32027'!B7&lt;&gt;"",'Q32027'!E7&lt;&gt;""),'Q32027'!B7,"")</f>
        <v/>
      </c>
      <c r="C166" t="str">
        <f>IF(AND('Q32027'!B7&lt;&gt;"",'Q32027'!E7&lt;&gt;""),'Q32027'!C7,"")</f>
        <v/>
      </c>
      <c r="D166" t="str">
        <f>IF(AND('Q32027'!B7&lt;&gt;"",'Q32027'!E7&lt;&gt;""),'Q32027'!D7,"")</f>
        <v/>
      </c>
      <c r="E166" t="str">
        <f>IF(AND('Q32027'!B7&lt;&gt;"",'Q32027'!E7&lt;&gt;""),'Q32027'!H7,"")</f>
        <v/>
      </c>
      <c r="F166" t="str">
        <f>IF(AND('Q32027'!B7&lt;&gt;"",'Q32027'!E7&lt;&gt;""),'Q32027'!F7,"")</f>
        <v/>
      </c>
      <c r="G166" t="str">
        <f>IF(AND('Q32027'!B7&lt;&gt;"",'Q32027'!E7&lt;&gt;""),'Q32027'!G7,"")</f>
        <v/>
      </c>
      <c r="H166" t="str">
        <f>IF(AND('Q32027'!B7&lt;&gt;"",'Q32027'!E7&lt;&gt;""),"Q32027","")</f>
        <v/>
      </c>
      <c r="I166" t="str">
        <f>IF(A166="Q12027",COUNTIF($A$2:$A166,"Q12027"),"")</f>
        <v/>
      </c>
      <c r="J166" t="str">
        <f>IF(A166="Q22027",COUNTIF($A$2:$A166,"Q22027"),"")</f>
        <v/>
      </c>
      <c r="K166" t="str">
        <f>IF(A166="Q32027",COUNTIF($A$2:$A166,"Q32027"),"")</f>
        <v/>
      </c>
      <c r="L166" t="str">
        <f>IF(A166="Q42027",COUNTIF($A$2:$A166,"Q42027"),"")</f>
        <v/>
      </c>
      <c r="M166" t="str">
        <f>IF(A166="Backlog",COUNTIF($A$2:$A166,"Backlog"),"")</f>
        <v/>
      </c>
    </row>
    <row r="167" spans="1:13">
      <c r="A167" t="str">
        <f>IF(AND('Q32027'!B8&lt;&gt;"",'Q32027'!E8&lt;&gt;""),'Q32027'!E8,"")</f>
        <v/>
      </c>
      <c r="B167" t="str">
        <f>IF(AND('Q32027'!B8&lt;&gt;"",'Q32027'!E8&lt;&gt;""),'Q32027'!B8,"")</f>
        <v/>
      </c>
      <c r="C167" t="str">
        <f>IF(AND('Q32027'!B8&lt;&gt;"",'Q32027'!E8&lt;&gt;""),'Q32027'!C8,"")</f>
        <v/>
      </c>
      <c r="D167" t="str">
        <f>IF(AND('Q32027'!B8&lt;&gt;"",'Q32027'!E8&lt;&gt;""),'Q32027'!D8,"")</f>
        <v/>
      </c>
      <c r="E167" t="str">
        <f>IF(AND('Q32027'!B8&lt;&gt;"",'Q32027'!E8&lt;&gt;""),'Q32027'!H8,"")</f>
        <v/>
      </c>
      <c r="F167" t="str">
        <f>IF(AND('Q32027'!B8&lt;&gt;"",'Q32027'!E8&lt;&gt;""),'Q32027'!F8,"")</f>
        <v/>
      </c>
      <c r="G167" t="str">
        <f>IF(AND('Q32027'!B8&lt;&gt;"",'Q32027'!E8&lt;&gt;""),'Q32027'!G8,"")</f>
        <v/>
      </c>
      <c r="H167" t="str">
        <f>IF(AND('Q32027'!B8&lt;&gt;"",'Q32027'!E8&lt;&gt;""),"Q32027","")</f>
        <v/>
      </c>
      <c r="I167" t="str">
        <f>IF(A167="Q12027",COUNTIF($A$2:$A167,"Q12027"),"")</f>
        <v/>
      </c>
      <c r="J167" t="str">
        <f>IF(A167="Q22027",COUNTIF($A$2:$A167,"Q22027"),"")</f>
        <v/>
      </c>
      <c r="K167" t="str">
        <f>IF(A167="Q32027",COUNTIF($A$2:$A167,"Q32027"),"")</f>
        <v/>
      </c>
      <c r="L167" t="str">
        <f>IF(A167="Q42027",COUNTIF($A$2:$A167,"Q42027"),"")</f>
        <v/>
      </c>
      <c r="M167" t="str">
        <f>IF(A167="Backlog",COUNTIF($A$2:$A167,"Backlog"),"")</f>
        <v/>
      </c>
    </row>
    <row r="168" spans="1:13">
      <c r="A168" t="str">
        <f>IF(AND('Q32027'!B9&lt;&gt;"",'Q32027'!E9&lt;&gt;""),'Q32027'!E9,"")</f>
        <v/>
      </c>
      <c r="B168" t="str">
        <f>IF(AND('Q32027'!B9&lt;&gt;"",'Q32027'!E9&lt;&gt;""),'Q32027'!B9,"")</f>
        <v/>
      </c>
      <c r="C168" t="str">
        <f>IF(AND('Q32027'!B9&lt;&gt;"",'Q32027'!E9&lt;&gt;""),'Q32027'!C9,"")</f>
        <v/>
      </c>
      <c r="D168" t="str">
        <f>IF(AND('Q32027'!B9&lt;&gt;"",'Q32027'!E9&lt;&gt;""),'Q32027'!D9,"")</f>
        <v/>
      </c>
      <c r="E168" t="str">
        <f>IF(AND('Q32027'!B9&lt;&gt;"",'Q32027'!E9&lt;&gt;""),'Q32027'!H9,"")</f>
        <v/>
      </c>
      <c r="F168" t="str">
        <f>IF(AND('Q32027'!B9&lt;&gt;"",'Q32027'!E9&lt;&gt;""),'Q32027'!F9,"")</f>
        <v/>
      </c>
      <c r="G168" t="str">
        <f>IF(AND('Q32027'!B9&lt;&gt;"",'Q32027'!E9&lt;&gt;""),'Q32027'!G9,"")</f>
        <v/>
      </c>
      <c r="H168" t="str">
        <f>IF(AND('Q32027'!B9&lt;&gt;"",'Q32027'!E9&lt;&gt;""),"Q32027","")</f>
        <v/>
      </c>
      <c r="I168" t="str">
        <f>IF(A168="Q12027",COUNTIF($A$2:$A168,"Q12027"),"")</f>
        <v/>
      </c>
      <c r="J168" t="str">
        <f>IF(A168="Q22027",COUNTIF($A$2:$A168,"Q22027"),"")</f>
        <v/>
      </c>
      <c r="K168" t="str">
        <f>IF(A168="Q32027",COUNTIF($A$2:$A168,"Q32027"),"")</f>
        <v/>
      </c>
      <c r="L168" t="str">
        <f>IF(A168="Q42027",COUNTIF($A$2:$A168,"Q42027"),"")</f>
        <v/>
      </c>
      <c r="M168" t="str">
        <f>IF(A168="Backlog",COUNTIF($A$2:$A168,"Backlog"),"")</f>
        <v/>
      </c>
    </row>
    <row r="169" spans="1:13">
      <c r="A169" t="str">
        <f>IF(AND('Q32027'!B10&lt;&gt;"",'Q32027'!E10&lt;&gt;""),'Q32027'!E10,"")</f>
        <v/>
      </c>
      <c r="B169" t="str">
        <f>IF(AND('Q32027'!B10&lt;&gt;"",'Q32027'!E10&lt;&gt;""),'Q32027'!B10,"")</f>
        <v/>
      </c>
      <c r="C169" t="str">
        <f>IF(AND('Q32027'!B10&lt;&gt;"",'Q32027'!E10&lt;&gt;""),'Q32027'!C10,"")</f>
        <v/>
      </c>
      <c r="D169" t="str">
        <f>IF(AND('Q32027'!B10&lt;&gt;"",'Q32027'!E10&lt;&gt;""),'Q32027'!D10,"")</f>
        <v/>
      </c>
      <c r="E169" t="str">
        <f>IF(AND('Q32027'!B10&lt;&gt;"",'Q32027'!E10&lt;&gt;""),'Q32027'!H10,"")</f>
        <v/>
      </c>
      <c r="F169" t="str">
        <f>IF(AND('Q32027'!B10&lt;&gt;"",'Q32027'!E10&lt;&gt;""),'Q32027'!F10,"")</f>
        <v/>
      </c>
      <c r="G169" t="str">
        <f>IF(AND('Q32027'!B10&lt;&gt;"",'Q32027'!E10&lt;&gt;""),'Q32027'!G10,"")</f>
        <v/>
      </c>
      <c r="H169" t="str">
        <f>IF(AND('Q32027'!B10&lt;&gt;"",'Q32027'!E10&lt;&gt;""),"Q32027","")</f>
        <v/>
      </c>
      <c r="I169" t="str">
        <f>IF(A169="Q12027",COUNTIF($A$2:$A169,"Q12027"),"")</f>
        <v/>
      </c>
      <c r="J169" t="str">
        <f>IF(A169="Q22027",COUNTIF($A$2:$A169,"Q22027"),"")</f>
        <v/>
      </c>
      <c r="K169" t="str">
        <f>IF(A169="Q32027",COUNTIF($A$2:$A169,"Q32027"),"")</f>
        <v/>
      </c>
      <c r="L169" t="str">
        <f>IF(A169="Q42027",COUNTIF($A$2:$A169,"Q42027"),"")</f>
        <v/>
      </c>
      <c r="M169" t="str">
        <f>IF(A169="Backlog",COUNTIF($A$2:$A169,"Backlog"),"")</f>
        <v/>
      </c>
    </row>
    <row r="170" spans="1:13">
      <c r="A170" t="str">
        <f>IF(AND('Q32027'!B11&lt;&gt;"",'Q32027'!E11&lt;&gt;""),'Q32027'!E11,"")</f>
        <v/>
      </c>
      <c r="B170" t="str">
        <f>IF(AND('Q32027'!B11&lt;&gt;"",'Q32027'!E11&lt;&gt;""),'Q32027'!B11,"")</f>
        <v/>
      </c>
      <c r="C170" t="str">
        <f>IF(AND('Q32027'!B11&lt;&gt;"",'Q32027'!E11&lt;&gt;""),'Q32027'!C11,"")</f>
        <v/>
      </c>
      <c r="D170" t="str">
        <f>IF(AND('Q32027'!B11&lt;&gt;"",'Q32027'!E11&lt;&gt;""),'Q32027'!D11,"")</f>
        <v/>
      </c>
      <c r="E170" t="str">
        <f>IF(AND('Q32027'!B11&lt;&gt;"",'Q32027'!E11&lt;&gt;""),'Q32027'!H11,"")</f>
        <v/>
      </c>
      <c r="F170" t="str">
        <f>IF(AND('Q32027'!B11&lt;&gt;"",'Q32027'!E11&lt;&gt;""),'Q32027'!F11,"")</f>
        <v/>
      </c>
      <c r="G170" t="str">
        <f>IF(AND('Q32027'!B11&lt;&gt;"",'Q32027'!E11&lt;&gt;""),'Q32027'!G11,"")</f>
        <v/>
      </c>
      <c r="H170" t="str">
        <f>IF(AND('Q32027'!B11&lt;&gt;"",'Q32027'!E11&lt;&gt;""),"Q32027","")</f>
        <v/>
      </c>
      <c r="I170" t="str">
        <f>IF(A170="Q12027",COUNTIF($A$2:$A170,"Q12027"),"")</f>
        <v/>
      </c>
      <c r="J170" t="str">
        <f>IF(A170="Q22027",COUNTIF($A$2:$A170,"Q22027"),"")</f>
        <v/>
      </c>
      <c r="K170" t="str">
        <f>IF(A170="Q32027",COUNTIF($A$2:$A170,"Q32027"),"")</f>
        <v/>
      </c>
      <c r="L170" t="str">
        <f>IF(A170="Q42027",COUNTIF($A$2:$A170,"Q42027"),"")</f>
        <v/>
      </c>
      <c r="M170" t="str">
        <f>IF(A170="Backlog",COUNTIF($A$2:$A170,"Backlog"),"")</f>
        <v/>
      </c>
    </row>
    <row r="171" spans="1:13">
      <c r="A171" t="str">
        <f>IF(AND('Q32027'!B12&lt;&gt;"",'Q32027'!E12&lt;&gt;""),'Q32027'!E12,"")</f>
        <v/>
      </c>
      <c r="B171" t="str">
        <f>IF(AND('Q32027'!B12&lt;&gt;"",'Q32027'!E12&lt;&gt;""),'Q32027'!B12,"")</f>
        <v/>
      </c>
      <c r="C171" t="str">
        <f>IF(AND('Q32027'!B12&lt;&gt;"",'Q32027'!E12&lt;&gt;""),'Q32027'!C12,"")</f>
        <v/>
      </c>
      <c r="D171" t="str">
        <f>IF(AND('Q32027'!B12&lt;&gt;"",'Q32027'!E12&lt;&gt;""),'Q32027'!D12,"")</f>
        <v/>
      </c>
      <c r="E171" t="str">
        <f>IF(AND('Q32027'!B12&lt;&gt;"",'Q32027'!E12&lt;&gt;""),'Q32027'!H12,"")</f>
        <v/>
      </c>
      <c r="F171" t="str">
        <f>IF(AND('Q32027'!B12&lt;&gt;"",'Q32027'!E12&lt;&gt;""),'Q32027'!F12,"")</f>
        <v/>
      </c>
      <c r="G171" t="str">
        <f>IF(AND('Q32027'!B12&lt;&gt;"",'Q32027'!E12&lt;&gt;""),'Q32027'!G12,"")</f>
        <v/>
      </c>
      <c r="H171" t="str">
        <f>IF(AND('Q32027'!B12&lt;&gt;"",'Q32027'!E12&lt;&gt;""),"Q32027","")</f>
        <v/>
      </c>
      <c r="I171" t="str">
        <f>IF(A171="Q12027",COUNTIF($A$2:$A171,"Q12027"),"")</f>
        <v/>
      </c>
      <c r="J171" t="str">
        <f>IF(A171="Q22027",COUNTIF($A$2:$A171,"Q22027"),"")</f>
        <v/>
      </c>
      <c r="K171" t="str">
        <f>IF(A171="Q32027",COUNTIF($A$2:$A171,"Q32027"),"")</f>
        <v/>
      </c>
      <c r="L171" t="str">
        <f>IF(A171="Q42027",COUNTIF($A$2:$A171,"Q42027"),"")</f>
        <v/>
      </c>
      <c r="M171" t="str">
        <f>IF(A171="Backlog",COUNTIF($A$2:$A171,"Backlog"),"")</f>
        <v/>
      </c>
    </row>
    <row r="172" spans="1:13">
      <c r="A172" t="str">
        <f>IF(AND('Q32027'!B13&lt;&gt;"",'Q32027'!E13&lt;&gt;""),'Q32027'!E13,"")</f>
        <v/>
      </c>
      <c r="B172" t="str">
        <f>IF(AND('Q32027'!B13&lt;&gt;"",'Q32027'!E13&lt;&gt;""),'Q32027'!B13,"")</f>
        <v/>
      </c>
      <c r="C172" t="str">
        <f>IF(AND('Q32027'!B13&lt;&gt;"",'Q32027'!E13&lt;&gt;""),'Q32027'!C13,"")</f>
        <v/>
      </c>
      <c r="D172" t="str">
        <f>IF(AND('Q32027'!B13&lt;&gt;"",'Q32027'!E13&lt;&gt;""),'Q32027'!D13,"")</f>
        <v/>
      </c>
      <c r="E172" t="str">
        <f>IF(AND('Q32027'!B13&lt;&gt;"",'Q32027'!E13&lt;&gt;""),'Q32027'!H13,"")</f>
        <v/>
      </c>
      <c r="F172" t="str">
        <f>IF(AND('Q32027'!B13&lt;&gt;"",'Q32027'!E13&lt;&gt;""),'Q32027'!F13,"")</f>
        <v/>
      </c>
      <c r="G172" t="str">
        <f>IF(AND('Q32027'!B13&lt;&gt;"",'Q32027'!E13&lt;&gt;""),'Q32027'!G13,"")</f>
        <v/>
      </c>
      <c r="H172" t="str">
        <f>IF(AND('Q32027'!B13&lt;&gt;"",'Q32027'!E13&lt;&gt;""),"Q32027","")</f>
        <v/>
      </c>
      <c r="I172" t="str">
        <f>IF(A172="Q12027",COUNTIF($A$2:$A172,"Q12027"),"")</f>
        <v/>
      </c>
      <c r="J172" t="str">
        <f>IF(A172="Q22027",COUNTIF($A$2:$A172,"Q22027"),"")</f>
        <v/>
      </c>
      <c r="K172" t="str">
        <f>IF(A172="Q32027",COUNTIF($A$2:$A172,"Q32027"),"")</f>
        <v/>
      </c>
      <c r="L172" t="str">
        <f>IF(A172="Q42027",COUNTIF($A$2:$A172,"Q42027"),"")</f>
        <v/>
      </c>
      <c r="M172" t="str">
        <f>IF(A172="Backlog",COUNTIF($A$2:$A172,"Backlog"),"")</f>
        <v/>
      </c>
    </row>
    <row r="173" spans="1:13">
      <c r="A173" t="str">
        <f>IF(AND('Q32027'!B14&lt;&gt;"",'Q32027'!E14&lt;&gt;""),'Q32027'!E14,"")</f>
        <v/>
      </c>
      <c r="B173" t="str">
        <f>IF(AND('Q32027'!B14&lt;&gt;"",'Q32027'!E14&lt;&gt;""),'Q32027'!B14,"")</f>
        <v/>
      </c>
      <c r="C173" t="str">
        <f>IF(AND('Q32027'!B14&lt;&gt;"",'Q32027'!E14&lt;&gt;""),'Q32027'!C14,"")</f>
        <v/>
      </c>
      <c r="D173" t="str">
        <f>IF(AND('Q32027'!B14&lt;&gt;"",'Q32027'!E14&lt;&gt;""),'Q32027'!D14,"")</f>
        <v/>
      </c>
      <c r="E173" t="str">
        <f>IF(AND('Q32027'!B14&lt;&gt;"",'Q32027'!E14&lt;&gt;""),'Q32027'!H14,"")</f>
        <v/>
      </c>
      <c r="F173" t="str">
        <f>IF(AND('Q32027'!B14&lt;&gt;"",'Q32027'!E14&lt;&gt;""),'Q32027'!F14,"")</f>
        <v/>
      </c>
      <c r="G173" t="str">
        <f>IF(AND('Q32027'!B14&lt;&gt;"",'Q32027'!E14&lt;&gt;""),'Q32027'!G14,"")</f>
        <v/>
      </c>
      <c r="H173" t="str">
        <f>IF(AND('Q32027'!B14&lt;&gt;"",'Q32027'!E14&lt;&gt;""),"Q32027","")</f>
        <v/>
      </c>
      <c r="I173" t="str">
        <f>IF(A173="Q12027",COUNTIF($A$2:$A173,"Q12027"),"")</f>
        <v/>
      </c>
      <c r="J173" t="str">
        <f>IF(A173="Q22027",COUNTIF($A$2:$A173,"Q22027"),"")</f>
        <v/>
      </c>
      <c r="K173" t="str">
        <f>IF(A173="Q32027",COUNTIF($A$2:$A173,"Q32027"),"")</f>
        <v/>
      </c>
      <c r="L173" t="str">
        <f>IF(A173="Q42027",COUNTIF($A$2:$A173,"Q42027"),"")</f>
        <v/>
      </c>
      <c r="M173" t="str">
        <f>IF(A173="Backlog",COUNTIF($A$2:$A173,"Backlog"),"")</f>
        <v/>
      </c>
    </row>
    <row r="174" spans="1:13">
      <c r="A174" t="str">
        <f>IF(AND('Q32027'!B15&lt;&gt;"",'Q32027'!E15&lt;&gt;""),'Q32027'!E15,"")</f>
        <v/>
      </c>
      <c r="B174" t="str">
        <f>IF(AND('Q32027'!B15&lt;&gt;"",'Q32027'!E15&lt;&gt;""),'Q32027'!B15,"")</f>
        <v/>
      </c>
      <c r="C174" t="str">
        <f>IF(AND('Q32027'!B15&lt;&gt;"",'Q32027'!E15&lt;&gt;""),'Q32027'!C15,"")</f>
        <v/>
      </c>
      <c r="D174" t="str">
        <f>IF(AND('Q32027'!B15&lt;&gt;"",'Q32027'!E15&lt;&gt;""),'Q32027'!D15,"")</f>
        <v/>
      </c>
      <c r="E174" t="str">
        <f>IF(AND('Q32027'!B15&lt;&gt;"",'Q32027'!E15&lt;&gt;""),'Q32027'!H15,"")</f>
        <v/>
      </c>
      <c r="F174" t="str">
        <f>IF(AND('Q32027'!B15&lt;&gt;"",'Q32027'!E15&lt;&gt;""),'Q32027'!F15,"")</f>
        <v/>
      </c>
      <c r="G174" t="str">
        <f>IF(AND('Q32027'!B15&lt;&gt;"",'Q32027'!E15&lt;&gt;""),'Q32027'!G15,"")</f>
        <v/>
      </c>
      <c r="H174" t="str">
        <f>IF(AND('Q32027'!B15&lt;&gt;"",'Q32027'!E15&lt;&gt;""),"Q32027","")</f>
        <v/>
      </c>
      <c r="I174" t="str">
        <f>IF(A174="Q12027",COUNTIF($A$2:$A174,"Q12027"),"")</f>
        <v/>
      </c>
      <c r="J174" t="str">
        <f>IF(A174="Q22027",COUNTIF($A$2:$A174,"Q22027"),"")</f>
        <v/>
      </c>
      <c r="K174" t="str">
        <f>IF(A174="Q32027",COUNTIF($A$2:$A174,"Q32027"),"")</f>
        <v/>
      </c>
      <c r="L174" t="str">
        <f>IF(A174="Q42027",COUNTIF($A$2:$A174,"Q42027"),"")</f>
        <v/>
      </c>
      <c r="M174" t="str">
        <f>IF(A174="Backlog",COUNTIF($A$2:$A174,"Backlog"),"")</f>
        <v/>
      </c>
    </row>
    <row r="175" spans="1:13">
      <c r="A175" t="str">
        <f>IF(AND('Q32027'!B16&lt;&gt;"",'Q32027'!E16&lt;&gt;""),'Q32027'!E16,"")</f>
        <v/>
      </c>
      <c r="B175" t="str">
        <f>IF(AND('Q32027'!B16&lt;&gt;"",'Q32027'!E16&lt;&gt;""),'Q32027'!B16,"")</f>
        <v/>
      </c>
      <c r="C175" t="str">
        <f>IF(AND('Q32027'!B16&lt;&gt;"",'Q32027'!E16&lt;&gt;""),'Q32027'!C16,"")</f>
        <v/>
      </c>
      <c r="D175" t="str">
        <f>IF(AND('Q32027'!B16&lt;&gt;"",'Q32027'!E16&lt;&gt;""),'Q32027'!D16,"")</f>
        <v/>
      </c>
      <c r="E175" t="str">
        <f>IF(AND('Q32027'!B16&lt;&gt;"",'Q32027'!E16&lt;&gt;""),'Q32027'!H16,"")</f>
        <v/>
      </c>
      <c r="F175" t="str">
        <f>IF(AND('Q32027'!B16&lt;&gt;"",'Q32027'!E16&lt;&gt;""),'Q32027'!F16,"")</f>
        <v/>
      </c>
      <c r="G175" t="str">
        <f>IF(AND('Q32027'!B16&lt;&gt;"",'Q32027'!E16&lt;&gt;""),'Q32027'!G16,"")</f>
        <v/>
      </c>
      <c r="H175" t="str">
        <f>IF(AND('Q32027'!B16&lt;&gt;"",'Q32027'!E16&lt;&gt;""),"Q32027","")</f>
        <v/>
      </c>
      <c r="I175" t="str">
        <f>IF(A175="Q12027",COUNTIF($A$2:$A175,"Q12027"),"")</f>
        <v/>
      </c>
      <c r="J175" t="str">
        <f>IF(A175="Q22027",COUNTIF($A$2:$A175,"Q22027"),"")</f>
        <v/>
      </c>
      <c r="K175" t="str">
        <f>IF(A175="Q32027",COUNTIF($A$2:$A175,"Q32027"),"")</f>
        <v/>
      </c>
      <c r="L175" t="str">
        <f>IF(A175="Q42027",COUNTIF($A$2:$A175,"Q42027"),"")</f>
        <v/>
      </c>
      <c r="M175" t="str">
        <f>IF(A175="Backlog",COUNTIF($A$2:$A175,"Backlog"),"")</f>
        <v/>
      </c>
    </row>
    <row r="176" spans="1:13">
      <c r="A176" t="str">
        <f>IF(AND('Q32027'!B17&lt;&gt;"",'Q32027'!E17&lt;&gt;""),'Q32027'!E17,"")</f>
        <v/>
      </c>
      <c r="B176" t="str">
        <f>IF(AND('Q32027'!B17&lt;&gt;"",'Q32027'!E17&lt;&gt;""),'Q32027'!B17,"")</f>
        <v/>
      </c>
      <c r="C176" t="str">
        <f>IF(AND('Q32027'!B17&lt;&gt;"",'Q32027'!E17&lt;&gt;""),'Q32027'!C17,"")</f>
        <v/>
      </c>
      <c r="D176" t="str">
        <f>IF(AND('Q32027'!B17&lt;&gt;"",'Q32027'!E17&lt;&gt;""),'Q32027'!D17,"")</f>
        <v/>
      </c>
      <c r="E176" t="str">
        <f>IF(AND('Q32027'!B17&lt;&gt;"",'Q32027'!E17&lt;&gt;""),'Q32027'!H17,"")</f>
        <v/>
      </c>
      <c r="F176" t="str">
        <f>IF(AND('Q32027'!B17&lt;&gt;"",'Q32027'!E17&lt;&gt;""),'Q32027'!F17,"")</f>
        <v/>
      </c>
      <c r="G176" t="str">
        <f>IF(AND('Q32027'!B17&lt;&gt;"",'Q32027'!E17&lt;&gt;""),'Q32027'!G17,"")</f>
        <v/>
      </c>
      <c r="H176" t="str">
        <f>IF(AND('Q32027'!B17&lt;&gt;"",'Q32027'!E17&lt;&gt;""),"Q32027","")</f>
        <v/>
      </c>
      <c r="I176" t="str">
        <f>IF(A176="Q12027",COUNTIF($A$2:$A176,"Q12027"),"")</f>
        <v/>
      </c>
      <c r="J176" t="str">
        <f>IF(A176="Q22027",COUNTIF($A$2:$A176,"Q22027"),"")</f>
        <v/>
      </c>
      <c r="K176" t="str">
        <f>IF(A176="Q32027",COUNTIF($A$2:$A176,"Q32027"),"")</f>
        <v/>
      </c>
      <c r="L176" t="str">
        <f>IF(A176="Q42027",COUNTIF($A$2:$A176,"Q42027"),"")</f>
        <v/>
      </c>
      <c r="M176" t="str">
        <f>IF(A176="Backlog",COUNTIF($A$2:$A176,"Backlog"),"")</f>
        <v/>
      </c>
    </row>
    <row r="177" spans="1:13">
      <c r="A177" t="str">
        <f>IF(AND('Q32027'!B18&lt;&gt;"",'Q32027'!E18&lt;&gt;""),'Q32027'!E18,"")</f>
        <v/>
      </c>
      <c r="B177" t="str">
        <f>IF(AND('Q32027'!B18&lt;&gt;"",'Q32027'!E18&lt;&gt;""),'Q32027'!B18,"")</f>
        <v/>
      </c>
      <c r="C177" t="str">
        <f>IF(AND('Q32027'!B18&lt;&gt;"",'Q32027'!E18&lt;&gt;""),'Q32027'!C18,"")</f>
        <v/>
      </c>
      <c r="D177" t="str">
        <f>IF(AND('Q32027'!B18&lt;&gt;"",'Q32027'!E18&lt;&gt;""),'Q32027'!D18,"")</f>
        <v/>
      </c>
      <c r="E177" t="str">
        <f>IF(AND('Q32027'!B18&lt;&gt;"",'Q32027'!E18&lt;&gt;""),'Q32027'!H18,"")</f>
        <v/>
      </c>
      <c r="F177" t="str">
        <f>IF(AND('Q32027'!B18&lt;&gt;"",'Q32027'!E18&lt;&gt;""),'Q32027'!F18,"")</f>
        <v/>
      </c>
      <c r="G177" t="str">
        <f>IF(AND('Q32027'!B18&lt;&gt;"",'Q32027'!E18&lt;&gt;""),'Q32027'!G18,"")</f>
        <v/>
      </c>
      <c r="H177" t="str">
        <f>IF(AND('Q32027'!B18&lt;&gt;"",'Q32027'!E18&lt;&gt;""),"Q32027","")</f>
        <v/>
      </c>
      <c r="I177" t="str">
        <f>IF(A177="Q12027",COUNTIF($A$2:$A177,"Q12027"),"")</f>
        <v/>
      </c>
      <c r="J177" t="str">
        <f>IF(A177="Q22027",COUNTIF($A$2:$A177,"Q22027"),"")</f>
        <v/>
      </c>
      <c r="K177" t="str">
        <f>IF(A177="Q32027",COUNTIF($A$2:$A177,"Q32027"),"")</f>
        <v/>
      </c>
      <c r="L177" t="str">
        <f>IF(A177="Q42027",COUNTIF($A$2:$A177,"Q42027"),"")</f>
        <v/>
      </c>
      <c r="M177" t="str">
        <f>IF(A177="Backlog",COUNTIF($A$2:$A177,"Backlog"),"")</f>
        <v/>
      </c>
    </row>
    <row r="178" spans="1:13">
      <c r="A178" t="str">
        <f>IF(AND('Q32027'!B19&lt;&gt;"",'Q32027'!E19&lt;&gt;""),'Q32027'!E19,"")</f>
        <v/>
      </c>
      <c r="B178" t="str">
        <f>IF(AND('Q32027'!B19&lt;&gt;"",'Q32027'!E19&lt;&gt;""),'Q32027'!B19,"")</f>
        <v/>
      </c>
      <c r="C178" t="str">
        <f>IF(AND('Q32027'!B19&lt;&gt;"",'Q32027'!E19&lt;&gt;""),'Q32027'!C19,"")</f>
        <v/>
      </c>
      <c r="D178" t="str">
        <f>IF(AND('Q32027'!B19&lt;&gt;"",'Q32027'!E19&lt;&gt;""),'Q32027'!D19,"")</f>
        <v/>
      </c>
      <c r="E178" t="str">
        <f>IF(AND('Q32027'!B19&lt;&gt;"",'Q32027'!E19&lt;&gt;""),'Q32027'!H19,"")</f>
        <v/>
      </c>
      <c r="F178" t="str">
        <f>IF(AND('Q32027'!B19&lt;&gt;"",'Q32027'!E19&lt;&gt;""),'Q32027'!F19,"")</f>
        <v/>
      </c>
      <c r="G178" t="str">
        <f>IF(AND('Q32027'!B19&lt;&gt;"",'Q32027'!E19&lt;&gt;""),'Q32027'!G19,"")</f>
        <v/>
      </c>
      <c r="H178" t="str">
        <f>IF(AND('Q32027'!B19&lt;&gt;"",'Q32027'!E19&lt;&gt;""),"Q32027","")</f>
        <v/>
      </c>
      <c r="I178" t="str">
        <f>IF(A178="Q12027",COUNTIF($A$2:$A178,"Q12027"),"")</f>
        <v/>
      </c>
      <c r="J178" t="str">
        <f>IF(A178="Q22027",COUNTIF($A$2:$A178,"Q22027"),"")</f>
        <v/>
      </c>
      <c r="K178" t="str">
        <f>IF(A178="Q32027",COUNTIF($A$2:$A178,"Q32027"),"")</f>
        <v/>
      </c>
      <c r="L178" t="str">
        <f>IF(A178="Q42027",COUNTIF($A$2:$A178,"Q42027"),"")</f>
        <v/>
      </c>
      <c r="M178" t="str">
        <f>IF(A178="Backlog",COUNTIF($A$2:$A178,"Backlog"),"")</f>
        <v/>
      </c>
    </row>
    <row r="179" spans="1:13">
      <c r="A179" t="str">
        <f>IF(AND('Q32027'!B20&lt;&gt;"",'Q32027'!E20&lt;&gt;""),'Q32027'!E20,"")</f>
        <v/>
      </c>
      <c r="B179" t="str">
        <f>IF(AND('Q32027'!B20&lt;&gt;"",'Q32027'!E20&lt;&gt;""),'Q32027'!B20,"")</f>
        <v/>
      </c>
      <c r="C179" t="str">
        <f>IF(AND('Q32027'!B20&lt;&gt;"",'Q32027'!E20&lt;&gt;""),'Q32027'!C20,"")</f>
        <v/>
      </c>
      <c r="D179" t="str">
        <f>IF(AND('Q32027'!B20&lt;&gt;"",'Q32027'!E20&lt;&gt;""),'Q32027'!D20,"")</f>
        <v/>
      </c>
      <c r="E179" t="str">
        <f>IF(AND('Q32027'!B20&lt;&gt;"",'Q32027'!E20&lt;&gt;""),'Q32027'!H20,"")</f>
        <v/>
      </c>
      <c r="F179" t="str">
        <f>IF(AND('Q32027'!B20&lt;&gt;"",'Q32027'!E20&lt;&gt;""),'Q32027'!F20,"")</f>
        <v/>
      </c>
      <c r="G179" t="str">
        <f>IF(AND('Q32027'!B20&lt;&gt;"",'Q32027'!E20&lt;&gt;""),'Q32027'!G20,"")</f>
        <v/>
      </c>
      <c r="H179" t="str">
        <f>IF(AND('Q32027'!B20&lt;&gt;"",'Q32027'!E20&lt;&gt;""),"Q32027","")</f>
        <v/>
      </c>
      <c r="I179" t="str">
        <f>IF(A179="Q12027",COUNTIF($A$2:$A179,"Q12027"),"")</f>
        <v/>
      </c>
      <c r="J179" t="str">
        <f>IF(A179="Q22027",COUNTIF($A$2:$A179,"Q22027"),"")</f>
        <v/>
      </c>
      <c r="K179" t="str">
        <f>IF(A179="Q32027",COUNTIF($A$2:$A179,"Q32027"),"")</f>
        <v/>
      </c>
      <c r="L179" t="str">
        <f>IF(A179="Q42027",COUNTIF($A$2:$A179,"Q42027"),"")</f>
        <v/>
      </c>
      <c r="M179" t="str">
        <f>IF(A179="Backlog",COUNTIF($A$2:$A179,"Backlog"),"")</f>
        <v/>
      </c>
    </row>
    <row r="180" spans="1:13">
      <c r="A180" t="str">
        <f>IF(AND('Q32027'!B21&lt;&gt;"",'Q32027'!E21&lt;&gt;""),'Q32027'!E21,"")</f>
        <v/>
      </c>
      <c r="B180" t="str">
        <f>IF(AND('Q32027'!B21&lt;&gt;"",'Q32027'!E21&lt;&gt;""),'Q32027'!B21,"")</f>
        <v/>
      </c>
      <c r="C180" t="str">
        <f>IF(AND('Q32027'!B21&lt;&gt;"",'Q32027'!E21&lt;&gt;""),'Q32027'!C21,"")</f>
        <v/>
      </c>
      <c r="D180" t="str">
        <f>IF(AND('Q32027'!B21&lt;&gt;"",'Q32027'!E21&lt;&gt;""),'Q32027'!D21,"")</f>
        <v/>
      </c>
      <c r="E180" t="str">
        <f>IF(AND('Q32027'!B21&lt;&gt;"",'Q32027'!E21&lt;&gt;""),'Q32027'!H21,"")</f>
        <v/>
      </c>
      <c r="F180" t="str">
        <f>IF(AND('Q32027'!B21&lt;&gt;"",'Q32027'!E21&lt;&gt;""),'Q32027'!F21,"")</f>
        <v/>
      </c>
      <c r="G180" t="str">
        <f>IF(AND('Q32027'!B21&lt;&gt;"",'Q32027'!E21&lt;&gt;""),'Q32027'!G21,"")</f>
        <v/>
      </c>
      <c r="H180" t="str">
        <f>IF(AND('Q32027'!B21&lt;&gt;"",'Q32027'!E21&lt;&gt;""),"Q32027","")</f>
        <v/>
      </c>
      <c r="I180" t="str">
        <f>IF(A180="Q12027",COUNTIF($A$2:$A180,"Q12027"),"")</f>
        <v/>
      </c>
      <c r="J180" t="str">
        <f>IF(A180="Q22027",COUNTIF($A$2:$A180,"Q22027"),"")</f>
        <v/>
      </c>
      <c r="K180" t="str">
        <f>IF(A180="Q32027",COUNTIF($A$2:$A180,"Q32027"),"")</f>
        <v/>
      </c>
      <c r="L180" t="str">
        <f>IF(A180="Q42027",COUNTIF($A$2:$A180,"Q42027"),"")</f>
        <v/>
      </c>
      <c r="M180" t="str">
        <f>IF(A180="Backlog",COUNTIF($A$2:$A180,"Backlog"),"")</f>
        <v/>
      </c>
    </row>
    <row r="181" spans="1:13">
      <c r="A181" t="str">
        <f>IF(AND('Q32027'!B22&lt;&gt;"",'Q32027'!E22&lt;&gt;""),'Q32027'!E22,"")</f>
        <v/>
      </c>
      <c r="B181" t="str">
        <f>IF(AND('Q32027'!B22&lt;&gt;"",'Q32027'!E22&lt;&gt;""),'Q32027'!B22,"")</f>
        <v/>
      </c>
      <c r="C181" t="str">
        <f>IF(AND('Q32027'!B22&lt;&gt;"",'Q32027'!E22&lt;&gt;""),'Q32027'!C22,"")</f>
        <v/>
      </c>
      <c r="D181" t="str">
        <f>IF(AND('Q32027'!B22&lt;&gt;"",'Q32027'!E22&lt;&gt;""),'Q32027'!D22,"")</f>
        <v/>
      </c>
      <c r="E181" t="str">
        <f>IF(AND('Q32027'!B22&lt;&gt;"",'Q32027'!E22&lt;&gt;""),'Q32027'!H22,"")</f>
        <v/>
      </c>
      <c r="F181" t="str">
        <f>IF(AND('Q32027'!B22&lt;&gt;"",'Q32027'!E22&lt;&gt;""),'Q32027'!F22,"")</f>
        <v/>
      </c>
      <c r="G181" t="str">
        <f>IF(AND('Q32027'!B22&lt;&gt;"",'Q32027'!E22&lt;&gt;""),'Q32027'!G22,"")</f>
        <v/>
      </c>
      <c r="H181" t="str">
        <f>IF(AND('Q32027'!B22&lt;&gt;"",'Q32027'!E22&lt;&gt;""),"Q32027","")</f>
        <v/>
      </c>
      <c r="I181" t="str">
        <f>IF(A181="Q12027",COUNTIF($A$2:$A181,"Q12027"),"")</f>
        <v/>
      </c>
      <c r="J181" t="str">
        <f>IF(A181="Q22027",COUNTIF($A$2:$A181,"Q22027"),"")</f>
        <v/>
      </c>
      <c r="K181" t="str">
        <f>IF(A181="Q32027",COUNTIF($A$2:$A181,"Q32027"),"")</f>
        <v/>
      </c>
      <c r="L181" t="str">
        <f>IF(A181="Q42027",COUNTIF($A$2:$A181,"Q42027"),"")</f>
        <v/>
      </c>
      <c r="M181" t="str">
        <f>IF(A181="Backlog",COUNTIF($A$2:$A181,"Backlog"),"")</f>
        <v/>
      </c>
    </row>
    <row r="182" spans="1:13">
      <c r="A182" t="str">
        <f>IF(AND('Q32027'!B23&lt;&gt;"",'Q32027'!E23&lt;&gt;""),'Q32027'!E23,"")</f>
        <v/>
      </c>
      <c r="B182" t="str">
        <f>IF(AND('Q32027'!B23&lt;&gt;"",'Q32027'!E23&lt;&gt;""),'Q32027'!B23,"")</f>
        <v/>
      </c>
      <c r="C182" t="str">
        <f>IF(AND('Q32027'!B23&lt;&gt;"",'Q32027'!E23&lt;&gt;""),'Q32027'!C23,"")</f>
        <v/>
      </c>
      <c r="D182" t="str">
        <f>IF(AND('Q32027'!B23&lt;&gt;"",'Q32027'!E23&lt;&gt;""),'Q32027'!D23,"")</f>
        <v/>
      </c>
      <c r="E182" t="str">
        <f>IF(AND('Q32027'!B23&lt;&gt;"",'Q32027'!E23&lt;&gt;""),'Q32027'!H23,"")</f>
        <v/>
      </c>
      <c r="F182" t="str">
        <f>IF(AND('Q32027'!B23&lt;&gt;"",'Q32027'!E23&lt;&gt;""),'Q32027'!F23,"")</f>
        <v/>
      </c>
      <c r="G182" t="str">
        <f>IF(AND('Q32027'!B23&lt;&gt;"",'Q32027'!E23&lt;&gt;""),'Q32027'!G23,"")</f>
        <v/>
      </c>
      <c r="H182" t="str">
        <f>IF(AND('Q32027'!B23&lt;&gt;"",'Q32027'!E23&lt;&gt;""),"Q32027","")</f>
        <v/>
      </c>
      <c r="I182" t="str">
        <f>IF(A182="Q12027",COUNTIF($A$2:$A182,"Q12027"),"")</f>
        <v/>
      </c>
      <c r="J182" t="str">
        <f>IF(A182="Q22027",COUNTIF($A$2:$A182,"Q22027"),"")</f>
        <v/>
      </c>
      <c r="K182" t="str">
        <f>IF(A182="Q32027",COUNTIF($A$2:$A182,"Q32027"),"")</f>
        <v/>
      </c>
      <c r="L182" t="str">
        <f>IF(A182="Q42027",COUNTIF($A$2:$A182,"Q42027"),"")</f>
        <v/>
      </c>
      <c r="M182" t="str">
        <f>IF(A182="Backlog",COUNTIF($A$2:$A182,"Backlog"),"")</f>
        <v/>
      </c>
    </row>
    <row r="183" spans="1:13">
      <c r="A183" t="str">
        <f>IF(AND('Q32027'!B24&lt;&gt;"",'Q32027'!E24&lt;&gt;""),'Q32027'!E24,"")</f>
        <v/>
      </c>
      <c r="B183" t="str">
        <f>IF(AND('Q32027'!B24&lt;&gt;"",'Q32027'!E24&lt;&gt;""),'Q32027'!B24,"")</f>
        <v/>
      </c>
      <c r="C183" t="str">
        <f>IF(AND('Q32027'!B24&lt;&gt;"",'Q32027'!E24&lt;&gt;""),'Q32027'!C24,"")</f>
        <v/>
      </c>
      <c r="D183" t="str">
        <f>IF(AND('Q32027'!B24&lt;&gt;"",'Q32027'!E24&lt;&gt;""),'Q32027'!D24,"")</f>
        <v/>
      </c>
      <c r="E183" t="str">
        <f>IF(AND('Q32027'!B24&lt;&gt;"",'Q32027'!E24&lt;&gt;""),'Q32027'!H24,"")</f>
        <v/>
      </c>
      <c r="F183" t="str">
        <f>IF(AND('Q32027'!B24&lt;&gt;"",'Q32027'!E24&lt;&gt;""),'Q32027'!F24,"")</f>
        <v/>
      </c>
      <c r="G183" t="str">
        <f>IF(AND('Q32027'!B24&lt;&gt;"",'Q32027'!E24&lt;&gt;""),'Q32027'!G24,"")</f>
        <v/>
      </c>
      <c r="H183" t="str">
        <f>IF(AND('Q32027'!B24&lt;&gt;"",'Q32027'!E24&lt;&gt;""),"Q32027","")</f>
        <v/>
      </c>
      <c r="I183" t="str">
        <f>IF(A183="Q12027",COUNTIF($A$2:$A183,"Q12027"),"")</f>
        <v/>
      </c>
      <c r="J183" t="str">
        <f>IF(A183="Q22027",COUNTIF($A$2:$A183,"Q22027"),"")</f>
        <v/>
      </c>
      <c r="K183" t="str">
        <f>IF(A183="Q32027",COUNTIF($A$2:$A183,"Q32027"),"")</f>
        <v/>
      </c>
      <c r="L183" t="str">
        <f>IF(A183="Q42027",COUNTIF($A$2:$A183,"Q42027"),"")</f>
        <v/>
      </c>
      <c r="M183" t="str">
        <f>IF(A183="Backlog",COUNTIF($A$2:$A183,"Backlog"),"")</f>
        <v/>
      </c>
    </row>
    <row r="184" spans="1:13">
      <c r="A184" t="str">
        <f>IF(AND('Q32027'!B25&lt;&gt;"",'Q32027'!E25&lt;&gt;""),'Q32027'!E25,"")</f>
        <v/>
      </c>
      <c r="B184" t="str">
        <f>IF(AND('Q32027'!B25&lt;&gt;"",'Q32027'!E25&lt;&gt;""),'Q32027'!B25,"")</f>
        <v/>
      </c>
      <c r="C184" t="str">
        <f>IF(AND('Q32027'!B25&lt;&gt;"",'Q32027'!E25&lt;&gt;""),'Q32027'!C25,"")</f>
        <v/>
      </c>
      <c r="D184" t="str">
        <f>IF(AND('Q32027'!B25&lt;&gt;"",'Q32027'!E25&lt;&gt;""),'Q32027'!D25,"")</f>
        <v/>
      </c>
      <c r="E184" t="str">
        <f>IF(AND('Q32027'!B25&lt;&gt;"",'Q32027'!E25&lt;&gt;""),'Q32027'!H25,"")</f>
        <v/>
      </c>
      <c r="F184" t="str">
        <f>IF(AND('Q32027'!B25&lt;&gt;"",'Q32027'!E25&lt;&gt;""),'Q32027'!F25,"")</f>
        <v/>
      </c>
      <c r="G184" t="str">
        <f>IF(AND('Q32027'!B25&lt;&gt;"",'Q32027'!E25&lt;&gt;""),'Q32027'!G25,"")</f>
        <v/>
      </c>
      <c r="H184" t="str">
        <f>IF(AND('Q32027'!B25&lt;&gt;"",'Q32027'!E25&lt;&gt;""),"Q32027","")</f>
        <v/>
      </c>
      <c r="I184" t="str">
        <f>IF(A184="Q12027",COUNTIF($A$2:$A184,"Q12027"),"")</f>
        <v/>
      </c>
      <c r="J184" t="str">
        <f>IF(A184="Q22027",COUNTIF($A$2:$A184,"Q22027"),"")</f>
        <v/>
      </c>
      <c r="K184" t="str">
        <f>IF(A184="Q32027",COUNTIF($A$2:$A184,"Q32027"),"")</f>
        <v/>
      </c>
      <c r="L184" t="str">
        <f>IF(A184="Q42027",COUNTIF($A$2:$A184,"Q42027"),"")</f>
        <v/>
      </c>
      <c r="M184" t="str">
        <f>IF(A184="Backlog",COUNTIF($A$2:$A184,"Backlog"),"")</f>
        <v/>
      </c>
    </row>
    <row r="185" spans="1:13">
      <c r="A185" t="str">
        <f>IF(AND('Q32027'!B26&lt;&gt;"",'Q32027'!E26&lt;&gt;""),'Q32027'!E26,"")</f>
        <v/>
      </c>
      <c r="B185" t="str">
        <f>IF(AND('Q32027'!B26&lt;&gt;"",'Q32027'!E26&lt;&gt;""),'Q32027'!B26,"")</f>
        <v/>
      </c>
      <c r="C185" t="str">
        <f>IF(AND('Q32027'!B26&lt;&gt;"",'Q32027'!E26&lt;&gt;""),'Q32027'!C26,"")</f>
        <v/>
      </c>
      <c r="D185" t="str">
        <f>IF(AND('Q32027'!B26&lt;&gt;"",'Q32027'!E26&lt;&gt;""),'Q32027'!D26,"")</f>
        <v/>
      </c>
      <c r="E185" t="str">
        <f>IF(AND('Q32027'!B26&lt;&gt;"",'Q32027'!E26&lt;&gt;""),'Q32027'!H26,"")</f>
        <v/>
      </c>
      <c r="F185" t="str">
        <f>IF(AND('Q32027'!B26&lt;&gt;"",'Q32027'!E26&lt;&gt;""),'Q32027'!F26,"")</f>
        <v/>
      </c>
      <c r="G185" t="str">
        <f>IF(AND('Q32027'!B26&lt;&gt;"",'Q32027'!E26&lt;&gt;""),'Q32027'!G26,"")</f>
        <v/>
      </c>
      <c r="H185" t="str">
        <f>IF(AND('Q32027'!B26&lt;&gt;"",'Q32027'!E26&lt;&gt;""),"Q32027","")</f>
        <v/>
      </c>
      <c r="I185" t="str">
        <f>IF(A185="Q12027",COUNTIF($A$2:$A185,"Q12027"),"")</f>
        <v/>
      </c>
      <c r="J185" t="str">
        <f>IF(A185="Q22027",COUNTIF($A$2:$A185,"Q22027"),"")</f>
        <v/>
      </c>
      <c r="K185" t="str">
        <f>IF(A185="Q32027",COUNTIF($A$2:$A185,"Q32027"),"")</f>
        <v/>
      </c>
      <c r="L185" t="str">
        <f>IF(A185="Q42027",COUNTIF($A$2:$A185,"Q42027"),"")</f>
        <v/>
      </c>
      <c r="M185" t="str">
        <f>IF(A185="Backlog",COUNTIF($A$2:$A185,"Backlog"),"")</f>
        <v/>
      </c>
    </row>
    <row r="186" spans="1:13">
      <c r="A186" t="str">
        <f>IF(AND('Q32027'!B27&lt;&gt;"",'Q32027'!E27&lt;&gt;""),'Q32027'!E27,"")</f>
        <v/>
      </c>
      <c r="B186" t="str">
        <f>IF(AND('Q32027'!B27&lt;&gt;"",'Q32027'!E27&lt;&gt;""),'Q32027'!B27,"")</f>
        <v/>
      </c>
      <c r="C186" t="str">
        <f>IF(AND('Q32027'!B27&lt;&gt;"",'Q32027'!E27&lt;&gt;""),'Q32027'!C27,"")</f>
        <v/>
      </c>
      <c r="D186" t="str">
        <f>IF(AND('Q32027'!B27&lt;&gt;"",'Q32027'!E27&lt;&gt;""),'Q32027'!D27,"")</f>
        <v/>
      </c>
      <c r="E186" t="str">
        <f>IF(AND('Q32027'!B27&lt;&gt;"",'Q32027'!E27&lt;&gt;""),'Q32027'!H27,"")</f>
        <v/>
      </c>
      <c r="F186" t="str">
        <f>IF(AND('Q32027'!B27&lt;&gt;"",'Q32027'!E27&lt;&gt;""),'Q32027'!F27,"")</f>
        <v/>
      </c>
      <c r="G186" t="str">
        <f>IF(AND('Q32027'!B27&lt;&gt;"",'Q32027'!E27&lt;&gt;""),'Q32027'!G27,"")</f>
        <v/>
      </c>
      <c r="H186" t="str">
        <f>IF(AND('Q32027'!B27&lt;&gt;"",'Q32027'!E27&lt;&gt;""),"Q32027","")</f>
        <v/>
      </c>
      <c r="I186" t="str">
        <f>IF(A186="Q12027",COUNTIF($A$2:$A186,"Q12027"),"")</f>
        <v/>
      </c>
      <c r="J186" t="str">
        <f>IF(A186="Q22027",COUNTIF($A$2:$A186,"Q22027"),"")</f>
        <v/>
      </c>
      <c r="K186" t="str">
        <f>IF(A186="Q32027",COUNTIF($A$2:$A186,"Q32027"),"")</f>
        <v/>
      </c>
      <c r="L186" t="str">
        <f>IF(A186="Q42027",COUNTIF($A$2:$A186,"Q42027"),"")</f>
        <v/>
      </c>
      <c r="M186" t="str">
        <f>IF(A186="Backlog",COUNTIF($A$2:$A186,"Backlog"),"")</f>
        <v/>
      </c>
    </row>
    <row r="187" spans="1:13">
      <c r="A187" t="str">
        <f>IF(AND('Q32027'!B28&lt;&gt;"",'Q32027'!E28&lt;&gt;""),'Q32027'!E28,"")</f>
        <v/>
      </c>
      <c r="B187" t="str">
        <f>IF(AND('Q32027'!B28&lt;&gt;"",'Q32027'!E28&lt;&gt;""),'Q32027'!B28,"")</f>
        <v/>
      </c>
      <c r="C187" t="str">
        <f>IF(AND('Q32027'!B28&lt;&gt;"",'Q32027'!E28&lt;&gt;""),'Q32027'!C28,"")</f>
        <v/>
      </c>
      <c r="D187" t="str">
        <f>IF(AND('Q32027'!B28&lt;&gt;"",'Q32027'!E28&lt;&gt;""),'Q32027'!D28,"")</f>
        <v/>
      </c>
      <c r="E187" t="str">
        <f>IF(AND('Q32027'!B28&lt;&gt;"",'Q32027'!E28&lt;&gt;""),'Q32027'!H28,"")</f>
        <v/>
      </c>
      <c r="F187" t="str">
        <f>IF(AND('Q32027'!B28&lt;&gt;"",'Q32027'!E28&lt;&gt;""),'Q32027'!F28,"")</f>
        <v/>
      </c>
      <c r="G187" t="str">
        <f>IF(AND('Q32027'!B28&lt;&gt;"",'Q32027'!E28&lt;&gt;""),'Q32027'!G28,"")</f>
        <v/>
      </c>
      <c r="H187" t="str">
        <f>IF(AND('Q32027'!B28&lt;&gt;"",'Q32027'!E28&lt;&gt;""),"Q32027","")</f>
        <v/>
      </c>
      <c r="I187" t="str">
        <f>IF(A187="Q12027",COUNTIF($A$2:$A187,"Q12027"),"")</f>
        <v/>
      </c>
      <c r="J187" t="str">
        <f>IF(A187="Q22027",COUNTIF($A$2:$A187,"Q22027"),"")</f>
        <v/>
      </c>
      <c r="K187" t="str">
        <f>IF(A187="Q32027",COUNTIF($A$2:$A187,"Q32027"),"")</f>
        <v/>
      </c>
      <c r="L187" t="str">
        <f>IF(A187="Q42027",COUNTIF($A$2:$A187,"Q42027"),"")</f>
        <v/>
      </c>
      <c r="M187" t="str">
        <f>IF(A187="Backlog",COUNTIF($A$2:$A187,"Backlog"),"")</f>
        <v/>
      </c>
    </row>
    <row r="188" spans="1:13">
      <c r="A188" t="str">
        <f>IF(AND('Q32027'!B29&lt;&gt;"",'Q32027'!E29&lt;&gt;""),'Q32027'!E29,"")</f>
        <v/>
      </c>
      <c r="B188" t="str">
        <f>IF(AND('Q32027'!B29&lt;&gt;"",'Q32027'!E29&lt;&gt;""),'Q32027'!B29,"")</f>
        <v/>
      </c>
      <c r="C188" t="str">
        <f>IF(AND('Q32027'!B29&lt;&gt;"",'Q32027'!E29&lt;&gt;""),'Q32027'!C29,"")</f>
        <v/>
      </c>
      <c r="D188" t="str">
        <f>IF(AND('Q32027'!B29&lt;&gt;"",'Q32027'!E29&lt;&gt;""),'Q32027'!D29,"")</f>
        <v/>
      </c>
      <c r="E188" t="str">
        <f>IF(AND('Q32027'!B29&lt;&gt;"",'Q32027'!E29&lt;&gt;""),'Q32027'!H29,"")</f>
        <v/>
      </c>
      <c r="F188" t="str">
        <f>IF(AND('Q32027'!B29&lt;&gt;"",'Q32027'!E29&lt;&gt;""),'Q32027'!F29,"")</f>
        <v/>
      </c>
      <c r="G188" t="str">
        <f>IF(AND('Q32027'!B29&lt;&gt;"",'Q32027'!E29&lt;&gt;""),'Q32027'!G29,"")</f>
        <v/>
      </c>
      <c r="H188" t="str">
        <f>IF(AND('Q32027'!B29&lt;&gt;"",'Q32027'!E29&lt;&gt;""),"Q32027","")</f>
        <v/>
      </c>
      <c r="I188" t="str">
        <f>IF(A188="Q12027",COUNTIF($A$2:$A188,"Q12027"),"")</f>
        <v/>
      </c>
      <c r="J188" t="str">
        <f>IF(A188="Q22027",COUNTIF($A$2:$A188,"Q22027"),"")</f>
        <v/>
      </c>
      <c r="K188" t="str">
        <f>IF(A188="Q32027",COUNTIF($A$2:$A188,"Q32027"),"")</f>
        <v/>
      </c>
      <c r="L188" t="str">
        <f>IF(A188="Q42027",COUNTIF($A$2:$A188,"Q42027"),"")</f>
        <v/>
      </c>
      <c r="M188" t="str">
        <f>IF(A188="Backlog",COUNTIF($A$2:$A188,"Backlog"),"")</f>
        <v/>
      </c>
    </row>
    <row r="189" spans="1:13">
      <c r="A189" t="str">
        <f>IF(AND('Q32027'!B30&lt;&gt;"",'Q32027'!E30&lt;&gt;""),'Q32027'!E30,"")</f>
        <v/>
      </c>
      <c r="B189" t="str">
        <f>IF(AND('Q32027'!B30&lt;&gt;"",'Q32027'!E30&lt;&gt;""),'Q32027'!B30,"")</f>
        <v/>
      </c>
      <c r="C189" t="str">
        <f>IF(AND('Q32027'!B30&lt;&gt;"",'Q32027'!E30&lt;&gt;""),'Q32027'!C30,"")</f>
        <v/>
      </c>
      <c r="D189" t="str">
        <f>IF(AND('Q32027'!B30&lt;&gt;"",'Q32027'!E30&lt;&gt;""),'Q32027'!D30,"")</f>
        <v/>
      </c>
      <c r="E189" t="str">
        <f>IF(AND('Q32027'!B30&lt;&gt;"",'Q32027'!E30&lt;&gt;""),'Q32027'!H30,"")</f>
        <v/>
      </c>
      <c r="F189" t="str">
        <f>IF(AND('Q32027'!B30&lt;&gt;"",'Q32027'!E30&lt;&gt;""),'Q32027'!F30,"")</f>
        <v/>
      </c>
      <c r="G189" t="str">
        <f>IF(AND('Q32027'!B30&lt;&gt;"",'Q32027'!E30&lt;&gt;""),'Q32027'!G30,"")</f>
        <v/>
      </c>
      <c r="H189" t="str">
        <f>IF(AND('Q32027'!B30&lt;&gt;"",'Q32027'!E30&lt;&gt;""),"Q32027","")</f>
        <v/>
      </c>
      <c r="I189" t="str">
        <f>IF(A189="Q12027",COUNTIF($A$2:$A189,"Q12027"),"")</f>
        <v/>
      </c>
      <c r="J189" t="str">
        <f>IF(A189="Q22027",COUNTIF($A$2:$A189,"Q22027"),"")</f>
        <v/>
      </c>
      <c r="K189" t="str">
        <f>IF(A189="Q32027",COUNTIF($A$2:$A189,"Q32027"),"")</f>
        <v/>
      </c>
      <c r="L189" t="str">
        <f>IF(A189="Q42027",COUNTIF($A$2:$A189,"Q42027"),"")</f>
        <v/>
      </c>
      <c r="M189" t="str">
        <f>IF(A189="Backlog",COUNTIF($A$2:$A189,"Backlog"),"")</f>
        <v/>
      </c>
    </row>
    <row r="190" spans="1:13">
      <c r="A190" t="str">
        <f>IF(AND('Q32027'!B31&lt;&gt;"",'Q32027'!E31&lt;&gt;""),'Q32027'!E31,"")</f>
        <v/>
      </c>
      <c r="B190" t="str">
        <f>IF(AND('Q32027'!B31&lt;&gt;"",'Q32027'!E31&lt;&gt;""),'Q32027'!B31,"")</f>
        <v/>
      </c>
      <c r="C190" t="str">
        <f>IF(AND('Q32027'!B31&lt;&gt;"",'Q32027'!E31&lt;&gt;""),'Q32027'!C31,"")</f>
        <v/>
      </c>
      <c r="D190" t="str">
        <f>IF(AND('Q32027'!B31&lt;&gt;"",'Q32027'!E31&lt;&gt;""),'Q32027'!D31,"")</f>
        <v/>
      </c>
      <c r="E190" t="str">
        <f>IF(AND('Q32027'!B31&lt;&gt;"",'Q32027'!E31&lt;&gt;""),'Q32027'!H31,"")</f>
        <v/>
      </c>
      <c r="F190" t="str">
        <f>IF(AND('Q32027'!B31&lt;&gt;"",'Q32027'!E31&lt;&gt;""),'Q32027'!F31,"")</f>
        <v/>
      </c>
      <c r="G190" t="str">
        <f>IF(AND('Q32027'!B31&lt;&gt;"",'Q32027'!E31&lt;&gt;""),'Q32027'!G31,"")</f>
        <v/>
      </c>
      <c r="H190" t="str">
        <f>IF(AND('Q32027'!B31&lt;&gt;"",'Q32027'!E31&lt;&gt;""),"Q32027","")</f>
        <v/>
      </c>
      <c r="I190" t="str">
        <f>IF(A190="Q12027",COUNTIF($A$2:$A190,"Q12027"),"")</f>
        <v/>
      </c>
      <c r="J190" t="str">
        <f>IF(A190="Q22027",COUNTIF($A$2:$A190,"Q22027"),"")</f>
        <v/>
      </c>
      <c r="K190" t="str">
        <f>IF(A190="Q32027",COUNTIF($A$2:$A190,"Q32027"),"")</f>
        <v/>
      </c>
      <c r="L190" t="str">
        <f>IF(A190="Q42027",COUNTIF($A$2:$A190,"Q42027"),"")</f>
        <v/>
      </c>
      <c r="M190" t="str">
        <f>IF(A190="Backlog",COUNTIF($A$2:$A190,"Backlog"),"")</f>
        <v/>
      </c>
    </row>
    <row r="191" spans="1:13">
      <c r="A191" t="str">
        <f>IF(AND('Q32027'!B32&lt;&gt;"",'Q32027'!E32&lt;&gt;""),'Q32027'!E32,"")</f>
        <v/>
      </c>
      <c r="B191" t="str">
        <f>IF(AND('Q32027'!B32&lt;&gt;"",'Q32027'!E32&lt;&gt;""),'Q32027'!B32,"")</f>
        <v/>
      </c>
      <c r="C191" t="str">
        <f>IF(AND('Q32027'!B32&lt;&gt;"",'Q32027'!E32&lt;&gt;""),'Q32027'!C32,"")</f>
        <v/>
      </c>
      <c r="D191" t="str">
        <f>IF(AND('Q32027'!B32&lt;&gt;"",'Q32027'!E32&lt;&gt;""),'Q32027'!D32,"")</f>
        <v/>
      </c>
      <c r="E191" t="str">
        <f>IF(AND('Q32027'!B32&lt;&gt;"",'Q32027'!E32&lt;&gt;""),'Q32027'!H32,"")</f>
        <v/>
      </c>
      <c r="F191" t="str">
        <f>IF(AND('Q32027'!B32&lt;&gt;"",'Q32027'!E32&lt;&gt;""),'Q32027'!F32,"")</f>
        <v/>
      </c>
      <c r="G191" t="str">
        <f>IF(AND('Q32027'!B32&lt;&gt;"",'Q32027'!E32&lt;&gt;""),'Q32027'!G32,"")</f>
        <v/>
      </c>
      <c r="H191" t="str">
        <f>IF(AND('Q32027'!B32&lt;&gt;"",'Q32027'!E32&lt;&gt;""),"Q32027","")</f>
        <v/>
      </c>
      <c r="I191" t="str">
        <f>IF(A191="Q12027",COUNTIF($A$2:$A191,"Q12027"),"")</f>
        <v/>
      </c>
      <c r="J191" t="str">
        <f>IF(A191="Q22027",COUNTIF($A$2:$A191,"Q22027"),"")</f>
        <v/>
      </c>
      <c r="K191" t="str">
        <f>IF(A191="Q32027",COUNTIF($A$2:$A191,"Q32027"),"")</f>
        <v/>
      </c>
      <c r="L191" t="str">
        <f>IF(A191="Q42027",COUNTIF($A$2:$A191,"Q42027"),"")</f>
        <v/>
      </c>
      <c r="M191" t="str">
        <f>IF(A191="Backlog",COUNTIF($A$2:$A191,"Backlog"),"")</f>
        <v/>
      </c>
    </row>
    <row r="192" spans="1:13">
      <c r="A192" t="str">
        <f>IF(AND('Q32027'!B33&lt;&gt;"",'Q32027'!E33&lt;&gt;""),'Q32027'!E33,"")</f>
        <v/>
      </c>
      <c r="B192" t="str">
        <f>IF(AND('Q32027'!B33&lt;&gt;"",'Q32027'!E33&lt;&gt;""),'Q32027'!B33,"")</f>
        <v/>
      </c>
      <c r="C192" t="str">
        <f>IF(AND('Q32027'!B33&lt;&gt;"",'Q32027'!E33&lt;&gt;""),'Q32027'!C33,"")</f>
        <v/>
      </c>
      <c r="D192" t="str">
        <f>IF(AND('Q32027'!B33&lt;&gt;"",'Q32027'!E33&lt;&gt;""),'Q32027'!D33,"")</f>
        <v/>
      </c>
      <c r="E192" t="str">
        <f>IF(AND('Q32027'!B33&lt;&gt;"",'Q32027'!E33&lt;&gt;""),'Q32027'!H33,"")</f>
        <v/>
      </c>
      <c r="F192" t="str">
        <f>IF(AND('Q32027'!B33&lt;&gt;"",'Q32027'!E33&lt;&gt;""),'Q32027'!F33,"")</f>
        <v/>
      </c>
      <c r="G192" t="str">
        <f>IF(AND('Q32027'!B33&lt;&gt;"",'Q32027'!E33&lt;&gt;""),'Q32027'!G33,"")</f>
        <v/>
      </c>
      <c r="H192" t="str">
        <f>IF(AND('Q32027'!B33&lt;&gt;"",'Q32027'!E33&lt;&gt;""),"Q32027","")</f>
        <v/>
      </c>
      <c r="I192" t="str">
        <f>IF(A192="Q12027",COUNTIF($A$2:$A192,"Q12027"),"")</f>
        <v/>
      </c>
      <c r="J192" t="str">
        <f>IF(A192="Q22027",COUNTIF($A$2:$A192,"Q22027"),"")</f>
        <v/>
      </c>
      <c r="K192" t="str">
        <f>IF(A192="Q32027",COUNTIF($A$2:$A192,"Q32027"),"")</f>
        <v/>
      </c>
      <c r="L192" t="str">
        <f>IF(A192="Q42027",COUNTIF($A$2:$A192,"Q42027"),"")</f>
        <v/>
      </c>
      <c r="M192" t="str">
        <f>IF(A192="Backlog",COUNTIF($A$2:$A192,"Backlog"),"")</f>
        <v/>
      </c>
    </row>
    <row r="193" spans="1:13">
      <c r="A193" t="str">
        <f>IF(AND('Q32027'!B34&lt;&gt;"",'Q32027'!E34&lt;&gt;""),'Q32027'!E34,"")</f>
        <v/>
      </c>
      <c r="B193" t="str">
        <f>IF(AND('Q32027'!B34&lt;&gt;"",'Q32027'!E34&lt;&gt;""),'Q32027'!B34,"")</f>
        <v/>
      </c>
      <c r="C193" t="str">
        <f>IF(AND('Q32027'!B34&lt;&gt;"",'Q32027'!E34&lt;&gt;""),'Q32027'!C34,"")</f>
        <v/>
      </c>
      <c r="D193" t="str">
        <f>IF(AND('Q32027'!B34&lt;&gt;"",'Q32027'!E34&lt;&gt;""),'Q32027'!D34,"")</f>
        <v/>
      </c>
      <c r="E193" t="str">
        <f>IF(AND('Q32027'!B34&lt;&gt;"",'Q32027'!E34&lt;&gt;""),'Q32027'!H34,"")</f>
        <v/>
      </c>
      <c r="F193" t="str">
        <f>IF(AND('Q32027'!B34&lt;&gt;"",'Q32027'!E34&lt;&gt;""),'Q32027'!F34,"")</f>
        <v/>
      </c>
      <c r="G193" t="str">
        <f>IF(AND('Q32027'!B34&lt;&gt;"",'Q32027'!E34&lt;&gt;""),'Q32027'!G34,"")</f>
        <v/>
      </c>
      <c r="H193" t="str">
        <f>IF(AND('Q32027'!B34&lt;&gt;"",'Q32027'!E34&lt;&gt;""),"Q32027","")</f>
        <v/>
      </c>
      <c r="I193" t="str">
        <f>IF(A193="Q12027",COUNTIF($A$2:$A193,"Q12027"),"")</f>
        <v/>
      </c>
      <c r="J193" t="str">
        <f>IF(A193="Q22027",COUNTIF($A$2:$A193,"Q22027"),"")</f>
        <v/>
      </c>
      <c r="K193" t="str">
        <f>IF(A193="Q32027",COUNTIF($A$2:$A193,"Q32027"),"")</f>
        <v/>
      </c>
      <c r="L193" t="str">
        <f>IF(A193="Q42027",COUNTIF($A$2:$A193,"Q42027"),"")</f>
        <v/>
      </c>
      <c r="M193" t="str">
        <f>IF(A193="Backlog",COUNTIF($A$2:$A193,"Backlog"),"")</f>
        <v/>
      </c>
    </row>
    <row r="194" spans="1:13">
      <c r="A194" t="str">
        <f>IF(AND('Q32027'!B35&lt;&gt;"",'Q32027'!E35&lt;&gt;""),'Q32027'!E35,"")</f>
        <v/>
      </c>
      <c r="B194" t="str">
        <f>IF(AND('Q32027'!B35&lt;&gt;"",'Q32027'!E35&lt;&gt;""),'Q32027'!B35,"")</f>
        <v/>
      </c>
      <c r="C194" t="str">
        <f>IF(AND('Q32027'!B35&lt;&gt;"",'Q32027'!E35&lt;&gt;""),'Q32027'!C35,"")</f>
        <v/>
      </c>
      <c r="D194" t="str">
        <f>IF(AND('Q32027'!B35&lt;&gt;"",'Q32027'!E35&lt;&gt;""),'Q32027'!D35,"")</f>
        <v/>
      </c>
      <c r="E194" t="str">
        <f>IF(AND('Q32027'!B35&lt;&gt;"",'Q32027'!E35&lt;&gt;""),'Q32027'!H35,"")</f>
        <v/>
      </c>
      <c r="F194" t="str">
        <f>IF(AND('Q32027'!B35&lt;&gt;"",'Q32027'!E35&lt;&gt;""),'Q32027'!F35,"")</f>
        <v/>
      </c>
      <c r="G194" t="str">
        <f>IF(AND('Q32027'!B35&lt;&gt;"",'Q32027'!E35&lt;&gt;""),'Q32027'!G35,"")</f>
        <v/>
      </c>
      <c r="H194" t="str">
        <f>IF(AND('Q32027'!B35&lt;&gt;"",'Q32027'!E35&lt;&gt;""),"Q32027","")</f>
        <v/>
      </c>
      <c r="I194" t="str">
        <f>IF(A194="Q12027",COUNTIF($A$2:$A194,"Q12027"),"")</f>
        <v/>
      </c>
      <c r="J194" t="str">
        <f>IF(A194="Q22027",COUNTIF($A$2:$A194,"Q22027"),"")</f>
        <v/>
      </c>
      <c r="K194" t="str">
        <f>IF(A194="Q32027",COUNTIF($A$2:$A194,"Q32027"),"")</f>
        <v/>
      </c>
      <c r="L194" t="str">
        <f>IF(A194="Q42027",COUNTIF($A$2:$A194,"Q42027"),"")</f>
        <v/>
      </c>
      <c r="M194" t="str">
        <f>IF(A194="Backlog",COUNTIF($A$2:$A194,"Backlog"),"")</f>
        <v/>
      </c>
    </row>
    <row r="195" spans="1:13">
      <c r="A195" t="str">
        <f>IF(AND('Q32027'!B36&lt;&gt;"",'Q32027'!E36&lt;&gt;""),'Q32027'!E36,"")</f>
        <v/>
      </c>
      <c r="B195" t="str">
        <f>IF(AND('Q32027'!B36&lt;&gt;"",'Q32027'!E36&lt;&gt;""),'Q32027'!B36,"")</f>
        <v/>
      </c>
      <c r="C195" t="str">
        <f>IF(AND('Q32027'!B36&lt;&gt;"",'Q32027'!E36&lt;&gt;""),'Q32027'!C36,"")</f>
        <v/>
      </c>
      <c r="D195" t="str">
        <f>IF(AND('Q32027'!B36&lt;&gt;"",'Q32027'!E36&lt;&gt;""),'Q32027'!D36,"")</f>
        <v/>
      </c>
      <c r="E195" t="str">
        <f>IF(AND('Q32027'!B36&lt;&gt;"",'Q32027'!E36&lt;&gt;""),'Q32027'!H36,"")</f>
        <v/>
      </c>
      <c r="F195" t="str">
        <f>IF(AND('Q32027'!B36&lt;&gt;"",'Q32027'!E36&lt;&gt;""),'Q32027'!F36,"")</f>
        <v/>
      </c>
      <c r="G195" t="str">
        <f>IF(AND('Q32027'!B36&lt;&gt;"",'Q32027'!E36&lt;&gt;""),'Q32027'!G36,"")</f>
        <v/>
      </c>
      <c r="H195" t="str">
        <f>IF(AND('Q32027'!B36&lt;&gt;"",'Q32027'!E36&lt;&gt;""),"Q32027","")</f>
        <v/>
      </c>
      <c r="I195" t="str">
        <f>IF(A195="Q12027",COUNTIF($A$2:$A195,"Q12027"),"")</f>
        <v/>
      </c>
      <c r="J195" t="str">
        <f>IF(A195="Q22027",COUNTIF($A$2:$A195,"Q22027"),"")</f>
        <v/>
      </c>
      <c r="K195" t="str">
        <f>IF(A195="Q32027",COUNTIF($A$2:$A195,"Q32027"),"")</f>
        <v/>
      </c>
      <c r="L195" t="str">
        <f>IF(A195="Q42027",COUNTIF($A$2:$A195,"Q42027"),"")</f>
        <v/>
      </c>
      <c r="M195" t="str">
        <f>IF(A195="Backlog",COUNTIF($A$2:$A195,"Backlog"),"")</f>
        <v/>
      </c>
    </row>
    <row r="196" spans="1:13">
      <c r="A196" t="str">
        <f>IF(AND('Q32027'!B37&lt;&gt;"",'Q32027'!E37&lt;&gt;""),'Q32027'!E37,"")</f>
        <v/>
      </c>
      <c r="B196" t="str">
        <f>IF(AND('Q32027'!B37&lt;&gt;"",'Q32027'!E37&lt;&gt;""),'Q32027'!B37,"")</f>
        <v/>
      </c>
      <c r="C196" t="str">
        <f>IF(AND('Q32027'!B37&lt;&gt;"",'Q32027'!E37&lt;&gt;""),'Q32027'!C37,"")</f>
        <v/>
      </c>
      <c r="D196" t="str">
        <f>IF(AND('Q32027'!B37&lt;&gt;"",'Q32027'!E37&lt;&gt;""),'Q32027'!D37,"")</f>
        <v/>
      </c>
      <c r="E196" t="str">
        <f>IF(AND('Q32027'!B37&lt;&gt;"",'Q32027'!E37&lt;&gt;""),'Q32027'!H37,"")</f>
        <v/>
      </c>
      <c r="F196" t="str">
        <f>IF(AND('Q32027'!B37&lt;&gt;"",'Q32027'!E37&lt;&gt;""),'Q32027'!F37,"")</f>
        <v/>
      </c>
      <c r="G196" t="str">
        <f>IF(AND('Q32027'!B37&lt;&gt;"",'Q32027'!E37&lt;&gt;""),'Q32027'!G37,"")</f>
        <v/>
      </c>
      <c r="H196" t="str">
        <f>IF(AND('Q32027'!B37&lt;&gt;"",'Q32027'!E37&lt;&gt;""),"Q32027","")</f>
        <v/>
      </c>
      <c r="I196" t="str">
        <f>IF(A196="Q12027",COUNTIF($A$2:$A196,"Q12027"),"")</f>
        <v/>
      </c>
      <c r="J196" t="str">
        <f>IF(A196="Q22027",COUNTIF($A$2:$A196,"Q22027"),"")</f>
        <v/>
      </c>
      <c r="K196" t="str">
        <f>IF(A196="Q32027",COUNTIF($A$2:$A196,"Q32027"),"")</f>
        <v/>
      </c>
      <c r="L196" t="str">
        <f>IF(A196="Q42027",COUNTIF($A$2:$A196,"Q42027"),"")</f>
        <v/>
      </c>
      <c r="M196" t="str">
        <f>IF(A196="Backlog",COUNTIF($A$2:$A196,"Backlog"),"")</f>
        <v/>
      </c>
    </row>
    <row r="197" spans="1:13">
      <c r="A197" t="str">
        <f>IF(AND('Q32027'!B38&lt;&gt;"",'Q32027'!E38&lt;&gt;""),'Q32027'!E38,"")</f>
        <v/>
      </c>
      <c r="B197" t="str">
        <f>IF(AND('Q32027'!B38&lt;&gt;"",'Q32027'!E38&lt;&gt;""),'Q32027'!B38,"")</f>
        <v/>
      </c>
      <c r="C197" t="str">
        <f>IF(AND('Q32027'!B38&lt;&gt;"",'Q32027'!E38&lt;&gt;""),'Q32027'!C38,"")</f>
        <v/>
      </c>
      <c r="D197" t="str">
        <f>IF(AND('Q32027'!B38&lt;&gt;"",'Q32027'!E38&lt;&gt;""),'Q32027'!D38,"")</f>
        <v/>
      </c>
      <c r="E197" t="str">
        <f>IF(AND('Q32027'!B38&lt;&gt;"",'Q32027'!E38&lt;&gt;""),'Q32027'!H38,"")</f>
        <v/>
      </c>
      <c r="F197" t="str">
        <f>IF(AND('Q32027'!B38&lt;&gt;"",'Q32027'!E38&lt;&gt;""),'Q32027'!F38,"")</f>
        <v/>
      </c>
      <c r="G197" t="str">
        <f>IF(AND('Q32027'!B38&lt;&gt;"",'Q32027'!E38&lt;&gt;""),'Q32027'!G38,"")</f>
        <v/>
      </c>
      <c r="H197" t="str">
        <f>IF(AND('Q32027'!B38&lt;&gt;"",'Q32027'!E38&lt;&gt;""),"Q32027","")</f>
        <v/>
      </c>
      <c r="I197" t="str">
        <f>IF(A197="Q12027",COUNTIF($A$2:$A197,"Q12027"),"")</f>
        <v/>
      </c>
      <c r="J197" t="str">
        <f>IF(A197="Q22027",COUNTIF($A$2:$A197,"Q22027"),"")</f>
        <v/>
      </c>
      <c r="K197" t="str">
        <f>IF(A197="Q32027",COUNTIF($A$2:$A197,"Q32027"),"")</f>
        <v/>
      </c>
      <c r="L197" t="str">
        <f>IF(A197="Q42027",COUNTIF($A$2:$A197,"Q42027"),"")</f>
        <v/>
      </c>
      <c r="M197" t="str">
        <f>IF(A197="Backlog",COUNTIF($A$2:$A197,"Backlog"),"")</f>
        <v/>
      </c>
    </row>
    <row r="198" spans="1:13">
      <c r="A198" t="str">
        <f>IF(AND('Q32027'!B39&lt;&gt;"",'Q32027'!E39&lt;&gt;""),'Q32027'!E39,"")</f>
        <v/>
      </c>
      <c r="B198" t="str">
        <f>IF(AND('Q32027'!B39&lt;&gt;"",'Q32027'!E39&lt;&gt;""),'Q32027'!B39,"")</f>
        <v/>
      </c>
      <c r="C198" t="str">
        <f>IF(AND('Q32027'!B39&lt;&gt;"",'Q32027'!E39&lt;&gt;""),'Q32027'!C39,"")</f>
        <v/>
      </c>
      <c r="D198" t="str">
        <f>IF(AND('Q32027'!B39&lt;&gt;"",'Q32027'!E39&lt;&gt;""),'Q32027'!D39,"")</f>
        <v/>
      </c>
      <c r="E198" t="str">
        <f>IF(AND('Q32027'!B39&lt;&gt;"",'Q32027'!E39&lt;&gt;""),'Q32027'!H39,"")</f>
        <v/>
      </c>
      <c r="F198" t="str">
        <f>IF(AND('Q32027'!B39&lt;&gt;"",'Q32027'!E39&lt;&gt;""),'Q32027'!F39,"")</f>
        <v/>
      </c>
      <c r="G198" t="str">
        <f>IF(AND('Q32027'!B39&lt;&gt;"",'Q32027'!E39&lt;&gt;""),'Q32027'!G39,"")</f>
        <v/>
      </c>
      <c r="H198" t="str">
        <f>IF(AND('Q32027'!B39&lt;&gt;"",'Q32027'!E39&lt;&gt;""),"Q32027","")</f>
        <v/>
      </c>
      <c r="I198" t="str">
        <f>IF(A198="Q12027",COUNTIF($A$2:$A198,"Q12027"),"")</f>
        <v/>
      </c>
      <c r="J198" t="str">
        <f>IF(A198="Q22027",COUNTIF($A$2:$A198,"Q22027"),"")</f>
        <v/>
      </c>
      <c r="K198" t="str">
        <f>IF(A198="Q32027",COUNTIF($A$2:$A198,"Q32027"),"")</f>
        <v/>
      </c>
      <c r="L198" t="str">
        <f>IF(A198="Q42027",COUNTIF($A$2:$A198,"Q42027"),"")</f>
        <v/>
      </c>
      <c r="M198" t="str">
        <f>IF(A198="Backlog",COUNTIF($A$2:$A198,"Backlog"),"")</f>
        <v/>
      </c>
    </row>
    <row r="199" spans="1:13">
      <c r="A199" t="str">
        <f>IF(AND('Q32027'!B40&lt;&gt;"",'Q32027'!E40&lt;&gt;""),'Q32027'!E40,"")</f>
        <v/>
      </c>
      <c r="B199" t="str">
        <f>IF(AND('Q32027'!B40&lt;&gt;"",'Q32027'!E40&lt;&gt;""),'Q32027'!B40,"")</f>
        <v/>
      </c>
      <c r="C199" t="str">
        <f>IF(AND('Q32027'!B40&lt;&gt;"",'Q32027'!E40&lt;&gt;""),'Q32027'!C40,"")</f>
        <v/>
      </c>
      <c r="D199" t="str">
        <f>IF(AND('Q32027'!B40&lt;&gt;"",'Q32027'!E40&lt;&gt;""),'Q32027'!D40,"")</f>
        <v/>
      </c>
      <c r="E199" t="str">
        <f>IF(AND('Q32027'!B40&lt;&gt;"",'Q32027'!E40&lt;&gt;""),'Q32027'!H40,"")</f>
        <v/>
      </c>
      <c r="F199" t="str">
        <f>IF(AND('Q32027'!B40&lt;&gt;"",'Q32027'!E40&lt;&gt;""),'Q32027'!F40,"")</f>
        <v/>
      </c>
      <c r="G199" t="str">
        <f>IF(AND('Q32027'!B40&lt;&gt;"",'Q32027'!E40&lt;&gt;""),'Q32027'!G40,"")</f>
        <v/>
      </c>
      <c r="H199" t="str">
        <f>IF(AND('Q32027'!B40&lt;&gt;"",'Q32027'!E40&lt;&gt;""),"Q32027","")</f>
        <v/>
      </c>
      <c r="I199" t="str">
        <f>IF(A199="Q12027",COUNTIF($A$2:$A199,"Q12027"),"")</f>
        <v/>
      </c>
      <c r="J199" t="str">
        <f>IF(A199="Q22027",COUNTIF($A$2:$A199,"Q22027"),"")</f>
        <v/>
      </c>
      <c r="K199" t="str">
        <f>IF(A199="Q32027",COUNTIF($A$2:$A199,"Q32027"),"")</f>
        <v/>
      </c>
      <c r="L199" t="str">
        <f>IF(A199="Q42027",COUNTIF($A$2:$A199,"Q42027"),"")</f>
        <v/>
      </c>
      <c r="M199" t="str">
        <f>IF(A199="Backlog",COUNTIF($A$2:$A199,"Backlog"),"")</f>
        <v/>
      </c>
    </row>
    <row r="200" spans="1:13">
      <c r="A200" t="str">
        <f>IF(AND('Q32027'!B41&lt;&gt;"",'Q32027'!E41&lt;&gt;""),'Q32027'!E41,"")</f>
        <v/>
      </c>
      <c r="B200" t="str">
        <f>IF(AND('Q32027'!B41&lt;&gt;"",'Q32027'!E41&lt;&gt;""),'Q32027'!B41,"")</f>
        <v/>
      </c>
      <c r="C200" t="str">
        <f>IF(AND('Q32027'!B41&lt;&gt;"",'Q32027'!E41&lt;&gt;""),'Q32027'!C41,"")</f>
        <v/>
      </c>
      <c r="D200" t="str">
        <f>IF(AND('Q32027'!B41&lt;&gt;"",'Q32027'!E41&lt;&gt;""),'Q32027'!D41,"")</f>
        <v/>
      </c>
      <c r="E200" t="str">
        <f>IF(AND('Q32027'!B41&lt;&gt;"",'Q32027'!E41&lt;&gt;""),'Q32027'!H41,"")</f>
        <v/>
      </c>
      <c r="F200" t="str">
        <f>IF(AND('Q32027'!B41&lt;&gt;"",'Q32027'!E41&lt;&gt;""),'Q32027'!F41,"")</f>
        <v/>
      </c>
      <c r="G200" t="str">
        <f>IF(AND('Q32027'!B41&lt;&gt;"",'Q32027'!E41&lt;&gt;""),'Q32027'!G41,"")</f>
        <v/>
      </c>
      <c r="H200" t="str">
        <f>IF(AND('Q32027'!B41&lt;&gt;"",'Q32027'!E41&lt;&gt;""),"Q32027","")</f>
        <v/>
      </c>
      <c r="I200" t="str">
        <f>IF(A200="Q12027",COUNTIF($A$2:$A200,"Q12027"),"")</f>
        <v/>
      </c>
      <c r="J200" t="str">
        <f>IF(A200="Q22027",COUNTIF($A$2:$A200,"Q22027"),"")</f>
        <v/>
      </c>
      <c r="K200" t="str">
        <f>IF(A200="Q32027",COUNTIF($A$2:$A200,"Q32027"),"")</f>
        <v/>
      </c>
      <c r="L200" t="str">
        <f>IF(A200="Q42027",COUNTIF($A$2:$A200,"Q42027"),"")</f>
        <v/>
      </c>
      <c r="M200" t="str">
        <f>IF(A200="Backlog",COUNTIF($A$2:$A200,"Backlog"),"")</f>
        <v/>
      </c>
    </row>
    <row r="201" spans="1:13">
      <c r="A201" t="str">
        <f>IF(AND('Q32027'!B42&lt;&gt;"",'Q32027'!E42&lt;&gt;""),'Q32027'!E42,"")</f>
        <v/>
      </c>
      <c r="B201" t="str">
        <f>IF(AND('Q32027'!B42&lt;&gt;"",'Q32027'!E42&lt;&gt;""),'Q32027'!B42,"")</f>
        <v/>
      </c>
      <c r="C201" t="str">
        <f>IF(AND('Q32027'!B42&lt;&gt;"",'Q32027'!E42&lt;&gt;""),'Q32027'!C42,"")</f>
        <v/>
      </c>
      <c r="D201" t="str">
        <f>IF(AND('Q32027'!B42&lt;&gt;"",'Q32027'!E42&lt;&gt;""),'Q32027'!D42,"")</f>
        <v/>
      </c>
      <c r="E201" t="str">
        <f>IF(AND('Q32027'!B42&lt;&gt;"",'Q32027'!E42&lt;&gt;""),'Q32027'!H42,"")</f>
        <v/>
      </c>
      <c r="F201" t="str">
        <f>IF(AND('Q32027'!B42&lt;&gt;"",'Q32027'!E42&lt;&gt;""),'Q32027'!F42,"")</f>
        <v/>
      </c>
      <c r="G201" t="str">
        <f>IF(AND('Q32027'!B42&lt;&gt;"",'Q32027'!E42&lt;&gt;""),'Q32027'!G42,"")</f>
        <v/>
      </c>
      <c r="H201" t="str">
        <f>IF(AND('Q32027'!B42&lt;&gt;"",'Q32027'!E42&lt;&gt;""),"Q32027","")</f>
        <v/>
      </c>
      <c r="I201" t="str">
        <f>IF(A201="Q12027",COUNTIF($A$2:$A201,"Q12027"),"")</f>
        <v/>
      </c>
      <c r="J201" t="str">
        <f>IF(A201="Q22027",COUNTIF($A$2:$A201,"Q22027"),"")</f>
        <v/>
      </c>
      <c r="K201" t="str">
        <f>IF(A201="Q32027",COUNTIF($A$2:$A201,"Q32027"),"")</f>
        <v/>
      </c>
      <c r="L201" t="str">
        <f>IF(A201="Q42027",COUNTIF($A$2:$A201,"Q42027"),"")</f>
        <v/>
      </c>
      <c r="M201" t="str">
        <f>IF(A201="Backlog",COUNTIF($A$2:$A201,"Backlog"),"")</f>
        <v/>
      </c>
    </row>
    <row r="202" spans="1:13">
      <c r="A202" t="str">
        <f>IF(AND('Q32027'!B43&lt;&gt;"",'Q32027'!E43&lt;&gt;""),'Q32027'!E43,"")</f>
        <v/>
      </c>
      <c r="B202" t="str">
        <f>IF(AND('Q32027'!B43&lt;&gt;"",'Q32027'!E43&lt;&gt;""),'Q32027'!B43,"")</f>
        <v/>
      </c>
      <c r="C202" t="str">
        <f>IF(AND('Q32027'!B43&lt;&gt;"",'Q32027'!E43&lt;&gt;""),'Q32027'!C43,"")</f>
        <v/>
      </c>
      <c r="D202" t="str">
        <f>IF(AND('Q32027'!B43&lt;&gt;"",'Q32027'!E43&lt;&gt;""),'Q32027'!D43,"")</f>
        <v/>
      </c>
      <c r="E202" t="str">
        <f>IF(AND('Q32027'!B43&lt;&gt;"",'Q32027'!E43&lt;&gt;""),'Q32027'!H43,"")</f>
        <v/>
      </c>
      <c r="F202" t="str">
        <f>IF(AND('Q32027'!B43&lt;&gt;"",'Q32027'!E43&lt;&gt;""),'Q32027'!F43,"")</f>
        <v/>
      </c>
      <c r="G202" t="str">
        <f>IF(AND('Q32027'!B43&lt;&gt;"",'Q32027'!E43&lt;&gt;""),'Q32027'!G43,"")</f>
        <v/>
      </c>
      <c r="H202" t="str">
        <f>IF(AND('Q32027'!B43&lt;&gt;"",'Q32027'!E43&lt;&gt;""),"Q32027","")</f>
        <v/>
      </c>
      <c r="I202" t="str">
        <f>IF(A202="Q12027",COUNTIF($A$2:$A202,"Q12027"),"")</f>
        <v/>
      </c>
      <c r="J202" t="str">
        <f>IF(A202="Q22027",COUNTIF($A$2:$A202,"Q22027"),"")</f>
        <v/>
      </c>
      <c r="K202" t="str">
        <f>IF(A202="Q32027",COUNTIF($A$2:$A202,"Q32027"),"")</f>
        <v/>
      </c>
      <c r="L202" t="str">
        <f>IF(A202="Q42027",COUNTIF($A$2:$A202,"Q42027"),"")</f>
        <v/>
      </c>
      <c r="M202" t="str">
        <f>IF(A202="Backlog",COUNTIF($A$2:$A202,"Backlog"),"")</f>
        <v/>
      </c>
    </row>
    <row r="203" spans="1:13">
      <c r="A203" t="str">
        <f>IF(AND('Q32027'!B44&lt;&gt;"",'Q32027'!E44&lt;&gt;""),'Q32027'!E44,"")</f>
        <v/>
      </c>
      <c r="B203" t="str">
        <f>IF(AND('Q32027'!B44&lt;&gt;"",'Q32027'!E44&lt;&gt;""),'Q32027'!B44,"")</f>
        <v/>
      </c>
      <c r="C203" t="str">
        <f>IF(AND('Q32027'!B44&lt;&gt;"",'Q32027'!E44&lt;&gt;""),'Q32027'!C44,"")</f>
        <v/>
      </c>
      <c r="D203" t="str">
        <f>IF(AND('Q32027'!B44&lt;&gt;"",'Q32027'!E44&lt;&gt;""),'Q32027'!D44,"")</f>
        <v/>
      </c>
      <c r="E203" t="str">
        <f>IF(AND('Q32027'!B44&lt;&gt;"",'Q32027'!E44&lt;&gt;""),'Q32027'!H44,"")</f>
        <v/>
      </c>
      <c r="F203" t="str">
        <f>IF(AND('Q32027'!B44&lt;&gt;"",'Q32027'!E44&lt;&gt;""),'Q32027'!F44,"")</f>
        <v/>
      </c>
      <c r="G203" t="str">
        <f>IF(AND('Q32027'!B44&lt;&gt;"",'Q32027'!E44&lt;&gt;""),'Q32027'!G44,"")</f>
        <v/>
      </c>
      <c r="H203" t="str">
        <f>IF(AND('Q32027'!B44&lt;&gt;"",'Q32027'!E44&lt;&gt;""),"Q32027","")</f>
        <v/>
      </c>
      <c r="I203" t="str">
        <f>IF(A203="Q12027",COUNTIF($A$2:$A203,"Q12027"),"")</f>
        <v/>
      </c>
      <c r="J203" t="str">
        <f>IF(A203="Q22027",COUNTIF($A$2:$A203,"Q22027"),"")</f>
        <v/>
      </c>
      <c r="K203" t="str">
        <f>IF(A203="Q32027",COUNTIF($A$2:$A203,"Q32027"),"")</f>
        <v/>
      </c>
      <c r="L203" t="str">
        <f>IF(A203="Q42027",COUNTIF($A$2:$A203,"Q42027"),"")</f>
        <v/>
      </c>
      <c r="M203" t="str">
        <f>IF(A203="Backlog",COUNTIF($A$2:$A203,"Backlog"),"")</f>
        <v/>
      </c>
    </row>
    <row r="204" spans="1:13">
      <c r="A204" t="str">
        <f>IF(AND('Q32027'!B45&lt;&gt;"",'Q32027'!E45&lt;&gt;""),'Q32027'!E45,"")</f>
        <v/>
      </c>
      <c r="B204" t="str">
        <f>IF(AND('Q32027'!B45&lt;&gt;"",'Q32027'!E45&lt;&gt;""),'Q32027'!B45,"")</f>
        <v/>
      </c>
      <c r="C204" t="str">
        <f>IF(AND('Q32027'!B45&lt;&gt;"",'Q32027'!E45&lt;&gt;""),'Q32027'!C45,"")</f>
        <v/>
      </c>
      <c r="D204" t="str">
        <f>IF(AND('Q32027'!B45&lt;&gt;"",'Q32027'!E45&lt;&gt;""),'Q32027'!D45,"")</f>
        <v/>
      </c>
      <c r="E204" t="str">
        <f>IF(AND('Q32027'!B45&lt;&gt;"",'Q32027'!E45&lt;&gt;""),'Q32027'!H45,"")</f>
        <v/>
      </c>
      <c r="F204" t="str">
        <f>IF(AND('Q32027'!B45&lt;&gt;"",'Q32027'!E45&lt;&gt;""),'Q32027'!F45,"")</f>
        <v/>
      </c>
      <c r="G204" t="str">
        <f>IF(AND('Q32027'!B45&lt;&gt;"",'Q32027'!E45&lt;&gt;""),'Q32027'!G45,"")</f>
        <v/>
      </c>
      <c r="H204" t="str">
        <f>IF(AND('Q32027'!B45&lt;&gt;"",'Q32027'!E45&lt;&gt;""),"Q32027","")</f>
        <v/>
      </c>
      <c r="I204" t="str">
        <f>IF(A204="Q12027",COUNTIF($A$2:$A204,"Q12027"),"")</f>
        <v/>
      </c>
      <c r="J204" t="str">
        <f>IF(A204="Q22027",COUNTIF($A$2:$A204,"Q22027"),"")</f>
        <v/>
      </c>
      <c r="K204" t="str">
        <f>IF(A204="Q32027",COUNTIF($A$2:$A204,"Q32027"),"")</f>
        <v/>
      </c>
      <c r="L204" t="str">
        <f>IF(A204="Q42027",COUNTIF($A$2:$A204,"Q42027"),"")</f>
        <v/>
      </c>
      <c r="M204" t="str">
        <f>IF(A204="Backlog",COUNTIF($A$2:$A204,"Backlog"),"")</f>
        <v/>
      </c>
    </row>
    <row r="205" spans="1:13">
      <c r="A205" t="str">
        <f>IF(AND('Q32027'!B46&lt;&gt;"",'Q32027'!E46&lt;&gt;""),'Q32027'!E46,"")</f>
        <v/>
      </c>
      <c r="B205" t="str">
        <f>IF(AND('Q32027'!B46&lt;&gt;"",'Q32027'!E46&lt;&gt;""),'Q32027'!B46,"")</f>
        <v/>
      </c>
      <c r="C205" t="str">
        <f>IF(AND('Q32027'!B46&lt;&gt;"",'Q32027'!E46&lt;&gt;""),'Q32027'!C46,"")</f>
        <v/>
      </c>
      <c r="D205" t="str">
        <f>IF(AND('Q32027'!B46&lt;&gt;"",'Q32027'!E46&lt;&gt;""),'Q32027'!D46,"")</f>
        <v/>
      </c>
      <c r="E205" t="str">
        <f>IF(AND('Q32027'!B46&lt;&gt;"",'Q32027'!E46&lt;&gt;""),'Q32027'!H46,"")</f>
        <v/>
      </c>
      <c r="F205" t="str">
        <f>IF(AND('Q32027'!B46&lt;&gt;"",'Q32027'!E46&lt;&gt;""),'Q32027'!F46,"")</f>
        <v/>
      </c>
      <c r="G205" t="str">
        <f>IF(AND('Q32027'!B46&lt;&gt;"",'Q32027'!E46&lt;&gt;""),'Q32027'!G46,"")</f>
        <v/>
      </c>
      <c r="H205" t="str">
        <f>IF(AND('Q32027'!B46&lt;&gt;"",'Q32027'!E46&lt;&gt;""),"Q32027","")</f>
        <v/>
      </c>
      <c r="I205" t="str">
        <f>IF(A205="Q12027",COUNTIF($A$2:$A205,"Q12027"),"")</f>
        <v/>
      </c>
      <c r="J205" t="str">
        <f>IF(A205="Q22027",COUNTIF($A$2:$A205,"Q22027"),"")</f>
        <v/>
      </c>
      <c r="K205" t="str">
        <f>IF(A205="Q32027",COUNTIF($A$2:$A205,"Q32027"),"")</f>
        <v/>
      </c>
      <c r="L205" t="str">
        <f>IF(A205="Q42027",COUNTIF($A$2:$A205,"Q42027"),"")</f>
        <v/>
      </c>
      <c r="M205" t="str">
        <f>IF(A205="Backlog",COUNTIF($A$2:$A205,"Backlog"),"")</f>
        <v/>
      </c>
    </row>
    <row r="206" spans="1:13">
      <c r="A206" t="str">
        <f>IF(AND('Q32027'!B47&lt;&gt;"",'Q32027'!E47&lt;&gt;""),'Q32027'!E47,"")</f>
        <v/>
      </c>
      <c r="B206" t="str">
        <f>IF(AND('Q32027'!B47&lt;&gt;"",'Q32027'!E47&lt;&gt;""),'Q32027'!B47,"")</f>
        <v/>
      </c>
      <c r="C206" t="str">
        <f>IF(AND('Q32027'!B47&lt;&gt;"",'Q32027'!E47&lt;&gt;""),'Q32027'!C47,"")</f>
        <v/>
      </c>
      <c r="D206" t="str">
        <f>IF(AND('Q32027'!B47&lt;&gt;"",'Q32027'!E47&lt;&gt;""),'Q32027'!D47,"")</f>
        <v/>
      </c>
      <c r="E206" t="str">
        <f>IF(AND('Q32027'!B47&lt;&gt;"",'Q32027'!E47&lt;&gt;""),'Q32027'!H47,"")</f>
        <v/>
      </c>
      <c r="F206" t="str">
        <f>IF(AND('Q32027'!B47&lt;&gt;"",'Q32027'!E47&lt;&gt;""),'Q32027'!F47,"")</f>
        <v/>
      </c>
      <c r="G206" t="str">
        <f>IF(AND('Q32027'!B47&lt;&gt;"",'Q32027'!E47&lt;&gt;""),'Q32027'!G47,"")</f>
        <v/>
      </c>
      <c r="H206" t="str">
        <f>IF(AND('Q32027'!B47&lt;&gt;"",'Q32027'!E47&lt;&gt;""),"Q32027","")</f>
        <v/>
      </c>
      <c r="I206" t="str">
        <f>IF(A206="Q12027",COUNTIF($A$2:$A206,"Q12027"),"")</f>
        <v/>
      </c>
      <c r="J206" t="str">
        <f>IF(A206="Q22027",COUNTIF($A$2:$A206,"Q22027"),"")</f>
        <v/>
      </c>
      <c r="K206" t="str">
        <f>IF(A206="Q32027",COUNTIF($A$2:$A206,"Q32027"),"")</f>
        <v/>
      </c>
      <c r="L206" t="str">
        <f>IF(A206="Q42027",COUNTIF($A$2:$A206,"Q42027"),"")</f>
        <v/>
      </c>
      <c r="M206" t="str">
        <f>IF(A206="Backlog",COUNTIF($A$2:$A206,"Backlog"),"")</f>
        <v/>
      </c>
    </row>
    <row r="207" spans="1:13">
      <c r="A207" t="str">
        <f>IF(AND('Q32027'!B48&lt;&gt;"",'Q32027'!E48&lt;&gt;""),'Q32027'!E48,"")</f>
        <v/>
      </c>
      <c r="B207" t="str">
        <f>IF(AND('Q32027'!B48&lt;&gt;"",'Q32027'!E48&lt;&gt;""),'Q32027'!B48,"")</f>
        <v/>
      </c>
      <c r="C207" t="str">
        <f>IF(AND('Q32027'!B48&lt;&gt;"",'Q32027'!E48&lt;&gt;""),'Q32027'!C48,"")</f>
        <v/>
      </c>
      <c r="D207" t="str">
        <f>IF(AND('Q32027'!B48&lt;&gt;"",'Q32027'!E48&lt;&gt;""),'Q32027'!D48,"")</f>
        <v/>
      </c>
      <c r="E207" t="str">
        <f>IF(AND('Q32027'!B48&lt;&gt;"",'Q32027'!E48&lt;&gt;""),'Q32027'!H48,"")</f>
        <v/>
      </c>
      <c r="F207" t="str">
        <f>IF(AND('Q32027'!B48&lt;&gt;"",'Q32027'!E48&lt;&gt;""),'Q32027'!F48,"")</f>
        <v/>
      </c>
      <c r="G207" t="str">
        <f>IF(AND('Q32027'!B48&lt;&gt;"",'Q32027'!E48&lt;&gt;""),'Q32027'!G48,"")</f>
        <v/>
      </c>
      <c r="H207" t="str">
        <f>IF(AND('Q32027'!B48&lt;&gt;"",'Q32027'!E48&lt;&gt;""),"Q32027","")</f>
        <v/>
      </c>
      <c r="I207" t="str">
        <f>IF(A207="Q12027",COUNTIF($A$2:$A207,"Q12027"),"")</f>
        <v/>
      </c>
      <c r="J207" t="str">
        <f>IF(A207="Q22027",COUNTIF($A$2:$A207,"Q22027"),"")</f>
        <v/>
      </c>
      <c r="K207" t="str">
        <f>IF(A207="Q32027",COUNTIF($A$2:$A207,"Q32027"),"")</f>
        <v/>
      </c>
      <c r="L207" t="str">
        <f>IF(A207="Q42027",COUNTIF($A$2:$A207,"Q42027"),"")</f>
        <v/>
      </c>
      <c r="M207" t="str">
        <f>IF(A207="Backlog",COUNTIF($A$2:$A207,"Backlog"),"")</f>
        <v/>
      </c>
    </row>
    <row r="208" spans="1:13">
      <c r="A208" t="str">
        <f>IF(AND('Q32027'!B49&lt;&gt;"",'Q32027'!E49&lt;&gt;""),'Q32027'!E49,"")</f>
        <v/>
      </c>
      <c r="B208" t="str">
        <f>IF(AND('Q32027'!B49&lt;&gt;"",'Q32027'!E49&lt;&gt;""),'Q32027'!B49,"")</f>
        <v/>
      </c>
      <c r="C208" t="str">
        <f>IF(AND('Q32027'!B49&lt;&gt;"",'Q32027'!E49&lt;&gt;""),'Q32027'!C49,"")</f>
        <v/>
      </c>
      <c r="D208" t="str">
        <f>IF(AND('Q32027'!B49&lt;&gt;"",'Q32027'!E49&lt;&gt;""),'Q32027'!D49,"")</f>
        <v/>
      </c>
      <c r="E208" t="str">
        <f>IF(AND('Q32027'!B49&lt;&gt;"",'Q32027'!E49&lt;&gt;""),'Q32027'!H49,"")</f>
        <v/>
      </c>
      <c r="F208" t="str">
        <f>IF(AND('Q32027'!B49&lt;&gt;"",'Q32027'!E49&lt;&gt;""),'Q32027'!F49,"")</f>
        <v/>
      </c>
      <c r="G208" t="str">
        <f>IF(AND('Q32027'!B49&lt;&gt;"",'Q32027'!E49&lt;&gt;""),'Q32027'!G49,"")</f>
        <v/>
      </c>
      <c r="H208" t="str">
        <f>IF(AND('Q32027'!B49&lt;&gt;"",'Q32027'!E49&lt;&gt;""),"Q32027","")</f>
        <v/>
      </c>
      <c r="I208" t="str">
        <f>IF(A208="Q12027",COUNTIF($A$2:$A208,"Q12027"),"")</f>
        <v/>
      </c>
      <c r="J208" t="str">
        <f>IF(A208="Q22027",COUNTIF($A$2:$A208,"Q22027"),"")</f>
        <v/>
      </c>
      <c r="K208" t="str">
        <f>IF(A208="Q32027",COUNTIF($A$2:$A208,"Q32027"),"")</f>
        <v/>
      </c>
      <c r="L208" t="str">
        <f>IF(A208="Q42027",COUNTIF($A$2:$A208,"Q42027"),"")</f>
        <v/>
      </c>
      <c r="M208" t="str">
        <f>IF(A208="Backlog",COUNTIF($A$2:$A208,"Backlog"),"")</f>
        <v/>
      </c>
    </row>
    <row r="209" spans="1:13">
      <c r="A209" t="str">
        <f>IF(AND('Q32027'!B50&lt;&gt;"",'Q32027'!E50&lt;&gt;""),'Q32027'!E50,"")</f>
        <v/>
      </c>
      <c r="B209" t="str">
        <f>IF(AND('Q32027'!B50&lt;&gt;"",'Q32027'!E50&lt;&gt;""),'Q32027'!B50,"")</f>
        <v/>
      </c>
      <c r="C209" t="str">
        <f>IF(AND('Q32027'!B50&lt;&gt;"",'Q32027'!E50&lt;&gt;""),'Q32027'!C50,"")</f>
        <v/>
      </c>
      <c r="D209" t="str">
        <f>IF(AND('Q32027'!B50&lt;&gt;"",'Q32027'!E50&lt;&gt;""),'Q32027'!D50,"")</f>
        <v/>
      </c>
      <c r="E209" t="str">
        <f>IF(AND('Q32027'!B50&lt;&gt;"",'Q32027'!E50&lt;&gt;""),'Q32027'!H50,"")</f>
        <v/>
      </c>
      <c r="F209" t="str">
        <f>IF(AND('Q32027'!B50&lt;&gt;"",'Q32027'!E50&lt;&gt;""),'Q32027'!F50,"")</f>
        <v/>
      </c>
      <c r="G209" t="str">
        <f>IF(AND('Q32027'!B50&lt;&gt;"",'Q32027'!E50&lt;&gt;""),'Q32027'!G50,"")</f>
        <v/>
      </c>
      <c r="H209" t="str">
        <f>IF(AND('Q32027'!B50&lt;&gt;"",'Q32027'!E50&lt;&gt;""),"Q32027","")</f>
        <v/>
      </c>
      <c r="I209" t="str">
        <f>IF(A209="Q12027",COUNTIF($A$2:$A209,"Q12027"),"")</f>
        <v/>
      </c>
      <c r="J209" t="str">
        <f>IF(A209="Q22027",COUNTIF($A$2:$A209,"Q22027"),"")</f>
        <v/>
      </c>
      <c r="K209" t="str">
        <f>IF(A209="Q32027",COUNTIF($A$2:$A209,"Q32027"),"")</f>
        <v/>
      </c>
      <c r="L209" t="str">
        <f>IF(A209="Q42027",COUNTIF($A$2:$A209,"Q42027"),"")</f>
        <v/>
      </c>
      <c r="M209" t="str">
        <f>IF(A209="Backlog",COUNTIF($A$2:$A209,"Backlog"),"")</f>
        <v/>
      </c>
    </row>
    <row r="210" spans="1:13">
      <c r="A210" t="str">
        <f>IF(AND('Q32027'!B51&lt;&gt;"",'Q32027'!E51&lt;&gt;""),'Q32027'!E51,"")</f>
        <v/>
      </c>
      <c r="B210" t="str">
        <f>IF(AND('Q32027'!B51&lt;&gt;"",'Q32027'!E51&lt;&gt;""),'Q32027'!B51,"")</f>
        <v/>
      </c>
      <c r="C210" t="str">
        <f>IF(AND('Q32027'!B51&lt;&gt;"",'Q32027'!E51&lt;&gt;""),'Q32027'!C51,"")</f>
        <v/>
      </c>
      <c r="D210" t="str">
        <f>IF(AND('Q32027'!B51&lt;&gt;"",'Q32027'!E51&lt;&gt;""),'Q32027'!D51,"")</f>
        <v/>
      </c>
      <c r="E210" t="str">
        <f>IF(AND('Q32027'!B51&lt;&gt;"",'Q32027'!E51&lt;&gt;""),'Q32027'!H51,"")</f>
        <v/>
      </c>
      <c r="F210" t="str">
        <f>IF(AND('Q32027'!B51&lt;&gt;"",'Q32027'!E51&lt;&gt;""),'Q32027'!F51,"")</f>
        <v/>
      </c>
      <c r="G210" t="str">
        <f>IF(AND('Q32027'!B51&lt;&gt;"",'Q32027'!E51&lt;&gt;""),'Q32027'!G51,"")</f>
        <v/>
      </c>
      <c r="H210" t="str">
        <f>IF(AND('Q32027'!B51&lt;&gt;"",'Q32027'!E51&lt;&gt;""),"Q32027","")</f>
        <v/>
      </c>
      <c r="I210" t="str">
        <f>IF(A210="Q12027",COUNTIF($A$2:$A210,"Q12027"),"")</f>
        <v/>
      </c>
      <c r="J210" t="str">
        <f>IF(A210="Q22027",COUNTIF($A$2:$A210,"Q22027"),"")</f>
        <v/>
      </c>
      <c r="K210" t="str">
        <f>IF(A210="Q32027",COUNTIF($A$2:$A210,"Q32027"),"")</f>
        <v/>
      </c>
      <c r="L210" t="str">
        <f>IF(A210="Q42027",COUNTIF($A$2:$A210,"Q42027"),"")</f>
        <v/>
      </c>
      <c r="M210" t="str">
        <f>IF(A210="Backlog",COUNTIF($A$2:$A210,"Backlog"),"")</f>
        <v/>
      </c>
    </row>
    <row r="211" spans="1:13">
      <c r="A211" t="str">
        <f>IF(AND('Q32027'!B52&lt;&gt;"",'Q32027'!E52&lt;&gt;""),'Q32027'!E52,"")</f>
        <v/>
      </c>
      <c r="B211" t="str">
        <f>IF(AND('Q32027'!B52&lt;&gt;"",'Q32027'!E52&lt;&gt;""),'Q32027'!B52,"")</f>
        <v/>
      </c>
      <c r="C211" t="str">
        <f>IF(AND('Q32027'!B52&lt;&gt;"",'Q32027'!E52&lt;&gt;""),'Q32027'!C52,"")</f>
        <v/>
      </c>
      <c r="D211" t="str">
        <f>IF(AND('Q32027'!B52&lt;&gt;"",'Q32027'!E52&lt;&gt;""),'Q32027'!D52,"")</f>
        <v/>
      </c>
      <c r="E211" t="str">
        <f>IF(AND('Q32027'!B52&lt;&gt;"",'Q32027'!E52&lt;&gt;""),'Q32027'!H52,"")</f>
        <v/>
      </c>
      <c r="F211" t="str">
        <f>IF(AND('Q32027'!B52&lt;&gt;"",'Q32027'!E52&lt;&gt;""),'Q32027'!F52,"")</f>
        <v/>
      </c>
      <c r="G211" t="str">
        <f>IF(AND('Q32027'!B52&lt;&gt;"",'Q32027'!E52&lt;&gt;""),'Q32027'!G52,"")</f>
        <v/>
      </c>
      <c r="H211" t="str">
        <f>IF(AND('Q32027'!B52&lt;&gt;"",'Q32027'!E52&lt;&gt;""),"Q32027","")</f>
        <v/>
      </c>
      <c r="I211" t="str">
        <f>IF(A211="Q12027",COUNTIF($A$2:$A211,"Q12027"),"")</f>
        <v/>
      </c>
      <c r="J211" t="str">
        <f>IF(A211="Q22027",COUNTIF($A$2:$A211,"Q22027"),"")</f>
        <v/>
      </c>
      <c r="K211" t="str">
        <f>IF(A211="Q32027",COUNTIF($A$2:$A211,"Q32027"),"")</f>
        <v/>
      </c>
      <c r="L211" t="str">
        <f>IF(A211="Q42027",COUNTIF($A$2:$A211,"Q42027"),"")</f>
        <v/>
      </c>
      <c r="M211" t="str">
        <f>IF(A211="Backlog",COUNTIF($A$2:$A211,"Backlog"),"")</f>
        <v/>
      </c>
    </row>
    <row r="212" spans="1:13">
      <c r="A212" t="str">
        <f>IF(AND('Q32027'!B53&lt;&gt;"",'Q32027'!E53&lt;&gt;""),'Q32027'!E53,"")</f>
        <v/>
      </c>
      <c r="B212" t="str">
        <f>IF(AND('Q32027'!B53&lt;&gt;"",'Q32027'!E53&lt;&gt;""),'Q32027'!B53,"")</f>
        <v/>
      </c>
      <c r="C212" t="str">
        <f>IF(AND('Q32027'!B53&lt;&gt;"",'Q32027'!E53&lt;&gt;""),'Q32027'!C53,"")</f>
        <v/>
      </c>
      <c r="D212" t="str">
        <f>IF(AND('Q32027'!B53&lt;&gt;"",'Q32027'!E53&lt;&gt;""),'Q32027'!D53,"")</f>
        <v/>
      </c>
      <c r="E212" t="str">
        <f>IF(AND('Q32027'!B53&lt;&gt;"",'Q32027'!E53&lt;&gt;""),'Q32027'!H53,"")</f>
        <v/>
      </c>
      <c r="F212" t="str">
        <f>IF(AND('Q32027'!B53&lt;&gt;"",'Q32027'!E53&lt;&gt;""),'Q32027'!F53,"")</f>
        <v/>
      </c>
      <c r="G212" t="str">
        <f>IF(AND('Q32027'!B53&lt;&gt;"",'Q32027'!E53&lt;&gt;""),'Q32027'!G53,"")</f>
        <v/>
      </c>
      <c r="H212" t="str">
        <f>IF(AND('Q32027'!B53&lt;&gt;"",'Q32027'!E53&lt;&gt;""),"Q32027","")</f>
        <v/>
      </c>
      <c r="I212" t="str">
        <f>IF(A212="Q12027",COUNTIF($A$2:$A212,"Q12027"),"")</f>
        <v/>
      </c>
      <c r="J212" t="str">
        <f>IF(A212="Q22027",COUNTIF($A$2:$A212,"Q22027"),"")</f>
        <v/>
      </c>
      <c r="K212" t="str">
        <f>IF(A212="Q32027",COUNTIF($A$2:$A212,"Q32027"),"")</f>
        <v/>
      </c>
      <c r="L212" t="str">
        <f>IF(A212="Q42027",COUNTIF($A$2:$A212,"Q42027"),"")</f>
        <v/>
      </c>
      <c r="M212" t="str">
        <f>IF(A212="Backlog",COUNTIF($A$2:$A212,"Backlog"),"")</f>
        <v/>
      </c>
    </row>
    <row r="213" spans="1:13">
      <c r="A213" t="str">
        <f>IF(AND('Q32027'!B54&lt;&gt;"",'Q32027'!E54&lt;&gt;""),'Q32027'!E54,"")</f>
        <v/>
      </c>
      <c r="B213" t="str">
        <f>IF(AND('Q32027'!B54&lt;&gt;"",'Q32027'!E54&lt;&gt;""),'Q32027'!B54,"")</f>
        <v/>
      </c>
      <c r="C213" t="str">
        <f>IF(AND('Q32027'!B54&lt;&gt;"",'Q32027'!E54&lt;&gt;""),'Q32027'!C54,"")</f>
        <v/>
      </c>
      <c r="D213" t="str">
        <f>IF(AND('Q32027'!B54&lt;&gt;"",'Q32027'!E54&lt;&gt;""),'Q32027'!D54,"")</f>
        <v/>
      </c>
      <c r="E213" t="str">
        <f>IF(AND('Q32027'!B54&lt;&gt;"",'Q32027'!E54&lt;&gt;""),'Q32027'!H54,"")</f>
        <v/>
      </c>
      <c r="F213" t="str">
        <f>IF(AND('Q32027'!B54&lt;&gt;"",'Q32027'!E54&lt;&gt;""),'Q32027'!F54,"")</f>
        <v/>
      </c>
      <c r="G213" t="str">
        <f>IF(AND('Q32027'!B54&lt;&gt;"",'Q32027'!E54&lt;&gt;""),'Q32027'!G54,"")</f>
        <v/>
      </c>
      <c r="H213" t="str">
        <f>IF(AND('Q32027'!B54&lt;&gt;"",'Q32027'!E54&lt;&gt;""),"Q32027","")</f>
        <v/>
      </c>
      <c r="I213" t="str">
        <f>IF(A213="Q12027",COUNTIF($A$2:$A213,"Q12027"),"")</f>
        <v/>
      </c>
      <c r="J213" t="str">
        <f>IF(A213="Q22027",COUNTIF($A$2:$A213,"Q22027"),"")</f>
        <v/>
      </c>
      <c r="K213" t="str">
        <f>IF(A213="Q32027",COUNTIF($A$2:$A213,"Q32027"),"")</f>
        <v/>
      </c>
      <c r="L213" t="str">
        <f>IF(A213="Q42027",COUNTIF($A$2:$A213,"Q42027"),"")</f>
        <v/>
      </c>
      <c r="M213" t="str">
        <f>IF(A213="Backlog",COUNTIF($A$2:$A213,"Backlog"),"")</f>
        <v/>
      </c>
    </row>
    <row r="214" spans="1:13">
      <c r="A214" t="str">
        <f>IF(AND('Q32027'!B55&lt;&gt;"",'Q32027'!E55&lt;&gt;""),'Q32027'!E55,"")</f>
        <v/>
      </c>
      <c r="B214" t="str">
        <f>IF(AND('Q32027'!B55&lt;&gt;"",'Q32027'!E55&lt;&gt;""),'Q32027'!B55,"")</f>
        <v/>
      </c>
      <c r="C214" t="str">
        <f>IF(AND('Q32027'!B55&lt;&gt;"",'Q32027'!E55&lt;&gt;""),'Q32027'!C55,"")</f>
        <v/>
      </c>
      <c r="D214" t="str">
        <f>IF(AND('Q32027'!B55&lt;&gt;"",'Q32027'!E55&lt;&gt;""),'Q32027'!D55,"")</f>
        <v/>
      </c>
      <c r="E214" t="str">
        <f>IF(AND('Q32027'!B55&lt;&gt;"",'Q32027'!E55&lt;&gt;""),'Q32027'!H55,"")</f>
        <v/>
      </c>
      <c r="F214" t="str">
        <f>IF(AND('Q32027'!B55&lt;&gt;"",'Q32027'!E55&lt;&gt;""),'Q32027'!F55,"")</f>
        <v/>
      </c>
      <c r="G214" t="str">
        <f>IF(AND('Q32027'!B55&lt;&gt;"",'Q32027'!E55&lt;&gt;""),'Q32027'!G55,"")</f>
        <v/>
      </c>
      <c r="H214" t="str">
        <f>IF(AND('Q32027'!B55&lt;&gt;"",'Q32027'!E55&lt;&gt;""),"Q32027","")</f>
        <v/>
      </c>
      <c r="I214" t="str">
        <f>IF(A214="Q12027",COUNTIF($A$2:$A214,"Q12027"),"")</f>
        <v/>
      </c>
      <c r="J214" t="str">
        <f>IF(A214="Q22027",COUNTIF($A$2:$A214,"Q22027"),"")</f>
        <v/>
      </c>
      <c r="K214" t="str">
        <f>IF(A214="Q32027",COUNTIF($A$2:$A214,"Q32027"),"")</f>
        <v/>
      </c>
      <c r="L214" t="str">
        <f>IF(A214="Q42027",COUNTIF($A$2:$A214,"Q42027"),"")</f>
        <v/>
      </c>
      <c r="M214" t="str">
        <f>IF(A214="Backlog",COUNTIF($A$2:$A214,"Backlog"),"")</f>
        <v/>
      </c>
    </row>
    <row r="215" spans="1:13">
      <c r="A215" t="str">
        <f>IF(AND('Q32027'!B56&lt;&gt;"",'Q32027'!E56&lt;&gt;""),'Q32027'!E56,"")</f>
        <v/>
      </c>
      <c r="B215" t="str">
        <f>IF(AND('Q32027'!B56&lt;&gt;"",'Q32027'!E56&lt;&gt;""),'Q32027'!B56,"")</f>
        <v/>
      </c>
      <c r="C215" t="str">
        <f>IF(AND('Q32027'!B56&lt;&gt;"",'Q32027'!E56&lt;&gt;""),'Q32027'!C56,"")</f>
        <v/>
      </c>
      <c r="D215" t="str">
        <f>IF(AND('Q32027'!B56&lt;&gt;"",'Q32027'!E56&lt;&gt;""),'Q32027'!D56,"")</f>
        <v/>
      </c>
      <c r="E215" t="str">
        <f>IF(AND('Q32027'!B56&lt;&gt;"",'Q32027'!E56&lt;&gt;""),'Q32027'!H56,"")</f>
        <v/>
      </c>
      <c r="F215" t="str">
        <f>IF(AND('Q32027'!B56&lt;&gt;"",'Q32027'!E56&lt;&gt;""),'Q32027'!F56,"")</f>
        <v/>
      </c>
      <c r="G215" t="str">
        <f>IF(AND('Q32027'!B56&lt;&gt;"",'Q32027'!E56&lt;&gt;""),'Q32027'!G56,"")</f>
        <v/>
      </c>
      <c r="H215" t="str">
        <f>IF(AND('Q32027'!B56&lt;&gt;"",'Q32027'!E56&lt;&gt;""),"Q32027","")</f>
        <v/>
      </c>
      <c r="I215" t="str">
        <f>IF(A215="Q12027",COUNTIF($A$2:$A215,"Q12027"),"")</f>
        <v/>
      </c>
      <c r="J215" t="str">
        <f>IF(A215="Q22027",COUNTIF($A$2:$A215,"Q22027"),"")</f>
        <v/>
      </c>
      <c r="K215" t="str">
        <f>IF(A215="Q32027",COUNTIF($A$2:$A215,"Q32027"),"")</f>
        <v/>
      </c>
      <c r="L215" t="str">
        <f>IF(A215="Q42027",COUNTIF($A$2:$A215,"Q42027"),"")</f>
        <v/>
      </c>
      <c r="M215" t="str">
        <f>IF(A215="Backlog",COUNTIF($A$2:$A215,"Backlog"),"")</f>
        <v/>
      </c>
    </row>
    <row r="216" spans="1:13">
      <c r="A216" t="str">
        <f>IF(AND('Q32027'!B57&lt;&gt;"",'Q32027'!E57&lt;&gt;""),'Q32027'!E57,"")</f>
        <v/>
      </c>
      <c r="B216" t="str">
        <f>IF(AND('Q32027'!B57&lt;&gt;"",'Q32027'!E57&lt;&gt;""),'Q32027'!B57,"")</f>
        <v/>
      </c>
      <c r="C216" t="str">
        <f>IF(AND('Q32027'!B57&lt;&gt;"",'Q32027'!E57&lt;&gt;""),'Q32027'!C57,"")</f>
        <v/>
      </c>
      <c r="D216" t="str">
        <f>IF(AND('Q32027'!B57&lt;&gt;"",'Q32027'!E57&lt;&gt;""),'Q32027'!D57,"")</f>
        <v/>
      </c>
      <c r="E216" t="str">
        <f>IF(AND('Q32027'!B57&lt;&gt;"",'Q32027'!E57&lt;&gt;""),'Q32027'!H57,"")</f>
        <v/>
      </c>
      <c r="F216" t="str">
        <f>IF(AND('Q32027'!B57&lt;&gt;"",'Q32027'!E57&lt;&gt;""),'Q32027'!F57,"")</f>
        <v/>
      </c>
      <c r="G216" t="str">
        <f>IF(AND('Q32027'!B57&lt;&gt;"",'Q32027'!E57&lt;&gt;""),'Q32027'!G57,"")</f>
        <v/>
      </c>
      <c r="H216" t="str">
        <f>IF(AND('Q32027'!B57&lt;&gt;"",'Q32027'!E57&lt;&gt;""),"Q32027","")</f>
        <v/>
      </c>
      <c r="I216" t="str">
        <f>IF(A216="Q12027",COUNTIF($A$2:$A216,"Q12027"),"")</f>
        <v/>
      </c>
      <c r="J216" t="str">
        <f>IF(A216="Q22027",COUNTIF($A$2:$A216,"Q22027"),"")</f>
        <v/>
      </c>
      <c r="K216" t="str">
        <f>IF(A216="Q32027",COUNTIF($A$2:$A216,"Q32027"),"")</f>
        <v/>
      </c>
      <c r="L216" t="str">
        <f>IF(A216="Q42027",COUNTIF($A$2:$A216,"Q42027"),"")</f>
        <v/>
      </c>
      <c r="M216" t="str">
        <f>IF(A216="Backlog",COUNTIF($A$2:$A216,"Backlog"),"")</f>
        <v/>
      </c>
    </row>
    <row r="217" spans="1:13">
      <c r="A217" t="str">
        <f>IF(AND('Q32027'!B58&lt;&gt;"",'Q32027'!E58&lt;&gt;""),'Q32027'!E58,"")</f>
        <v/>
      </c>
      <c r="B217" t="str">
        <f>IF(AND('Q32027'!B58&lt;&gt;"",'Q32027'!E58&lt;&gt;""),'Q32027'!B58,"")</f>
        <v/>
      </c>
      <c r="C217" t="str">
        <f>IF(AND('Q32027'!B58&lt;&gt;"",'Q32027'!E58&lt;&gt;""),'Q32027'!C58,"")</f>
        <v/>
      </c>
      <c r="D217" t="str">
        <f>IF(AND('Q32027'!B58&lt;&gt;"",'Q32027'!E58&lt;&gt;""),'Q32027'!D58,"")</f>
        <v/>
      </c>
      <c r="E217" t="str">
        <f>IF(AND('Q32027'!B58&lt;&gt;"",'Q32027'!E58&lt;&gt;""),'Q32027'!H58,"")</f>
        <v/>
      </c>
      <c r="F217" t="str">
        <f>IF(AND('Q32027'!B58&lt;&gt;"",'Q32027'!E58&lt;&gt;""),'Q32027'!F58,"")</f>
        <v/>
      </c>
      <c r="G217" t="str">
        <f>IF(AND('Q32027'!B58&lt;&gt;"",'Q32027'!E58&lt;&gt;""),'Q32027'!G58,"")</f>
        <v/>
      </c>
      <c r="H217" t="str">
        <f>IF(AND('Q32027'!B58&lt;&gt;"",'Q32027'!E58&lt;&gt;""),"Q32027","")</f>
        <v/>
      </c>
      <c r="I217" t="str">
        <f>IF(A217="Q12027",COUNTIF($A$2:$A217,"Q12027"),"")</f>
        <v/>
      </c>
      <c r="J217" t="str">
        <f>IF(A217="Q22027",COUNTIF($A$2:$A217,"Q22027"),"")</f>
        <v/>
      </c>
      <c r="K217" t="str">
        <f>IF(A217="Q32027",COUNTIF($A$2:$A217,"Q32027"),"")</f>
        <v/>
      </c>
      <c r="L217" t="str">
        <f>IF(A217="Q42027",COUNTIF($A$2:$A217,"Q42027"),"")</f>
        <v/>
      </c>
      <c r="M217" t="str">
        <f>IF(A217="Backlog",COUNTIF($A$2:$A217,"Backlog"),"")</f>
        <v/>
      </c>
    </row>
    <row r="218" spans="1:13">
      <c r="A218" t="str">
        <f>IF(AND('Q32027'!B59&lt;&gt;"",'Q32027'!E59&lt;&gt;""),'Q32027'!E59,"")</f>
        <v/>
      </c>
      <c r="B218" t="str">
        <f>IF(AND('Q32027'!B59&lt;&gt;"",'Q32027'!E59&lt;&gt;""),'Q32027'!B59,"")</f>
        <v/>
      </c>
      <c r="C218" t="str">
        <f>IF(AND('Q32027'!B59&lt;&gt;"",'Q32027'!E59&lt;&gt;""),'Q32027'!C59,"")</f>
        <v/>
      </c>
      <c r="D218" t="str">
        <f>IF(AND('Q32027'!B59&lt;&gt;"",'Q32027'!E59&lt;&gt;""),'Q32027'!D59,"")</f>
        <v/>
      </c>
      <c r="E218" t="str">
        <f>IF(AND('Q32027'!B59&lt;&gt;"",'Q32027'!E59&lt;&gt;""),'Q32027'!H59,"")</f>
        <v/>
      </c>
      <c r="F218" t="str">
        <f>IF(AND('Q32027'!B59&lt;&gt;"",'Q32027'!E59&lt;&gt;""),'Q32027'!F59,"")</f>
        <v/>
      </c>
      <c r="G218" t="str">
        <f>IF(AND('Q32027'!B59&lt;&gt;"",'Q32027'!E59&lt;&gt;""),'Q32027'!G59,"")</f>
        <v/>
      </c>
      <c r="H218" t="str">
        <f>IF(AND('Q32027'!B59&lt;&gt;"",'Q32027'!E59&lt;&gt;""),"Q32027","")</f>
        <v/>
      </c>
      <c r="I218" t="str">
        <f>IF(A218="Q12027",COUNTIF($A$2:$A218,"Q12027"),"")</f>
        <v/>
      </c>
      <c r="J218" t="str">
        <f>IF(A218="Q22027",COUNTIF($A$2:$A218,"Q22027"),"")</f>
        <v/>
      </c>
      <c r="K218" t="str">
        <f>IF(A218="Q32027",COUNTIF($A$2:$A218,"Q32027"),"")</f>
        <v/>
      </c>
      <c r="L218" t="str">
        <f>IF(A218="Q42027",COUNTIF($A$2:$A218,"Q42027"),"")</f>
        <v/>
      </c>
      <c r="M218" t="str">
        <f>IF(A218="Backlog",COUNTIF($A$2:$A218,"Backlog"),"")</f>
        <v/>
      </c>
    </row>
    <row r="219" spans="1:13">
      <c r="A219" t="str">
        <f>IF(AND('Q32027'!B60&lt;&gt;"",'Q32027'!E60&lt;&gt;""),'Q32027'!E60,"")</f>
        <v/>
      </c>
      <c r="B219" t="str">
        <f>IF(AND('Q32027'!B60&lt;&gt;"",'Q32027'!E60&lt;&gt;""),'Q32027'!B60,"")</f>
        <v/>
      </c>
      <c r="C219" t="str">
        <f>IF(AND('Q32027'!B60&lt;&gt;"",'Q32027'!E60&lt;&gt;""),'Q32027'!C60,"")</f>
        <v/>
      </c>
      <c r="D219" t="str">
        <f>IF(AND('Q32027'!B60&lt;&gt;"",'Q32027'!E60&lt;&gt;""),'Q32027'!D60,"")</f>
        <v/>
      </c>
      <c r="E219" t="str">
        <f>IF(AND('Q32027'!B60&lt;&gt;"",'Q32027'!E60&lt;&gt;""),'Q32027'!H60,"")</f>
        <v/>
      </c>
      <c r="F219" t="str">
        <f>IF(AND('Q32027'!B60&lt;&gt;"",'Q32027'!E60&lt;&gt;""),'Q32027'!F60,"")</f>
        <v/>
      </c>
      <c r="G219" t="str">
        <f>IF(AND('Q32027'!B60&lt;&gt;"",'Q32027'!E60&lt;&gt;""),'Q32027'!G60,"")</f>
        <v/>
      </c>
      <c r="H219" t="str">
        <f>IF(AND('Q32027'!B60&lt;&gt;"",'Q32027'!E60&lt;&gt;""),"Q32027","")</f>
        <v/>
      </c>
      <c r="I219" t="str">
        <f>IF(A219="Q12027",COUNTIF($A$2:$A219,"Q12027"),"")</f>
        <v/>
      </c>
      <c r="J219" t="str">
        <f>IF(A219="Q22027",COUNTIF($A$2:$A219,"Q22027"),"")</f>
        <v/>
      </c>
      <c r="K219" t="str">
        <f>IF(A219="Q32027",COUNTIF($A$2:$A219,"Q32027"),"")</f>
        <v/>
      </c>
      <c r="L219" t="str">
        <f>IF(A219="Q42027",COUNTIF($A$2:$A219,"Q42027"),"")</f>
        <v/>
      </c>
      <c r="M219" t="str">
        <f>IF(A219="Backlog",COUNTIF($A$2:$A219,"Backlog"),"")</f>
        <v/>
      </c>
    </row>
    <row r="220" spans="1:13">
      <c r="A220" t="str">
        <f>IF(AND('Q32027'!B61&lt;&gt;"",'Q32027'!E61&lt;&gt;""),'Q32027'!E61,"")</f>
        <v/>
      </c>
      <c r="B220" t="str">
        <f>IF(AND('Q32027'!B61&lt;&gt;"",'Q32027'!E61&lt;&gt;""),'Q32027'!B61,"")</f>
        <v/>
      </c>
      <c r="C220" t="str">
        <f>IF(AND('Q32027'!B61&lt;&gt;"",'Q32027'!E61&lt;&gt;""),'Q32027'!C61,"")</f>
        <v/>
      </c>
      <c r="D220" t="str">
        <f>IF(AND('Q32027'!B61&lt;&gt;"",'Q32027'!E61&lt;&gt;""),'Q32027'!D61,"")</f>
        <v/>
      </c>
      <c r="E220" t="str">
        <f>IF(AND('Q32027'!B61&lt;&gt;"",'Q32027'!E61&lt;&gt;""),'Q32027'!H61,"")</f>
        <v/>
      </c>
      <c r="F220" t="str">
        <f>IF(AND('Q32027'!B61&lt;&gt;"",'Q32027'!E61&lt;&gt;""),'Q32027'!F61,"")</f>
        <v/>
      </c>
      <c r="G220" t="str">
        <f>IF(AND('Q32027'!B61&lt;&gt;"",'Q32027'!E61&lt;&gt;""),'Q32027'!G61,"")</f>
        <v/>
      </c>
      <c r="H220" t="str">
        <f>IF(AND('Q32027'!B61&lt;&gt;"",'Q32027'!E61&lt;&gt;""),"Q32027","")</f>
        <v/>
      </c>
      <c r="I220" t="str">
        <f>IF(A220="Q12027",COUNTIF($A$2:$A220,"Q12027"),"")</f>
        <v/>
      </c>
      <c r="J220" t="str">
        <f>IF(A220="Q22027",COUNTIF($A$2:$A220,"Q22027"),"")</f>
        <v/>
      </c>
      <c r="K220" t="str">
        <f>IF(A220="Q32027",COUNTIF($A$2:$A220,"Q32027"),"")</f>
        <v/>
      </c>
      <c r="L220" t="str">
        <f>IF(A220="Q42027",COUNTIF($A$2:$A220,"Q42027"),"")</f>
        <v/>
      </c>
      <c r="M220" t="str">
        <f>IF(A220="Backlog",COUNTIF($A$2:$A220,"Backlog"),"")</f>
        <v/>
      </c>
    </row>
    <row r="221" spans="1:13">
      <c r="A221" t="str">
        <f>IF(AND('Q32027'!B62&lt;&gt;"",'Q32027'!E62&lt;&gt;""),'Q32027'!E62,"")</f>
        <v/>
      </c>
      <c r="B221" t="str">
        <f>IF(AND('Q32027'!B62&lt;&gt;"",'Q32027'!E62&lt;&gt;""),'Q32027'!B62,"")</f>
        <v/>
      </c>
      <c r="C221" t="str">
        <f>IF(AND('Q32027'!B62&lt;&gt;"",'Q32027'!E62&lt;&gt;""),'Q32027'!C62,"")</f>
        <v/>
      </c>
      <c r="D221" t="str">
        <f>IF(AND('Q32027'!B62&lt;&gt;"",'Q32027'!E62&lt;&gt;""),'Q32027'!D62,"")</f>
        <v/>
      </c>
      <c r="E221" t="str">
        <f>IF(AND('Q32027'!B62&lt;&gt;"",'Q32027'!E62&lt;&gt;""),'Q32027'!H62,"")</f>
        <v/>
      </c>
      <c r="F221" t="str">
        <f>IF(AND('Q32027'!B62&lt;&gt;"",'Q32027'!E62&lt;&gt;""),'Q32027'!F62,"")</f>
        <v/>
      </c>
      <c r="G221" t="str">
        <f>IF(AND('Q32027'!B62&lt;&gt;"",'Q32027'!E62&lt;&gt;""),'Q32027'!G62,"")</f>
        <v/>
      </c>
      <c r="H221" t="str">
        <f>IF(AND('Q32027'!B62&lt;&gt;"",'Q32027'!E62&lt;&gt;""),"Q32027","")</f>
        <v/>
      </c>
      <c r="I221" t="str">
        <f>IF(A221="Q12027",COUNTIF($A$2:$A221,"Q12027"),"")</f>
        <v/>
      </c>
      <c r="J221" t="str">
        <f>IF(A221="Q22027",COUNTIF($A$2:$A221,"Q22027"),"")</f>
        <v/>
      </c>
      <c r="K221" t="str">
        <f>IF(A221="Q32027",COUNTIF($A$2:$A221,"Q32027"),"")</f>
        <v/>
      </c>
      <c r="L221" t="str">
        <f>IF(A221="Q42027",COUNTIF($A$2:$A221,"Q42027"),"")</f>
        <v/>
      </c>
      <c r="M221" t="str">
        <f>IF(A221="Backlog",COUNTIF($A$2:$A221,"Backlog"),"")</f>
        <v/>
      </c>
    </row>
    <row r="222" spans="1:13">
      <c r="A222" t="str">
        <f>IF(AND('Q32027'!B63&lt;&gt;"",'Q32027'!E63&lt;&gt;""),'Q32027'!E63,"")</f>
        <v/>
      </c>
      <c r="B222" t="str">
        <f>IF(AND('Q32027'!B63&lt;&gt;"",'Q32027'!E63&lt;&gt;""),'Q32027'!B63,"")</f>
        <v/>
      </c>
      <c r="C222" t="str">
        <f>IF(AND('Q32027'!B63&lt;&gt;"",'Q32027'!E63&lt;&gt;""),'Q32027'!C63,"")</f>
        <v/>
      </c>
      <c r="D222" t="str">
        <f>IF(AND('Q32027'!B63&lt;&gt;"",'Q32027'!E63&lt;&gt;""),'Q32027'!D63,"")</f>
        <v/>
      </c>
      <c r="E222" t="str">
        <f>IF(AND('Q32027'!B63&lt;&gt;"",'Q32027'!E63&lt;&gt;""),'Q32027'!H63,"")</f>
        <v/>
      </c>
      <c r="F222" t="str">
        <f>IF(AND('Q32027'!B63&lt;&gt;"",'Q32027'!E63&lt;&gt;""),'Q32027'!F63,"")</f>
        <v/>
      </c>
      <c r="G222" t="str">
        <f>IF(AND('Q32027'!B63&lt;&gt;"",'Q32027'!E63&lt;&gt;""),'Q32027'!G63,"")</f>
        <v/>
      </c>
      <c r="H222" t="str">
        <f>IF(AND('Q32027'!B63&lt;&gt;"",'Q32027'!E63&lt;&gt;""),"Q32027","")</f>
        <v/>
      </c>
      <c r="I222" t="str">
        <f>IF(A222="Q12027",COUNTIF($A$2:$A222,"Q12027"),"")</f>
        <v/>
      </c>
      <c r="J222" t="str">
        <f>IF(A222="Q22027",COUNTIF($A$2:$A222,"Q22027"),"")</f>
        <v/>
      </c>
      <c r="K222" t="str">
        <f>IF(A222="Q32027",COUNTIF($A$2:$A222,"Q32027"),"")</f>
        <v/>
      </c>
      <c r="L222" t="str">
        <f>IF(A222="Q42027",COUNTIF($A$2:$A222,"Q42027"),"")</f>
        <v/>
      </c>
      <c r="M222" t="str">
        <f>IF(A222="Backlog",COUNTIF($A$2:$A222,"Backlog"),"")</f>
        <v/>
      </c>
    </row>
    <row r="223" spans="1:13">
      <c r="A223" t="str">
        <f>IF(AND('Q32027'!B64&lt;&gt;"",'Q32027'!E64&lt;&gt;""),'Q32027'!E64,"")</f>
        <v/>
      </c>
      <c r="B223" t="str">
        <f>IF(AND('Q32027'!B64&lt;&gt;"",'Q32027'!E64&lt;&gt;""),'Q32027'!B64,"")</f>
        <v/>
      </c>
      <c r="C223" t="str">
        <f>IF(AND('Q32027'!B64&lt;&gt;"",'Q32027'!E64&lt;&gt;""),'Q32027'!C64,"")</f>
        <v/>
      </c>
      <c r="D223" t="str">
        <f>IF(AND('Q32027'!B64&lt;&gt;"",'Q32027'!E64&lt;&gt;""),'Q32027'!D64,"")</f>
        <v/>
      </c>
      <c r="E223" t="str">
        <f>IF(AND('Q32027'!B64&lt;&gt;"",'Q32027'!E64&lt;&gt;""),'Q32027'!H64,"")</f>
        <v/>
      </c>
      <c r="F223" t="str">
        <f>IF(AND('Q32027'!B64&lt;&gt;"",'Q32027'!E64&lt;&gt;""),'Q32027'!F64,"")</f>
        <v/>
      </c>
      <c r="G223" t="str">
        <f>IF(AND('Q32027'!B64&lt;&gt;"",'Q32027'!E64&lt;&gt;""),'Q32027'!G64,"")</f>
        <v/>
      </c>
      <c r="H223" t="str">
        <f>IF(AND('Q32027'!B64&lt;&gt;"",'Q32027'!E64&lt;&gt;""),"Q32027","")</f>
        <v/>
      </c>
      <c r="I223" t="str">
        <f>IF(A223="Q12027",COUNTIF($A$2:$A223,"Q12027"),"")</f>
        <v/>
      </c>
      <c r="J223" t="str">
        <f>IF(A223="Q22027",COUNTIF($A$2:$A223,"Q22027"),"")</f>
        <v/>
      </c>
      <c r="K223" t="str">
        <f>IF(A223="Q32027",COUNTIF($A$2:$A223,"Q32027"),"")</f>
        <v/>
      </c>
      <c r="L223" t="str">
        <f>IF(A223="Q42027",COUNTIF($A$2:$A223,"Q42027"),"")</f>
        <v/>
      </c>
      <c r="M223" t="str">
        <f>IF(A223="Backlog",COUNTIF($A$2:$A223,"Backlog"),"")</f>
        <v/>
      </c>
    </row>
    <row r="224" spans="1:13">
      <c r="A224" t="str">
        <f>IF(AND('Q32027'!B65&lt;&gt;"",'Q32027'!E65&lt;&gt;""),'Q32027'!E65,"")</f>
        <v/>
      </c>
      <c r="B224" t="str">
        <f>IF(AND('Q32027'!B65&lt;&gt;"",'Q32027'!E65&lt;&gt;""),'Q32027'!B65,"")</f>
        <v/>
      </c>
      <c r="C224" t="str">
        <f>IF(AND('Q32027'!B65&lt;&gt;"",'Q32027'!E65&lt;&gt;""),'Q32027'!C65,"")</f>
        <v/>
      </c>
      <c r="D224" t="str">
        <f>IF(AND('Q32027'!B65&lt;&gt;"",'Q32027'!E65&lt;&gt;""),'Q32027'!D65,"")</f>
        <v/>
      </c>
      <c r="E224" t="str">
        <f>IF(AND('Q32027'!B65&lt;&gt;"",'Q32027'!E65&lt;&gt;""),'Q32027'!H65,"")</f>
        <v/>
      </c>
      <c r="F224" t="str">
        <f>IF(AND('Q32027'!B65&lt;&gt;"",'Q32027'!E65&lt;&gt;""),'Q32027'!F65,"")</f>
        <v/>
      </c>
      <c r="G224" t="str">
        <f>IF(AND('Q32027'!B65&lt;&gt;"",'Q32027'!E65&lt;&gt;""),'Q32027'!G65,"")</f>
        <v/>
      </c>
      <c r="H224" t="str">
        <f>IF(AND('Q32027'!B65&lt;&gt;"",'Q32027'!E65&lt;&gt;""),"Q32027","")</f>
        <v/>
      </c>
      <c r="I224" t="str">
        <f>IF(A224="Q12027",COUNTIF($A$2:$A224,"Q12027"),"")</f>
        <v/>
      </c>
      <c r="J224" t="str">
        <f>IF(A224="Q22027",COUNTIF($A$2:$A224,"Q22027"),"")</f>
        <v/>
      </c>
      <c r="K224" t="str">
        <f>IF(A224="Q32027",COUNTIF($A$2:$A224,"Q32027"),"")</f>
        <v/>
      </c>
      <c r="L224" t="str">
        <f>IF(A224="Q42027",COUNTIF($A$2:$A224,"Q42027"),"")</f>
        <v/>
      </c>
      <c r="M224" t="str">
        <f>IF(A224="Backlog",COUNTIF($A$2:$A224,"Backlog"),"")</f>
        <v/>
      </c>
    </row>
    <row r="225" spans="1:13">
      <c r="A225" t="str">
        <f>IF(AND('Q32027'!B66&lt;&gt;"",'Q32027'!E66&lt;&gt;""),'Q32027'!E66,"")</f>
        <v/>
      </c>
      <c r="B225" t="str">
        <f>IF(AND('Q32027'!B66&lt;&gt;"",'Q32027'!E66&lt;&gt;""),'Q32027'!B66,"")</f>
        <v/>
      </c>
      <c r="C225" t="str">
        <f>IF(AND('Q32027'!B66&lt;&gt;"",'Q32027'!E66&lt;&gt;""),'Q32027'!C66,"")</f>
        <v/>
      </c>
      <c r="D225" t="str">
        <f>IF(AND('Q32027'!B66&lt;&gt;"",'Q32027'!E66&lt;&gt;""),'Q32027'!D66,"")</f>
        <v/>
      </c>
      <c r="E225" t="str">
        <f>IF(AND('Q32027'!B66&lt;&gt;"",'Q32027'!E66&lt;&gt;""),'Q32027'!H66,"")</f>
        <v/>
      </c>
      <c r="F225" t="str">
        <f>IF(AND('Q32027'!B66&lt;&gt;"",'Q32027'!E66&lt;&gt;""),'Q32027'!F66,"")</f>
        <v/>
      </c>
      <c r="G225" t="str">
        <f>IF(AND('Q32027'!B66&lt;&gt;"",'Q32027'!E66&lt;&gt;""),'Q32027'!G66,"")</f>
        <v/>
      </c>
      <c r="H225" t="str">
        <f>IF(AND('Q32027'!B66&lt;&gt;"",'Q32027'!E66&lt;&gt;""),"Q32027","")</f>
        <v/>
      </c>
      <c r="I225" t="str">
        <f>IF(A225="Q12027",COUNTIF($A$2:$A225,"Q12027"),"")</f>
        <v/>
      </c>
      <c r="J225" t="str">
        <f>IF(A225="Q22027",COUNTIF($A$2:$A225,"Q22027"),"")</f>
        <v/>
      </c>
      <c r="K225" t="str">
        <f>IF(A225="Q32027",COUNTIF($A$2:$A225,"Q32027"),"")</f>
        <v/>
      </c>
      <c r="L225" t="str">
        <f>IF(A225="Q42027",COUNTIF($A$2:$A225,"Q42027"),"")</f>
        <v/>
      </c>
      <c r="M225" t="str">
        <f>IF(A225="Backlog",COUNTIF($A$2:$A225,"Backlog"),"")</f>
        <v/>
      </c>
    </row>
    <row r="226" spans="1:13">
      <c r="A226" t="str">
        <f>IF(AND('Q32027'!B67&lt;&gt;"",'Q32027'!E67&lt;&gt;""),'Q32027'!E67,"")</f>
        <v/>
      </c>
      <c r="B226" t="str">
        <f>IF(AND('Q32027'!B67&lt;&gt;"",'Q32027'!E67&lt;&gt;""),'Q32027'!B67,"")</f>
        <v/>
      </c>
      <c r="C226" t="str">
        <f>IF(AND('Q32027'!B67&lt;&gt;"",'Q32027'!E67&lt;&gt;""),'Q32027'!C67,"")</f>
        <v/>
      </c>
      <c r="D226" t="str">
        <f>IF(AND('Q32027'!B67&lt;&gt;"",'Q32027'!E67&lt;&gt;""),'Q32027'!D67,"")</f>
        <v/>
      </c>
      <c r="E226" t="str">
        <f>IF(AND('Q32027'!B67&lt;&gt;"",'Q32027'!E67&lt;&gt;""),'Q32027'!H67,"")</f>
        <v/>
      </c>
      <c r="F226" t="str">
        <f>IF(AND('Q32027'!B67&lt;&gt;"",'Q32027'!E67&lt;&gt;""),'Q32027'!F67,"")</f>
        <v/>
      </c>
      <c r="G226" t="str">
        <f>IF(AND('Q32027'!B67&lt;&gt;"",'Q32027'!E67&lt;&gt;""),'Q32027'!G67,"")</f>
        <v/>
      </c>
      <c r="H226" t="str">
        <f>IF(AND('Q32027'!B67&lt;&gt;"",'Q32027'!E67&lt;&gt;""),"Q32027","")</f>
        <v/>
      </c>
      <c r="I226" t="str">
        <f>IF(A226="Q12027",COUNTIF($A$2:$A226,"Q12027"),"")</f>
        <v/>
      </c>
      <c r="J226" t="str">
        <f>IF(A226="Q22027",COUNTIF($A$2:$A226,"Q22027"),"")</f>
        <v/>
      </c>
      <c r="K226" t="str">
        <f>IF(A226="Q32027",COUNTIF($A$2:$A226,"Q32027"),"")</f>
        <v/>
      </c>
      <c r="L226" t="str">
        <f>IF(A226="Q42027",COUNTIF($A$2:$A226,"Q42027"),"")</f>
        <v/>
      </c>
      <c r="M226" t="str">
        <f>IF(A226="Backlog",COUNTIF($A$2:$A226,"Backlog"),"")</f>
        <v/>
      </c>
    </row>
    <row r="227" spans="1:13">
      <c r="A227" t="str">
        <f>IF(AND('Q32027'!B68&lt;&gt;"",'Q32027'!E68&lt;&gt;""),'Q32027'!E68,"")</f>
        <v/>
      </c>
      <c r="B227" t="str">
        <f>IF(AND('Q32027'!B68&lt;&gt;"",'Q32027'!E68&lt;&gt;""),'Q32027'!B68,"")</f>
        <v/>
      </c>
      <c r="C227" t="str">
        <f>IF(AND('Q32027'!B68&lt;&gt;"",'Q32027'!E68&lt;&gt;""),'Q32027'!C68,"")</f>
        <v/>
      </c>
      <c r="D227" t="str">
        <f>IF(AND('Q32027'!B68&lt;&gt;"",'Q32027'!E68&lt;&gt;""),'Q32027'!D68,"")</f>
        <v/>
      </c>
      <c r="E227" t="str">
        <f>IF(AND('Q32027'!B68&lt;&gt;"",'Q32027'!E68&lt;&gt;""),'Q32027'!H68,"")</f>
        <v/>
      </c>
      <c r="F227" t="str">
        <f>IF(AND('Q32027'!B68&lt;&gt;"",'Q32027'!E68&lt;&gt;""),'Q32027'!F68,"")</f>
        <v/>
      </c>
      <c r="G227" t="str">
        <f>IF(AND('Q32027'!B68&lt;&gt;"",'Q32027'!E68&lt;&gt;""),'Q32027'!G68,"")</f>
        <v/>
      </c>
      <c r="H227" t="str">
        <f>IF(AND('Q32027'!B68&lt;&gt;"",'Q32027'!E68&lt;&gt;""),"Q32027","")</f>
        <v/>
      </c>
      <c r="I227" t="str">
        <f>IF(A227="Q12027",COUNTIF($A$2:$A227,"Q12027"),"")</f>
        <v/>
      </c>
      <c r="J227" t="str">
        <f>IF(A227="Q22027",COUNTIF($A$2:$A227,"Q22027"),"")</f>
        <v/>
      </c>
      <c r="K227" t="str">
        <f>IF(A227="Q32027",COUNTIF($A$2:$A227,"Q32027"),"")</f>
        <v/>
      </c>
      <c r="L227" t="str">
        <f>IF(A227="Q42027",COUNTIF($A$2:$A227,"Q42027"),"")</f>
        <v/>
      </c>
      <c r="M227" t="str">
        <f>IF(A227="Backlog",COUNTIF($A$2:$A227,"Backlog"),"")</f>
        <v/>
      </c>
    </row>
    <row r="228" spans="1:13">
      <c r="A228" t="str">
        <f>IF(AND('Q32027'!B69&lt;&gt;"",'Q32027'!E69&lt;&gt;""),'Q32027'!E69,"")</f>
        <v/>
      </c>
      <c r="B228" t="str">
        <f>IF(AND('Q32027'!B69&lt;&gt;"",'Q32027'!E69&lt;&gt;""),'Q32027'!B69,"")</f>
        <v/>
      </c>
      <c r="C228" t="str">
        <f>IF(AND('Q32027'!B69&lt;&gt;"",'Q32027'!E69&lt;&gt;""),'Q32027'!C69,"")</f>
        <v/>
      </c>
      <c r="D228" t="str">
        <f>IF(AND('Q32027'!B69&lt;&gt;"",'Q32027'!E69&lt;&gt;""),'Q32027'!D69,"")</f>
        <v/>
      </c>
      <c r="E228" t="str">
        <f>IF(AND('Q32027'!B69&lt;&gt;"",'Q32027'!E69&lt;&gt;""),'Q32027'!H69,"")</f>
        <v/>
      </c>
      <c r="F228" t="str">
        <f>IF(AND('Q32027'!B69&lt;&gt;"",'Q32027'!E69&lt;&gt;""),'Q32027'!F69,"")</f>
        <v/>
      </c>
      <c r="G228" t="str">
        <f>IF(AND('Q32027'!B69&lt;&gt;"",'Q32027'!E69&lt;&gt;""),'Q32027'!G69,"")</f>
        <v/>
      </c>
      <c r="H228" t="str">
        <f>IF(AND('Q32027'!B69&lt;&gt;"",'Q32027'!E69&lt;&gt;""),"Q32027","")</f>
        <v/>
      </c>
      <c r="I228" t="str">
        <f>IF(A228="Q12027",COUNTIF($A$2:$A228,"Q12027"),"")</f>
        <v/>
      </c>
      <c r="J228" t="str">
        <f>IF(A228="Q22027",COUNTIF($A$2:$A228,"Q22027"),"")</f>
        <v/>
      </c>
      <c r="K228" t="str">
        <f>IF(A228="Q32027",COUNTIF($A$2:$A228,"Q32027"),"")</f>
        <v/>
      </c>
      <c r="L228" t="str">
        <f>IF(A228="Q42027",COUNTIF($A$2:$A228,"Q42027"),"")</f>
        <v/>
      </c>
      <c r="M228" t="str">
        <f>IF(A228="Backlog",COUNTIF($A$2:$A228,"Backlog"),"")</f>
        <v/>
      </c>
    </row>
    <row r="229" spans="1:13">
      <c r="A229" t="str">
        <f>IF(AND('Q32027'!B70&lt;&gt;"",'Q32027'!E70&lt;&gt;""),'Q32027'!E70,"")</f>
        <v/>
      </c>
      <c r="B229" t="str">
        <f>IF(AND('Q32027'!B70&lt;&gt;"",'Q32027'!E70&lt;&gt;""),'Q32027'!B70,"")</f>
        <v/>
      </c>
      <c r="C229" t="str">
        <f>IF(AND('Q32027'!B70&lt;&gt;"",'Q32027'!E70&lt;&gt;""),'Q32027'!C70,"")</f>
        <v/>
      </c>
      <c r="D229" t="str">
        <f>IF(AND('Q32027'!B70&lt;&gt;"",'Q32027'!E70&lt;&gt;""),'Q32027'!D70,"")</f>
        <v/>
      </c>
      <c r="E229" t="str">
        <f>IF(AND('Q32027'!B70&lt;&gt;"",'Q32027'!E70&lt;&gt;""),'Q32027'!H70,"")</f>
        <v/>
      </c>
      <c r="F229" t="str">
        <f>IF(AND('Q32027'!B70&lt;&gt;"",'Q32027'!E70&lt;&gt;""),'Q32027'!F70,"")</f>
        <v/>
      </c>
      <c r="G229" t="str">
        <f>IF(AND('Q32027'!B70&lt;&gt;"",'Q32027'!E70&lt;&gt;""),'Q32027'!G70,"")</f>
        <v/>
      </c>
      <c r="H229" t="str">
        <f>IF(AND('Q32027'!B70&lt;&gt;"",'Q32027'!E70&lt;&gt;""),"Q32027","")</f>
        <v/>
      </c>
      <c r="I229" t="str">
        <f>IF(A229="Q12027",COUNTIF($A$2:$A229,"Q12027"),"")</f>
        <v/>
      </c>
      <c r="J229" t="str">
        <f>IF(A229="Q22027",COUNTIF($A$2:$A229,"Q22027"),"")</f>
        <v/>
      </c>
      <c r="K229" t="str">
        <f>IF(A229="Q32027",COUNTIF($A$2:$A229,"Q32027"),"")</f>
        <v/>
      </c>
      <c r="L229" t="str">
        <f>IF(A229="Q42027",COUNTIF($A$2:$A229,"Q42027"),"")</f>
        <v/>
      </c>
      <c r="M229" t="str">
        <f>IF(A229="Backlog",COUNTIF($A$2:$A229,"Backlog"),"")</f>
        <v/>
      </c>
    </row>
    <row r="230" spans="1:13">
      <c r="A230" t="str">
        <f>IF(AND('Q32027'!B71&lt;&gt;"",'Q32027'!E71&lt;&gt;""),'Q32027'!E71,"")</f>
        <v/>
      </c>
      <c r="B230" t="str">
        <f>IF(AND('Q32027'!B71&lt;&gt;"",'Q32027'!E71&lt;&gt;""),'Q32027'!B71,"")</f>
        <v/>
      </c>
      <c r="C230" t="str">
        <f>IF(AND('Q32027'!B71&lt;&gt;"",'Q32027'!E71&lt;&gt;""),'Q32027'!C71,"")</f>
        <v/>
      </c>
      <c r="D230" t="str">
        <f>IF(AND('Q32027'!B71&lt;&gt;"",'Q32027'!E71&lt;&gt;""),'Q32027'!D71,"")</f>
        <v/>
      </c>
      <c r="E230" t="str">
        <f>IF(AND('Q32027'!B71&lt;&gt;"",'Q32027'!E71&lt;&gt;""),'Q32027'!H71,"")</f>
        <v/>
      </c>
      <c r="F230" t="str">
        <f>IF(AND('Q32027'!B71&lt;&gt;"",'Q32027'!E71&lt;&gt;""),'Q32027'!F71,"")</f>
        <v/>
      </c>
      <c r="G230" t="str">
        <f>IF(AND('Q32027'!B71&lt;&gt;"",'Q32027'!E71&lt;&gt;""),'Q32027'!G71,"")</f>
        <v/>
      </c>
      <c r="H230" t="str">
        <f>IF(AND('Q32027'!B71&lt;&gt;"",'Q32027'!E71&lt;&gt;""),"Q32027","")</f>
        <v/>
      </c>
      <c r="I230" t="str">
        <f>IF(A230="Q12027",COUNTIF($A$2:$A230,"Q12027"),"")</f>
        <v/>
      </c>
      <c r="J230" t="str">
        <f>IF(A230="Q22027",COUNTIF($A$2:$A230,"Q22027"),"")</f>
        <v/>
      </c>
      <c r="K230" t="str">
        <f>IF(A230="Q32027",COUNTIF($A$2:$A230,"Q32027"),"")</f>
        <v/>
      </c>
      <c r="L230" t="str">
        <f>IF(A230="Q42027",COUNTIF($A$2:$A230,"Q42027"),"")</f>
        <v/>
      </c>
      <c r="M230" t="str">
        <f>IF(A230="Backlog",COUNTIF($A$2:$A230,"Backlog"),"")</f>
        <v/>
      </c>
    </row>
    <row r="231" spans="1:13">
      <c r="A231" t="str">
        <f>IF(AND('Q32027'!B72&lt;&gt;"",'Q32027'!E72&lt;&gt;""),'Q32027'!E72,"")</f>
        <v/>
      </c>
      <c r="B231" t="str">
        <f>IF(AND('Q32027'!B72&lt;&gt;"",'Q32027'!E72&lt;&gt;""),'Q32027'!B72,"")</f>
        <v/>
      </c>
      <c r="C231" t="str">
        <f>IF(AND('Q32027'!B72&lt;&gt;"",'Q32027'!E72&lt;&gt;""),'Q32027'!C72,"")</f>
        <v/>
      </c>
      <c r="D231" t="str">
        <f>IF(AND('Q32027'!B72&lt;&gt;"",'Q32027'!E72&lt;&gt;""),'Q32027'!D72,"")</f>
        <v/>
      </c>
      <c r="E231" t="str">
        <f>IF(AND('Q32027'!B72&lt;&gt;"",'Q32027'!E72&lt;&gt;""),'Q32027'!H72,"")</f>
        <v/>
      </c>
      <c r="F231" t="str">
        <f>IF(AND('Q32027'!B72&lt;&gt;"",'Q32027'!E72&lt;&gt;""),'Q32027'!F72,"")</f>
        <v/>
      </c>
      <c r="G231" t="str">
        <f>IF(AND('Q32027'!B72&lt;&gt;"",'Q32027'!E72&lt;&gt;""),'Q32027'!G72,"")</f>
        <v/>
      </c>
      <c r="H231" t="str">
        <f>IF(AND('Q32027'!B72&lt;&gt;"",'Q32027'!E72&lt;&gt;""),"Q32027","")</f>
        <v/>
      </c>
      <c r="I231" t="str">
        <f>IF(A231="Q12027",COUNTIF($A$2:$A231,"Q12027"),"")</f>
        <v/>
      </c>
      <c r="J231" t="str">
        <f>IF(A231="Q22027",COUNTIF($A$2:$A231,"Q22027"),"")</f>
        <v/>
      </c>
      <c r="K231" t="str">
        <f>IF(A231="Q32027",COUNTIF($A$2:$A231,"Q32027"),"")</f>
        <v/>
      </c>
      <c r="L231" t="str">
        <f>IF(A231="Q42027",COUNTIF($A$2:$A231,"Q42027"),"")</f>
        <v/>
      </c>
      <c r="M231" t="str">
        <f>IF(A231="Backlog",COUNTIF($A$2:$A231,"Backlog"),"")</f>
        <v/>
      </c>
    </row>
    <row r="232" spans="1:13">
      <c r="A232" t="str">
        <f>IF(AND('Q32027'!B73&lt;&gt;"",'Q32027'!E73&lt;&gt;""),'Q32027'!E73,"")</f>
        <v/>
      </c>
      <c r="B232" t="str">
        <f>IF(AND('Q32027'!B73&lt;&gt;"",'Q32027'!E73&lt;&gt;""),'Q32027'!B73,"")</f>
        <v/>
      </c>
      <c r="C232" t="str">
        <f>IF(AND('Q32027'!B73&lt;&gt;"",'Q32027'!E73&lt;&gt;""),'Q32027'!C73,"")</f>
        <v/>
      </c>
      <c r="D232" t="str">
        <f>IF(AND('Q32027'!B73&lt;&gt;"",'Q32027'!E73&lt;&gt;""),'Q32027'!D73,"")</f>
        <v/>
      </c>
      <c r="E232" t="str">
        <f>IF(AND('Q32027'!B73&lt;&gt;"",'Q32027'!E73&lt;&gt;""),'Q32027'!H73,"")</f>
        <v/>
      </c>
      <c r="F232" t="str">
        <f>IF(AND('Q32027'!B73&lt;&gt;"",'Q32027'!E73&lt;&gt;""),'Q32027'!F73,"")</f>
        <v/>
      </c>
      <c r="G232" t="str">
        <f>IF(AND('Q32027'!B73&lt;&gt;"",'Q32027'!E73&lt;&gt;""),'Q32027'!G73,"")</f>
        <v/>
      </c>
      <c r="H232" t="str">
        <f>IF(AND('Q32027'!B73&lt;&gt;"",'Q32027'!E73&lt;&gt;""),"Q32027","")</f>
        <v/>
      </c>
      <c r="I232" t="str">
        <f>IF(A232="Q12027",COUNTIF($A$2:$A232,"Q12027"),"")</f>
        <v/>
      </c>
      <c r="J232" t="str">
        <f>IF(A232="Q22027",COUNTIF($A$2:$A232,"Q22027"),"")</f>
        <v/>
      </c>
      <c r="K232" t="str">
        <f>IF(A232="Q32027",COUNTIF($A$2:$A232,"Q32027"),"")</f>
        <v/>
      </c>
      <c r="L232" t="str">
        <f>IF(A232="Q42027",COUNTIF($A$2:$A232,"Q42027"),"")</f>
        <v/>
      </c>
      <c r="M232" t="str">
        <f>IF(A232="Backlog",COUNTIF($A$2:$A232,"Backlog"),"")</f>
        <v/>
      </c>
    </row>
    <row r="233" spans="1:13">
      <c r="A233" t="str">
        <f>IF(AND('Q32027'!B74&lt;&gt;"",'Q32027'!E74&lt;&gt;""),'Q32027'!E74,"")</f>
        <v/>
      </c>
      <c r="B233" t="str">
        <f>IF(AND('Q32027'!B74&lt;&gt;"",'Q32027'!E74&lt;&gt;""),'Q32027'!B74,"")</f>
        <v/>
      </c>
      <c r="C233" t="str">
        <f>IF(AND('Q32027'!B74&lt;&gt;"",'Q32027'!E74&lt;&gt;""),'Q32027'!C74,"")</f>
        <v/>
      </c>
      <c r="D233" t="str">
        <f>IF(AND('Q32027'!B74&lt;&gt;"",'Q32027'!E74&lt;&gt;""),'Q32027'!D74,"")</f>
        <v/>
      </c>
      <c r="E233" t="str">
        <f>IF(AND('Q32027'!B74&lt;&gt;"",'Q32027'!E74&lt;&gt;""),'Q32027'!H74,"")</f>
        <v/>
      </c>
      <c r="F233" t="str">
        <f>IF(AND('Q32027'!B74&lt;&gt;"",'Q32027'!E74&lt;&gt;""),'Q32027'!F74,"")</f>
        <v/>
      </c>
      <c r="G233" t="str">
        <f>IF(AND('Q32027'!B74&lt;&gt;"",'Q32027'!E74&lt;&gt;""),'Q32027'!G74,"")</f>
        <v/>
      </c>
      <c r="H233" t="str">
        <f>IF(AND('Q32027'!B74&lt;&gt;"",'Q32027'!E74&lt;&gt;""),"Q32027","")</f>
        <v/>
      </c>
      <c r="I233" t="str">
        <f>IF(A233="Q12027",COUNTIF($A$2:$A233,"Q12027"),"")</f>
        <v/>
      </c>
      <c r="J233" t="str">
        <f>IF(A233="Q22027",COUNTIF($A$2:$A233,"Q22027"),"")</f>
        <v/>
      </c>
      <c r="K233" t="str">
        <f>IF(A233="Q32027",COUNTIF($A$2:$A233,"Q32027"),"")</f>
        <v/>
      </c>
      <c r="L233" t="str">
        <f>IF(A233="Q42027",COUNTIF($A$2:$A233,"Q42027"),"")</f>
        <v/>
      </c>
      <c r="M233" t="str">
        <f>IF(A233="Backlog",COUNTIF($A$2:$A233,"Backlog"),"")</f>
        <v/>
      </c>
    </row>
    <row r="234" spans="1:13">
      <c r="A234" t="str">
        <f>IF(AND('Q32027'!B75&lt;&gt;"",'Q32027'!E75&lt;&gt;""),'Q32027'!E75,"")</f>
        <v/>
      </c>
      <c r="B234" t="str">
        <f>IF(AND('Q32027'!B75&lt;&gt;"",'Q32027'!E75&lt;&gt;""),'Q32027'!B75,"")</f>
        <v/>
      </c>
      <c r="C234" t="str">
        <f>IF(AND('Q32027'!B75&lt;&gt;"",'Q32027'!E75&lt;&gt;""),'Q32027'!C75,"")</f>
        <v/>
      </c>
      <c r="D234" t="str">
        <f>IF(AND('Q32027'!B75&lt;&gt;"",'Q32027'!E75&lt;&gt;""),'Q32027'!D75,"")</f>
        <v/>
      </c>
      <c r="E234" t="str">
        <f>IF(AND('Q32027'!B75&lt;&gt;"",'Q32027'!E75&lt;&gt;""),'Q32027'!H75,"")</f>
        <v/>
      </c>
      <c r="F234" t="str">
        <f>IF(AND('Q32027'!B75&lt;&gt;"",'Q32027'!E75&lt;&gt;""),'Q32027'!F75,"")</f>
        <v/>
      </c>
      <c r="G234" t="str">
        <f>IF(AND('Q32027'!B75&lt;&gt;"",'Q32027'!E75&lt;&gt;""),'Q32027'!G75,"")</f>
        <v/>
      </c>
      <c r="H234" t="str">
        <f>IF(AND('Q32027'!B75&lt;&gt;"",'Q32027'!E75&lt;&gt;""),"Q32027","")</f>
        <v/>
      </c>
      <c r="I234" t="str">
        <f>IF(A234="Q12027",COUNTIF($A$2:$A234,"Q12027"),"")</f>
        <v/>
      </c>
      <c r="J234" t="str">
        <f>IF(A234="Q22027",COUNTIF($A$2:$A234,"Q22027"),"")</f>
        <v/>
      </c>
      <c r="K234" t="str">
        <f>IF(A234="Q32027",COUNTIF($A$2:$A234,"Q32027"),"")</f>
        <v/>
      </c>
      <c r="L234" t="str">
        <f>IF(A234="Q42027",COUNTIF($A$2:$A234,"Q42027"),"")</f>
        <v/>
      </c>
      <c r="M234" t="str">
        <f>IF(A234="Backlog",COUNTIF($A$2:$A234,"Backlog"),"")</f>
        <v/>
      </c>
    </row>
    <row r="235" spans="1:13">
      <c r="A235" t="str">
        <f>IF(AND('Q32027'!B76&lt;&gt;"",'Q32027'!E76&lt;&gt;""),'Q32027'!E76,"")</f>
        <v/>
      </c>
      <c r="B235" t="str">
        <f>IF(AND('Q32027'!B76&lt;&gt;"",'Q32027'!E76&lt;&gt;""),'Q32027'!B76,"")</f>
        <v/>
      </c>
      <c r="C235" t="str">
        <f>IF(AND('Q32027'!B76&lt;&gt;"",'Q32027'!E76&lt;&gt;""),'Q32027'!C76,"")</f>
        <v/>
      </c>
      <c r="D235" t="str">
        <f>IF(AND('Q32027'!B76&lt;&gt;"",'Q32027'!E76&lt;&gt;""),'Q32027'!D76,"")</f>
        <v/>
      </c>
      <c r="E235" t="str">
        <f>IF(AND('Q32027'!B76&lt;&gt;"",'Q32027'!E76&lt;&gt;""),'Q32027'!H76,"")</f>
        <v/>
      </c>
      <c r="F235" t="str">
        <f>IF(AND('Q32027'!B76&lt;&gt;"",'Q32027'!E76&lt;&gt;""),'Q32027'!F76,"")</f>
        <v/>
      </c>
      <c r="G235" t="str">
        <f>IF(AND('Q32027'!B76&lt;&gt;"",'Q32027'!E76&lt;&gt;""),'Q32027'!G76,"")</f>
        <v/>
      </c>
      <c r="H235" t="str">
        <f>IF(AND('Q32027'!B76&lt;&gt;"",'Q32027'!E76&lt;&gt;""),"Q32027","")</f>
        <v/>
      </c>
      <c r="I235" t="str">
        <f>IF(A235="Q12027",COUNTIF($A$2:$A235,"Q12027"),"")</f>
        <v/>
      </c>
      <c r="J235" t="str">
        <f>IF(A235="Q22027",COUNTIF($A$2:$A235,"Q22027"),"")</f>
        <v/>
      </c>
      <c r="K235" t="str">
        <f>IF(A235="Q32027",COUNTIF($A$2:$A235,"Q32027"),"")</f>
        <v/>
      </c>
      <c r="L235" t="str">
        <f>IF(A235="Q42027",COUNTIF($A$2:$A235,"Q42027"),"")</f>
        <v/>
      </c>
      <c r="M235" t="str">
        <f>IF(A235="Backlog",COUNTIF($A$2:$A235,"Backlog"),"")</f>
        <v/>
      </c>
    </row>
    <row r="236" spans="1:13">
      <c r="A236" t="str">
        <f>IF(AND('Q32027'!B77&lt;&gt;"",'Q32027'!E77&lt;&gt;""),'Q32027'!E77,"")</f>
        <v/>
      </c>
      <c r="B236" t="str">
        <f>IF(AND('Q32027'!B77&lt;&gt;"",'Q32027'!E77&lt;&gt;""),'Q32027'!B77,"")</f>
        <v/>
      </c>
      <c r="C236" t="str">
        <f>IF(AND('Q32027'!B77&lt;&gt;"",'Q32027'!E77&lt;&gt;""),'Q32027'!C77,"")</f>
        <v/>
      </c>
      <c r="D236" t="str">
        <f>IF(AND('Q32027'!B77&lt;&gt;"",'Q32027'!E77&lt;&gt;""),'Q32027'!D77,"")</f>
        <v/>
      </c>
      <c r="E236" t="str">
        <f>IF(AND('Q32027'!B77&lt;&gt;"",'Q32027'!E77&lt;&gt;""),'Q32027'!H77,"")</f>
        <v/>
      </c>
      <c r="F236" t="str">
        <f>IF(AND('Q32027'!B77&lt;&gt;"",'Q32027'!E77&lt;&gt;""),'Q32027'!F77,"")</f>
        <v/>
      </c>
      <c r="G236" t="str">
        <f>IF(AND('Q32027'!B77&lt;&gt;"",'Q32027'!E77&lt;&gt;""),'Q32027'!G77,"")</f>
        <v/>
      </c>
      <c r="H236" t="str">
        <f>IF(AND('Q32027'!B77&lt;&gt;"",'Q32027'!E77&lt;&gt;""),"Q32027","")</f>
        <v/>
      </c>
      <c r="I236" t="str">
        <f>IF(A236="Q12027",COUNTIF($A$2:$A236,"Q12027"),"")</f>
        <v/>
      </c>
      <c r="J236" t="str">
        <f>IF(A236="Q22027",COUNTIF($A$2:$A236,"Q22027"),"")</f>
        <v/>
      </c>
      <c r="K236" t="str">
        <f>IF(A236="Q32027",COUNTIF($A$2:$A236,"Q32027"),"")</f>
        <v/>
      </c>
      <c r="L236" t="str">
        <f>IF(A236="Q42027",COUNTIF($A$2:$A236,"Q42027"),"")</f>
        <v/>
      </c>
      <c r="M236" t="str">
        <f>IF(A236="Backlog",COUNTIF($A$2:$A236,"Backlog"),"")</f>
        <v/>
      </c>
    </row>
    <row r="237" spans="1:13">
      <c r="A237" t="str">
        <f>IF(AND('Q32027'!B78&lt;&gt;"",'Q32027'!E78&lt;&gt;""),'Q32027'!E78,"")</f>
        <v/>
      </c>
      <c r="B237" t="str">
        <f>IF(AND('Q32027'!B78&lt;&gt;"",'Q32027'!E78&lt;&gt;""),'Q32027'!B78,"")</f>
        <v/>
      </c>
      <c r="C237" t="str">
        <f>IF(AND('Q32027'!B78&lt;&gt;"",'Q32027'!E78&lt;&gt;""),'Q32027'!C78,"")</f>
        <v/>
      </c>
      <c r="D237" t="str">
        <f>IF(AND('Q32027'!B78&lt;&gt;"",'Q32027'!E78&lt;&gt;""),'Q32027'!D78,"")</f>
        <v/>
      </c>
      <c r="E237" t="str">
        <f>IF(AND('Q32027'!B78&lt;&gt;"",'Q32027'!E78&lt;&gt;""),'Q32027'!H78,"")</f>
        <v/>
      </c>
      <c r="F237" t="str">
        <f>IF(AND('Q32027'!B78&lt;&gt;"",'Q32027'!E78&lt;&gt;""),'Q32027'!F78,"")</f>
        <v/>
      </c>
      <c r="G237" t="str">
        <f>IF(AND('Q32027'!B78&lt;&gt;"",'Q32027'!E78&lt;&gt;""),'Q32027'!G78,"")</f>
        <v/>
      </c>
      <c r="H237" t="str">
        <f>IF(AND('Q32027'!B78&lt;&gt;"",'Q32027'!E78&lt;&gt;""),"Q32027","")</f>
        <v/>
      </c>
      <c r="I237" t="str">
        <f>IF(A237="Q12027",COUNTIF($A$2:$A237,"Q12027"),"")</f>
        <v/>
      </c>
      <c r="J237" t="str">
        <f>IF(A237="Q22027",COUNTIF($A$2:$A237,"Q22027"),"")</f>
        <v/>
      </c>
      <c r="K237" t="str">
        <f>IF(A237="Q32027",COUNTIF($A$2:$A237,"Q32027"),"")</f>
        <v/>
      </c>
      <c r="L237" t="str">
        <f>IF(A237="Q42027",COUNTIF($A$2:$A237,"Q42027"),"")</f>
        <v/>
      </c>
      <c r="M237" t="str">
        <f>IF(A237="Backlog",COUNTIF($A$2:$A237,"Backlog"),"")</f>
        <v/>
      </c>
    </row>
    <row r="238" spans="1:13">
      <c r="A238" t="str">
        <f>IF(AND('Q32027'!B79&lt;&gt;"",'Q32027'!E79&lt;&gt;""),'Q32027'!E79,"")</f>
        <v/>
      </c>
      <c r="B238" t="str">
        <f>IF(AND('Q32027'!B79&lt;&gt;"",'Q32027'!E79&lt;&gt;""),'Q32027'!B79,"")</f>
        <v/>
      </c>
      <c r="C238" t="str">
        <f>IF(AND('Q32027'!B79&lt;&gt;"",'Q32027'!E79&lt;&gt;""),'Q32027'!C79,"")</f>
        <v/>
      </c>
      <c r="D238" t="str">
        <f>IF(AND('Q32027'!B79&lt;&gt;"",'Q32027'!E79&lt;&gt;""),'Q32027'!D79,"")</f>
        <v/>
      </c>
      <c r="E238" t="str">
        <f>IF(AND('Q32027'!B79&lt;&gt;"",'Q32027'!E79&lt;&gt;""),'Q32027'!H79,"")</f>
        <v/>
      </c>
      <c r="F238" t="str">
        <f>IF(AND('Q32027'!B79&lt;&gt;"",'Q32027'!E79&lt;&gt;""),'Q32027'!F79,"")</f>
        <v/>
      </c>
      <c r="G238" t="str">
        <f>IF(AND('Q32027'!B79&lt;&gt;"",'Q32027'!E79&lt;&gt;""),'Q32027'!G79,"")</f>
        <v/>
      </c>
      <c r="H238" t="str">
        <f>IF(AND('Q32027'!B79&lt;&gt;"",'Q32027'!E79&lt;&gt;""),"Q32027","")</f>
        <v/>
      </c>
      <c r="I238" t="str">
        <f>IF(A238="Q12027",COUNTIF($A$2:$A238,"Q12027"),"")</f>
        <v/>
      </c>
      <c r="J238" t="str">
        <f>IF(A238="Q22027",COUNTIF($A$2:$A238,"Q22027"),"")</f>
        <v/>
      </c>
      <c r="K238" t="str">
        <f>IF(A238="Q32027",COUNTIF($A$2:$A238,"Q32027"),"")</f>
        <v/>
      </c>
      <c r="L238" t="str">
        <f>IF(A238="Q42027",COUNTIF($A$2:$A238,"Q42027"),"")</f>
        <v/>
      </c>
      <c r="M238" t="str">
        <f>IF(A238="Backlog",COUNTIF($A$2:$A238,"Backlog"),"")</f>
        <v/>
      </c>
    </row>
    <row r="239" spans="1:13">
      <c r="A239" t="str">
        <f>IF(AND('Q32027'!B80&lt;&gt;"",'Q32027'!E80&lt;&gt;""),'Q32027'!E80,"")</f>
        <v/>
      </c>
      <c r="B239" t="str">
        <f>IF(AND('Q32027'!B80&lt;&gt;"",'Q32027'!E80&lt;&gt;""),'Q32027'!B80,"")</f>
        <v/>
      </c>
      <c r="C239" t="str">
        <f>IF(AND('Q32027'!B80&lt;&gt;"",'Q32027'!E80&lt;&gt;""),'Q32027'!C80,"")</f>
        <v/>
      </c>
      <c r="D239" t="str">
        <f>IF(AND('Q32027'!B80&lt;&gt;"",'Q32027'!E80&lt;&gt;""),'Q32027'!D80,"")</f>
        <v/>
      </c>
      <c r="E239" t="str">
        <f>IF(AND('Q32027'!B80&lt;&gt;"",'Q32027'!E80&lt;&gt;""),'Q32027'!H80,"")</f>
        <v/>
      </c>
      <c r="F239" t="str">
        <f>IF(AND('Q32027'!B80&lt;&gt;"",'Q32027'!E80&lt;&gt;""),'Q32027'!F80,"")</f>
        <v/>
      </c>
      <c r="G239" t="str">
        <f>IF(AND('Q32027'!B80&lt;&gt;"",'Q32027'!E80&lt;&gt;""),'Q32027'!G80,"")</f>
        <v/>
      </c>
      <c r="H239" t="str">
        <f>IF(AND('Q32027'!B80&lt;&gt;"",'Q32027'!E80&lt;&gt;""),"Q32027","")</f>
        <v/>
      </c>
      <c r="I239" t="str">
        <f>IF(A239="Q12027",COUNTIF($A$2:$A239,"Q12027"),"")</f>
        <v/>
      </c>
      <c r="J239" t="str">
        <f>IF(A239="Q22027",COUNTIF($A$2:$A239,"Q22027"),"")</f>
        <v/>
      </c>
      <c r="K239" t="str">
        <f>IF(A239="Q32027",COUNTIF($A$2:$A239,"Q32027"),"")</f>
        <v/>
      </c>
      <c r="L239" t="str">
        <f>IF(A239="Q42027",COUNTIF($A$2:$A239,"Q42027"),"")</f>
        <v/>
      </c>
      <c r="M239" t="str">
        <f>IF(A239="Backlog",COUNTIF($A$2:$A239,"Backlog"),"")</f>
        <v/>
      </c>
    </row>
    <row r="240" spans="1:13">
      <c r="A240" t="str">
        <f>IF(AND('Q32027'!B81&lt;&gt;"",'Q32027'!E81&lt;&gt;""),'Q32027'!E81,"")</f>
        <v/>
      </c>
      <c r="B240" t="str">
        <f>IF(AND('Q32027'!B81&lt;&gt;"",'Q32027'!E81&lt;&gt;""),'Q32027'!B81,"")</f>
        <v/>
      </c>
      <c r="C240" t="str">
        <f>IF(AND('Q32027'!B81&lt;&gt;"",'Q32027'!E81&lt;&gt;""),'Q32027'!C81,"")</f>
        <v/>
      </c>
      <c r="D240" t="str">
        <f>IF(AND('Q32027'!B81&lt;&gt;"",'Q32027'!E81&lt;&gt;""),'Q32027'!D81,"")</f>
        <v/>
      </c>
      <c r="E240" t="str">
        <f>IF(AND('Q32027'!B81&lt;&gt;"",'Q32027'!E81&lt;&gt;""),'Q32027'!H81,"")</f>
        <v/>
      </c>
      <c r="F240" t="str">
        <f>IF(AND('Q32027'!B81&lt;&gt;"",'Q32027'!E81&lt;&gt;""),'Q32027'!F81,"")</f>
        <v/>
      </c>
      <c r="G240" t="str">
        <f>IF(AND('Q32027'!B81&lt;&gt;"",'Q32027'!E81&lt;&gt;""),'Q32027'!G81,"")</f>
        <v/>
      </c>
      <c r="H240" t="str">
        <f>IF(AND('Q32027'!B81&lt;&gt;"",'Q32027'!E81&lt;&gt;""),"Q32027","")</f>
        <v/>
      </c>
      <c r="I240" t="str">
        <f>IF(A240="Q12027",COUNTIF($A$2:$A240,"Q12027"),"")</f>
        <v/>
      </c>
      <c r="J240" t="str">
        <f>IF(A240="Q22027",COUNTIF($A$2:$A240,"Q22027"),"")</f>
        <v/>
      </c>
      <c r="K240" t="str">
        <f>IF(A240="Q32027",COUNTIF($A$2:$A240,"Q32027"),"")</f>
        <v/>
      </c>
      <c r="L240" t="str">
        <f>IF(A240="Q42027",COUNTIF($A$2:$A240,"Q42027"),"")</f>
        <v/>
      </c>
      <c r="M240" t="str">
        <f>IF(A240="Backlog",COUNTIF($A$2:$A240,"Backlog"),"")</f>
        <v/>
      </c>
    </row>
    <row r="241" spans="1:13">
      <c r="A241" t="str">
        <f>IF(AND('Q32027'!B82&lt;&gt;"",'Q32027'!E82&lt;&gt;""),'Q32027'!E82,"")</f>
        <v/>
      </c>
      <c r="B241" t="str">
        <f>IF(AND('Q32027'!B82&lt;&gt;"",'Q32027'!E82&lt;&gt;""),'Q32027'!B82,"")</f>
        <v/>
      </c>
      <c r="C241" t="str">
        <f>IF(AND('Q32027'!B82&lt;&gt;"",'Q32027'!E82&lt;&gt;""),'Q32027'!C82,"")</f>
        <v/>
      </c>
      <c r="D241" t="str">
        <f>IF(AND('Q32027'!B82&lt;&gt;"",'Q32027'!E82&lt;&gt;""),'Q32027'!D82,"")</f>
        <v/>
      </c>
      <c r="E241" t="str">
        <f>IF(AND('Q32027'!B82&lt;&gt;"",'Q32027'!E82&lt;&gt;""),'Q32027'!H82,"")</f>
        <v/>
      </c>
      <c r="F241" t="str">
        <f>IF(AND('Q32027'!B82&lt;&gt;"",'Q32027'!E82&lt;&gt;""),'Q32027'!F82,"")</f>
        <v/>
      </c>
      <c r="G241" t="str">
        <f>IF(AND('Q32027'!B82&lt;&gt;"",'Q32027'!E82&lt;&gt;""),'Q32027'!G82,"")</f>
        <v/>
      </c>
      <c r="H241" t="str">
        <f>IF(AND('Q32027'!B82&lt;&gt;"",'Q32027'!E82&lt;&gt;""),"Q32027","")</f>
        <v/>
      </c>
      <c r="I241" t="str">
        <f>IF(A241="Q12027",COUNTIF($A$2:$A241,"Q12027"),"")</f>
        <v/>
      </c>
      <c r="J241" t="str">
        <f>IF(A241="Q22027",COUNTIF($A$2:$A241,"Q22027"),"")</f>
        <v/>
      </c>
      <c r="K241" t="str">
        <f>IF(A241="Q32027",COUNTIF($A$2:$A241,"Q32027"),"")</f>
        <v/>
      </c>
      <c r="L241" t="str">
        <f>IF(A241="Q42027",COUNTIF($A$2:$A241,"Q42027"),"")</f>
        <v/>
      </c>
      <c r="M241" t="str">
        <f>IF(A241="Backlog",COUNTIF($A$2:$A241,"Backlog"),"")</f>
        <v/>
      </c>
    </row>
    <row r="242" spans="1:13">
      <c r="A242" t="str">
        <f>IF(AND('Q42027'!B3&lt;&gt;"",'Q42027'!E3&lt;&gt;""),'Q42027'!E3,"")</f>
        <v/>
      </c>
      <c r="B242" t="str">
        <f>IF(AND('Q42027'!B3&lt;&gt;"",'Q42027'!E3&lt;&gt;""),'Q42027'!B3,"")</f>
        <v/>
      </c>
      <c r="C242" t="str">
        <f>IF(AND('Q42027'!B3&lt;&gt;"",'Q42027'!E3&lt;&gt;""),'Q42027'!C3,"")</f>
        <v/>
      </c>
      <c r="D242" t="str">
        <f>IF(AND('Q42027'!B3&lt;&gt;"",'Q42027'!E3&lt;&gt;""),'Q42027'!D3,"")</f>
        <v/>
      </c>
      <c r="E242" t="str">
        <f>IF(AND('Q42027'!B3&lt;&gt;"",'Q42027'!E3&lt;&gt;""),'Q42027'!H3,"")</f>
        <v/>
      </c>
      <c r="F242" t="str">
        <f>IF(AND('Q42027'!B3&lt;&gt;"",'Q42027'!E3&lt;&gt;""),'Q42027'!F3,"")</f>
        <v/>
      </c>
      <c r="G242" t="str">
        <f>IF(AND('Q42027'!B3&lt;&gt;"",'Q42027'!E3&lt;&gt;""),'Q42027'!G3,"")</f>
        <v/>
      </c>
      <c r="H242" t="str">
        <f>IF(AND('Q42027'!B3&lt;&gt;"",'Q42027'!E3&lt;&gt;""),"Q42027","")</f>
        <v/>
      </c>
      <c r="I242" t="str">
        <f>IF(A242="Q12027",COUNTIF($A$2:$A242,"Q12027"),"")</f>
        <v/>
      </c>
      <c r="J242" t="str">
        <f>IF(A242="Q22027",COUNTIF($A$2:$A242,"Q22027"),"")</f>
        <v/>
      </c>
      <c r="K242" t="str">
        <f>IF(A242="Q32027",COUNTIF($A$2:$A242,"Q32027"),"")</f>
        <v/>
      </c>
      <c r="L242" t="str">
        <f>IF(A242="Q42027",COUNTIF($A$2:$A242,"Q42027"),"")</f>
        <v/>
      </c>
      <c r="M242" t="str">
        <f>IF(A242="Backlog",COUNTIF($A$2:$A242,"Backlog"),"")</f>
        <v/>
      </c>
    </row>
    <row r="243" spans="1:13">
      <c r="A243" t="str">
        <f>IF(AND('Q42027'!B4&lt;&gt;"",'Q42027'!E4&lt;&gt;""),'Q42027'!E4,"")</f>
        <v/>
      </c>
      <c r="B243" t="str">
        <f>IF(AND('Q42027'!B4&lt;&gt;"",'Q42027'!E4&lt;&gt;""),'Q42027'!B4,"")</f>
        <v/>
      </c>
      <c r="C243" t="str">
        <f>IF(AND('Q42027'!B4&lt;&gt;"",'Q42027'!E4&lt;&gt;""),'Q42027'!C4,"")</f>
        <v/>
      </c>
      <c r="D243" t="str">
        <f>IF(AND('Q42027'!B4&lt;&gt;"",'Q42027'!E4&lt;&gt;""),'Q42027'!D4,"")</f>
        <v/>
      </c>
      <c r="E243" t="str">
        <f>IF(AND('Q42027'!B4&lt;&gt;"",'Q42027'!E4&lt;&gt;""),'Q42027'!H4,"")</f>
        <v/>
      </c>
      <c r="F243" t="str">
        <f>IF(AND('Q42027'!B4&lt;&gt;"",'Q42027'!E4&lt;&gt;""),'Q42027'!F4,"")</f>
        <v/>
      </c>
      <c r="G243" t="str">
        <f>IF(AND('Q42027'!B4&lt;&gt;"",'Q42027'!E4&lt;&gt;""),'Q42027'!G4,"")</f>
        <v/>
      </c>
      <c r="H243" t="str">
        <f>IF(AND('Q42027'!B4&lt;&gt;"",'Q42027'!E4&lt;&gt;""),"Q42027","")</f>
        <v/>
      </c>
      <c r="I243" t="str">
        <f>IF(A243="Q12027",COUNTIF($A$2:$A243,"Q12027"),"")</f>
        <v/>
      </c>
      <c r="J243" t="str">
        <f>IF(A243="Q22027",COUNTIF($A$2:$A243,"Q22027"),"")</f>
        <v/>
      </c>
      <c r="K243" t="str">
        <f>IF(A243="Q32027",COUNTIF($A$2:$A243,"Q32027"),"")</f>
        <v/>
      </c>
      <c r="L243" t="str">
        <f>IF(A243="Q42027",COUNTIF($A$2:$A243,"Q42027"),"")</f>
        <v/>
      </c>
      <c r="M243" t="str">
        <f>IF(A243="Backlog",COUNTIF($A$2:$A243,"Backlog"),"")</f>
        <v/>
      </c>
    </row>
    <row r="244" spans="1:13">
      <c r="A244" t="str">
        <f>IF(AND('Q42027'!B5&lt;&gt;"",'Q42027'!E5&lt;&gt;""),'Q42027'!E5,"")</f>
        <v/>
      </c>
      <c r="B244" t="str">
        <f>IF(AND('Q42027'!B5&lt;&gt;"",'Q42027'!E5&lt;&gt;""),'Q42027'!B5,"")</f>
        <v/>
      </c>
      <c r="C244" t="str">
        <f>IF(AND('Q42027'!B5&lt;&gt;"",'Q42027'!E5&lt;&gt;""),'Q42027'!C5,"")</f>
        <v/>
      </c>
      <c r="D244" t="str">
        <f>IF(AND('Q42027'!B5&lt;&gt;"",'Q42027'!E5&lt;&gt;""),'Q42027'!D5,"")</f>
        <v/>
      </c>
      <c r="E244" t="str">
        <f>IF(AND('Q42027'!B5&lt;&gt;"",'Q42027'!E5&lt;&gt;""),'Q42027'!H5,"")</f>
        <v/>
      </c>
      <c r="F244" t="str">
        <f>IF(AND('Q42027'!B5&lt;&gt;"",'Q42027'!E5&lt;&gt;""),'Q42027'!F5,"")</f>
        <v/>
      </c>
      <c r="G244" t="str">
        <f>IF(AND('Q42027'!B5&lt;&gt;"",'Q42027'!E5&lt;&gt;""),'Q42027'!G5,"")</f>
        <v/>
      </c>
      <c r="H244" t="str">
        <f>IF(AND('Q42027'!B5&lt;&gt;"",'Q42027'!E5&lt;&gt;""),"Q42027","")</f>
        <v/>
      </c>
      <c r="I244" t="str">
        <f>IF(A244="Q12027",COUNTIF($A$2:$A244,"Q12027"),"")</f>
        <v/>
      </c>
      <c r="J244" t="str">
        <f>IF(A244="Q22027",COUNTIF($A$2:$A244,"Q22027"),"")</f>
        <v/>
      </c>
      <c r="K244" t="str">
        <f>IF(A244="Q32027",COUNTIF($A$2:$A244,"Q32027"),"")</f>
        <v/>
      </c>
      <c r="L244" t="str">
        <f>IF(A244="Q42027",COUNTIF($A$2:$A244,"Q42027"),"")</f>
        <v/>
      </c>
      <c r="M244" t="str">
        <f>IF(A244="Backlog",COUNTIF($A$2:$A244,"Backlog"),"")</f>
        <v/>
      </c>
    </row>
    <row r="245" spans="1:13">
      <c r="A245" t="str">
        <f>IF(AND('Q42027'!B6&lt;&gt;"",'Q42027'!E6&lt;&gt;""),'Q42027'!E6,"")</f>
        <v/>
      </c>
      <c r="B245" t="str">
        <f>IF(AND('Q42027'!B6&lt;&gt;"",'Q42027'!E6&lt;&gt;""),'Q42027'!B6,"")</f>
        <v/>
      </c>
      <c r="C245" t="str">
        <f>IF(AND('Q42027'!B6&lt;&gt;"",'Q42027'!E6&lt;&gt;""),'Q42027'!C6,"")</f>
        <v/>
      </c>
      <c r="D245" t="str">
        <f>IF(AND('Q42027'!B6&lt;&gt;"",'Q42027'!E6&lt;&gt;""),'Q42027'!D6,"")</f>
        <v/>
      </c>
      <c r="E245" t="str">
        <f>IF(AND('Q42027'!B6&lt;&gt;"",'Q42027'!E6&lt;&gt;""),'Q42027'!H6,"")</f>
        <v/>
      </c>
      <c r="F245" t="str">
        <f>IF(AND('Q42027'!B6&lt;&gt;"",'Q42027'!E6&lt;&gt;""),'Q42027'!F6,"")</f>
        <v/>
      </c>
      <c r="G245" t="str">
        <f>IF(AND('Q42027'!B6&lt;&gt;"",'Q42027'!E6&lt;&gt;""),'Q42027'!G6,"")</f>
        <v/>
      </c>
      <c r="H245" t="str">
        <f>IF(AND('Q42027'!B6&lt;&gt;"",'Q42027'!E6&lt;&gt;""),"Q42027","")</f>
        <v/>
      </c>
      <c r="I245" t="str">
        <f>IF(A245="Q12027",COUNTIF($A$2:$A245,"Q12027"),"")</f>
        <v/>
      </c>
      <c r="J245" t="str">
        <f>IF(A245="Q22027",COUNTIF($A$2:$A245,"Q22027"),"")</f>
        <v/>
      </c>
      <c r="K245" t="str">
        <f>IF(A245="Q32027",COUNTIF($A$2:$A245,"Q32027"),"")</f>
        <v/>
      </c>
      <c r="L245" t="str">
        <f>IF(A245="Q42027",COUNTIF($A$2:$A245,"Q42027"),"")</f>
        <v/>
      </c>
      <c r="M245" t="str">
        <f>IF(A245="Backlog",COUNTIF($A$2:$A245,"Backlog"),"")</f>
        <v/>
      </c>
    </row>
    <row r="246" spans="1:13">
      <c r="A246" t="str">
        <f>IF(AND('Q42027'!B7&lt;&gt;"",'Q42027'!E7&lt;&gt;""),'Q42027'!E7,"")</f>
        <v/>
      </c>
      <c r="B246" t="str">
        <f>IF(AND('Q42027'!B7&lt;&gt;"",'Q42027'!E7&lt;&gt;""),'Q42027'!B7,"")</f>
        <v/>
      </c>
      <c r="C246" t="str">
        <f>IF(AND('Q42027'!B7&lt;&gt;"",'Q42027'!E7&lt;&gt;""),'Q42027'!C7,"")</f>
        <v/>
      </c>
      <c r="D246" t="str">
        <f>IF(AND('Q42027'!B7&lt;&gt;"",'Q42027'!E7&lt;&gt;""),'Q42027'!D7,"")</f>
        <v/>
      </c>
      <c r="E246" t="str">
        <f>IF(AND('Q42027'!B7&lt;&gt;"",'Q42027'!E7&lt;&gt;""),'Q42027'!H7,"")</f>
        <v/>
      </c>
      <c r="F246" t="str">
        <f>IF(AND('Q42027'!B7&lt;&gt;"",'Q42027'!E7&lt;&gt;""),'Q42027'!F7,"")</f>
        <v/>
      </c>
      <c r="G246" t="str">
        <f>IF(AND('Q42027'!B7&lt;&gt;"",'Q42027'!E7&lt;&gt;""),'Q42027'!G7,"")</f>
        <v/>
      </c>
      <c r="H246" t="str">
        <f>IF(AND('Q42027'!B7&lt;&gt;"",'Q42027'!E7&lt;&gt;""),"Q42027","")</f>
        <v/>
      </c>
      <c r="I246" t="str">
        <f>IF(A246="Q12027",COUNTIF($A$2:$A246,"Q12027"),"")</f>
        <v/>
      </c>
      <c r="J246" t="str">
        <f>IF(A246="Q22027",COUNTIF($A$2:$A246,"Q22027"),"")</f>
        <v/>
      </c>
      <c r="K246" t="str">
        <f>IF(A246="Q32027",COUNTIF($A$2:$A246,"Q32027"),"")</f>
        <v/>
      </c>
      <c r="L246" t="str">
        <f>IF(A246="Q42027",COUNTIF($A$2:$A246,"Q42027"),"")</f>
        <v/>
      </c>
      <c r="M246" t="str">
        <f>IF(A246="Backlog",COUNTIF($A$2:$A246,"Backlog"),"")</f>
        <v/>
      </c>
    </row>
    <row r="247" spans="1:13">
      <c r="A247" t="str">
        <f>IF(AND('Q42027'!B8&lt;&gt;"",'Q42027'!E8&lt;&gt;""),'Q42027'!E8,"")</f>
        <v/>
      </c>
      <c r="B247" t="str">
        <f>IF(AND('Q42027'!B8&lt;&gt;"",'Q42027'!E8&lt;&gt;""),'Q42027'!B8,"")</f>
        <v/>
      </c>
      <c r="C247" t="str">
        <f>IF(AND('Q42027'!B8&lt;&gt;"",'Q42027'!E8&lt;&gt;""),'Q42027'!C8,"")</f>
        <v/>
      </c>
      <c r="D247" t="str">
        <f>IF(AND('Q42027'!B8&lt;&gt;"",'Q42027'!E8&lt;&gt;""),'Q42027'!D8,"")</f>
        <v/>
      </c>
      <c r="E247" t="str">
        <f>IF(AND('Q42027'!B8&lt;&gt;"",'Q42027'!E8&lt;&gt;""),'Q42027'!H8,"")</f>
        <v/>
      </c>
      <c r="F247" t="str">
        <f>IF(AND('Q42027'!B8&lt;&gt;"",'Q42027'!E8&lt;&gt;""),'Q42027'!F8,"")</f>
        <v/>
      </c>
      <c r="G247" t="str">
        <f>IF(AND('Q42027'!B8&lt;&gt;"",'Q42027'!E8&lt;&gt;""),'Q42027'!G8,"")</f>
        <v/>
      </c>
      <c r="H247" t="str">
        <f>IF(AND('Q42027'!B8&lt;&gt;"",'Q42027'!E8&lt;&gt;""),"Q42027","")</f>
        <v/>
      </c>
      <c r="I247" t="str">
        <f>IF(A247="Q12027",COUNTIF($A$2:$A247,"Q12027"),"")</f>
        <v/>
      </c>
      <c r="J247" t="str">
        <f>IF(A247="Q22027",COUNTIF($A$2:$A247,"Q22027"),"")</f>
        <v/>
      </c>
      <c r="K247" t="str">
        <f>IF(A247="Q32027",COUNTIF($A$2:$A247,"Q32027"),"")</f>
        <v/>
      </c>
      <c r="L247" t="str">
        <f>IF(A247="Q42027",COUNTIF($A$2:$A247,"Q42027"),"")</f>
        <v/>
      </c>
      <c r="M247" t="str">
        <f>IF(A247="Backlog",COUNTIF($A$2:$A247,"Backlog"),"")</f>
        <v/>
      </c>
    </row>
    <row r="248" spans="1:13">
      <c r="A248" t="str">
        <f>IF(AND('Q42027'!B9&lt;&gt;"",'Q42027'!E9&lt;&gt;""),'Q42027'!E9,"")</f>
        <v/>
      </c>
      <c r="B248" t="str">
        <f>IF(AND('Q42027'!B9&lt;&gt;"",'Q42027'!E9&lt;&gt;""),'Q42027'!B9,"")</f>
        <v/>
      </c>
      <c r="C248" t="str">
        <f>IF(AND('Q42027'!B9&lt;&gt;"",'Q42027'!E9&lt;&gt;""),'Q42027'!C9,"")</f>
        <v/>
      </c>
      <c r="D248" t="str">
        <f>IF(AND('Q42027'!B9&lt;&gt;"",'Q42027'!E9&lt;&gt;""),'Q42027'!D9,"")</f>
        <v/>
      </c>
      <c r="E248" t="str">
        <f>IF(AND('Q42027'!B9&lt;&gt;"",'Q42027'!E9&lt;&gt;""),'Q42027'!H9,"")</f>
        <v/>
      </c>
      <c r="F248" t="str">
        <f>IF(AND('Q42027'!B9&lt;&gt;"",'Q42027'!E9&lt;&gt;""),'Q42027'!F9,"")</f>
        <v/>
      </c>
      <c r="G248" t="str">
        <f>IF(AND('Q42027'!B9&lt;&gt;"",'Q42027'!E9&lt;&gt;""),'Q42027'!G9,"")</f>
        <v/>
      </c>
      <c r="H248" t="str">
        <f>IF(AND('Q42027'!B9&lt;&gt;"",'Q42027'!E9&lt;&gt;""),"Q42027","")</f>
        <v/>
      </c>
      <c r="I248" t="str">
        <f>IF(A248="Q12027",COUNTIF($A$2:$A248,"Q12027"),"")</f>
        <v/>
      </c>
      <c r="J248" t="str">
        <f>IF(A248="Q22027",COUNTIF($A$2:$A248,"Q22027"),"")</f>
        <v/>
      </c>
      <c r="K248" t="str">
        <f>IF(A248="Q32027",COUNTIF($A$2:$A248,"Q32027"),"")</f>
        <v/>
      </c>
      <c r="L248" t="str">
        <f>IF(A248="Q42027",COUNTIF($A$2:$A248,"Q42027"),"")</f>
        <v/>
      </c>
      <c r="M248" t="str">
        <f>IF(A248="Backlog",COUNTIF($A$2:$A248,"Backlog"),"")</f>
        <v/>
      </c>
    </row>
    <row r="249" spans="1:13">
      <c r="A249" t="str">
        <f>IF(AND('Q42027'!B10&lt;&gt;"",'Q42027'!E10&lt;&gt;""),'Q42027'!E10,"")</f>
        <v/>
      </c>
      <c r="B249" t="str">
        <f>IF(AND('Q42027'!B10&lt;&gt;"",'Q42027'!E10&lt;&gt;""),'Q42027'!B10,"")</f>
        <v/>
      </c>
      <c r="C249" t="str">
        <f>IF(AND('Q42027'!B10&lt;&gt;"",'Q42027'!E10&lt;&gt;""),'Q42027'!C10,"")</f>
        <v/>
      </c>
      <c r="D249" t="str">
        <f>IF(AND('Q42027'!B10&lt;&gt;"",'Q42027'!E10&lt;&gt;""),'Q42027'!D10,"")</f>
        <v/>
      </c>
      <c r="E249" t="str">
        <f>IF(AND('Q42027'!B10&lt;&gt;"",'Q42027'!E10&lt;&gt;""),'Q42027'!H10,"")</f>
        <v/>
      </c>
      <c r="F249" t="str">
        <f>IF(AND('Q42027'!B10&lt;&gt;"",'Q42027'!E10&lt;&gt;""),'Q42027'!F10,"")</f>
        <v/>
      </c>
      <c r="G249" t="str">
        <f>IF(AND('Q42027'!B10&lt;&gt;"",'Q42027'!E10&lt;&gt;""),'Q42027'!G10,"")</f>
        <v/>
      </c>
      <c r="H249" t="str">
        <f>IF(AND('Q42027'!B10&lt;&gt;"",'Q42027'!E10&lt;&gt;""),"Q42027","")</f>
        <v/>
      </c>
      <c r="I249" t="str">
        <f>IF(A249="Q12027",COUNTIF($A$2:$A249,"Q12027"),"")</f>
        <v/>
      </c>
      <c r="J249" t="str">
        <f>IF(A249="Q22027",COUNTIF($A$2:$A249,"Q22027"),"")</f>
        <v/>
      </c>
      <c r="K249" t="str">
        <f>IF(A249="Q32027",COUNTIF($A$2:$A249,"Q32027"),"")</f>
        <v/>
      </c>
      <c r="L249" t="str">
        <f>IF(A249="Q42027",COUNTIF($A$2:$A249,"Q42027"),"")</f>
        <v/>
      </c>
      <c r="M249" t="str">
        <f>IF(A249="Backlog",COUNTIF($A$2:$A249,"Backlog"),"")</f>
        <v/>
      </c>
    </row>
    <row r="250" spans="1:13">
      <c r="A250" t="str">
        <f>IF(AND('Q42027'!B11&lt;&gt;"",'Q42027'!E11&lt;&gt;""),'Q42027'!E11,"")</f>
        <v/>
      </c>
      <c r="B250" t="str">
        <f>IF(AND('Q42027'!B11&lt;&gt;"",'Q42027'!E11&lt;&gt;""),'Q42027'!B11,"")</f>
        <v/>
      </c>
      <c r="C250" t="str">
        <f>IF(AND('Q42027'!B11&lt;&gt;"",'Q42027'!E11&lt;&gt;""),'Q42027'!C11,"")</f>
        <v/>
      </c>
      <c r="D250" t="str">
        <f>IF(AND('Q42027'!B11&lt;&gt;"",'Q42027'!E11&lt;&gt;""),'Q42027'!D11,"")</f>
        <v/>
      </c>
      <c r="E250" t="str">
        <f>IF(AND('Q42027'!B11&lt;&gt;"",'Q42027'!E11&lt;&gt;""),'Q42027'!H11,"")</f>
        <v/>
      </c>
      <c r="F250" t="str">
        <f>IF(AND('Q42027'!B11&lt;&gt;"",'Q42027'!E11&lt;&gt;""),'Q42027'!F11,"")</f>
        <v/>
      </c>
      <c r="G250" t="str">
        <f>IF(AND('Q42027'!B11&lt;&gt;"",'Q42027'!E11&lt;&gt;""),'Q42027'!G11,"")</f>
        <v/>
      </c>
      <c r="H250" t="str">
        <f>IF(AND('Q42027'!B11&lt;&gt;"",'Q42027'!E11&lt;&gt;""),"Q42027","")</f>
        <v/>
      </c>
      <c r="I250" t="str">
        <f>IF(A250="Q12027",COUNTIF($A$2:$A250,"Q12027"),"")</f>
        <v/>
      </c>
      <c r="J250" t="str">
        <f>IF(A250="Q22027",COUNTIF($A$2:$A250,"Q22027"),"")</f>
        <v/>
      </c>
      <c r="K250" t="str">
        <f>IF(A250="Q32027",COUNTIF($A$2:$A250,"Q32027"),"")</f>
        <v/>
      </c>
      <c r="L250" t="str">
        <f>IF(A250="Q42027",COUNTIF($A$2:$A250,"Q42027"),"")</f>
        <v/>
      </c>
      <c r="M250" t="str">
        <f>IF(A250="Backlog",COUNTIF($A$2:$A250,"Backlog"),"")</f>
        <v/>
      </c>
    </row>
    <row r="251" spans="1:13">
      <c r="A251" t="str">
        <f>IF(AND('Q42027'!B12&lt;&gt;"",'Q42027'!E12&lt;&gt;""),'Q42027'!E12,"")</f>
        <v/>
      </c>
      <c r="B251" t="str">
        <f>IF(AND('Q42027'!B12&lt;&gt;"",'Q42027'!E12&lt;&gt;""),'Q42027'!B12,"")</f>
        <v/>
      </c>
      <c r="C251" t="str">
        <f>IF(AND('Q42027'!B12&lt;&gt;"",'Q42027'!E12&lt;&gt;""),'Q42027'!C12,"")</f>
        <v/>
      </c>
      <c r="D251" t="str">
        <f>IF(AND('Q42027'!B12&lt;&gt;"",'Q42027'!E12&lt;&gt;""),'Q42027'!D12,"")</f>
        <v/>
      </c>
      <c r="E251" t="str">
        <f>IF(AND('Q42027'!B12&lt;&gt;"",'Q42027'!E12&lt;&gt;""),'Q42027'!H12,"")</f>
        <v/>
      </c>
      <c r="F251" t="str">
        <f>IF(AND('Q42027'!B12&lt;&gt;"",'Q42027'!E12&lt;&gt;""),'Q42027'!F12,"")</f>
        <v/>
      </c>
      <c r="G251" t="str">
        <f>IF(AND('Q42027'!B12&lt;&gt;"",'Q42027'!E12&lt;&gt;""),'Q42027'!G12,"")</f>
        <v/>
      </c>
      <c r="H251" t="str">
        <f>IF(AND('Q42027'!B12&lt;&gt;"",'Q42027'!E12&lt;&gt;""),"Q42027","")</f>
        <v/>
      </c>
      <c r="I251" t="str">
        <f>IF(A251="Q12027",COUNTIF($A$2:$A251,"Q12027"),"")</f>
        <v/>
      </c>
      <c r="J251" t="str">
        <f>IF(A251="Q22027",COUNTIF($A$2:$A251,"Q22027"),"")</f>
        <v/>
      </c>
      <c r="K251" t="str">
        <f>IF(A251="Q32027",COUNTIF($A$2:$A251,"Q32027"),"")</f>
        <v/>
      </c>
      <c r="L251" t="str">
        <f>IF(A251="Q42027",COUNTIF($A$2:$A251,"Q42027"),"")</f>
        <v/>
      </c>
      <c r="M251" t="str">
        <f>IF(A251="Backlog",COUNTIF($A$2:$A251,"Backlog"),"")</f>
        <v/>
      </c>
    </row>
    <row r="252" spans="1:13">
      <c r="A252" t="str">
        <f>IF(AND('Q42027'!B13&lt;&gt;"",'Q42027'!E13&lt;&gt;""),'Q42027'!E13,"")</f>
        <v/>
      </c>
      <c r="B252" t="str">
        <f>IF(AND('Q42027'!B13&lt;&gt;"",'Q42027'!E13&lt;&gt;""),'Q42027'!B13,"")</f>
        <v/>
      </c>
      <c r="C252" t="str">
        <f>IF(AND('Q42027'!B13&lt;&gt;"",'Q42027'!E13&lt;&gt;""),'Q42027'!C13,"")</f>
        <v/>
      </c>
      <c r="D252" t="str">
        <f>IF(AND('Q42027'!B13&lt;&gt;"",'Q42027'!E13&lt;&gt;""),'Q42027'!D13,"")</f>
        <v/>
      </c>
      <c r="E252" t="str">
        <f>IF(AND('Q42027'!B13&lt;&gt;"",'Q42027'!E13&lt;&gt;""),'Q42027'!H13,"")</f>
        <v/>
      </c>
      <c r="F252" t="str">
        <f>IF(AND('Q42027'!B13&lt;&gt;"",'Q42027'!E13&lt;&gt;""),'Q42027'!F13,"")</f>
        <v/>
      </c>
      <c r="G252" t="str">
        <f>IF(AND('Q42027'!B13&lt;&gt;"",'Q42027'!E13&lt;&gt;""),'Q42027'!G13,"")</f>
        <v/>
      </c>
      <c r="H252" t="str">
        <f>IF(AND('Q42027'!B13&lt;&gt;"",'Q42027'!E13&lt;&gt;""),"Q42027","")</f>
        <v/>
      </c>
      <c r="I252" t="str">
        <f>IF(A252="Q12027",COUNTIF($A$2:$A252,"Q12027"),"")</f>
        <v/>
      </c>
      <c r="J252" t="str">
        <f>IF(A252="Q22027",COUNTIF($A$2:$A252,"Q22027"),"")</f>
        <v/>
      </c>
      <c r="K252" t="str">
        <f>IF(A252="Q32027",COUNTIF($A$2:$A252,"Q32027"),"")</f>
        <v/>
      </c>
      <c r="L252" t="str">
        <f>IF(A252="Q42027",COUNTIF($A$2:$A252,"Q42027"),"")</f>
        <v/>
      </c>
      <c r="M252" t="str">
        <f>IF(A252="Backlog",COUNTIF($A$2:$A252,"Backlog"),"")</f>
        <v/>
      </c>
    </row>
    <row r="253" spans="1:13">
      <c r="A253" t="str">
        <f>IF(AND('Q42027'!B14&lt;&gt;"",'Q42027'!E14&lt;&gt;""),'Q42027'!E14,"")</f>
        <v/>
      </c>
      <c r="B253" t="str">
        <f>IF(AND('Q42027'!B14&lt;&gt;"",'Q42027'!E14&lt;&gt;""),'Q42027'!B14,"")</f>
        <v/>
      </c>
      <c r="C253" t="str">
        <f>IF(AND('Q42027'!B14&lt;&gt;"",'Q42027'!E14&lt;&gt;""),'Q42027'!C14,"")</f>
        <v/>
      </c>
      <c r="D253" t="str">
        <f>IF(AND('Q42027'!B14&lt;&gt;"",'Q42027'!E14&lt;&gt;""),'Q42027'!D14,"")</f>
        <v/>
      </c>
      <c r="E253" t="str">
        <f>IF(AND('Q42027'!B14&lt;&gt;"",'Q42027'!E14&lt;&gt;""),'Q42027'!H14,"")</f>
        <v/>
      </c>
      <c r="F253" t="str">
        <f>IF(AND('Q42027'!B14&lt;&gt;"",'Q42027'!E14&lt;&gt;""),'Q42027'!F14,"")</f>
        <v/>
      </c>
      <c r="G253" t="str">
        <f>IF(AND('Q42027'!B14&lt;&gt;"",'Q42027'!E14&lt;&gt;""),'Q42027'!G14,"")</f>
        <v/>
      </c>
      <c r="H253" t="str">
        <f>IF(AND('Q42027'!B14&lt;&gt;"",'Q42027'!E14&lt;&gt;""),"Q42027","")</f>
        <v/>
      </c>
      <c r="I253" t="str">
        <f>IF(A253="Q12027",COUNTIF($A$2:$A253,"Q12027"),"")</f>
        <v/>
      </c>
      <c r="J253" t="str">
        <f>IF(A253="Q22027",COUNTIF($A$2:$A253,"Q22027"),"")</f>
        <v/>
      </c>
      <c r="K253" t="str">
        <f>IF(A253="Q32027",COUNTIF($A$2:$A253,"Q32027"),"")</f>
        <v/>
      </c>
      <c r="L253" t="str">
        <f>IF(A253="Q42027",COUNTIF($A$2:$A253,"Q42027"),"")</f>
        <v/>
      </c>
      <c r="M253" t="str">
        <f>IF(A253="Backlog",COUNTIF($A$2:$A253,"Backlog"),"")</f>
        <v/>
      </c>
    </row>
    <row r="254" spans="1:13">
      <c r="A254" t="str">
        <f>IF(AND('Q42027'!B15&lt;&gt;"",'Q42027'!E15&lt;&gt;""),'Q42027'!E15,"")</f>
        <v/>
      </c>
      <c r="B254" t="str">
        <f>IF(AND('Q42027'!B15&lt;&gt;"",'Q42027'!E15&lt;&gt;""),'Q42027'!B15,"")</f>
        <v/>
      </c>
      <c r="C254" t="str">
        <f>IF(AND('Q42027'!B15&lt;&gt;"",'Q42027'!E15&lt;&gt;""),'Q42027'!C15,"")</f>
        <v/>
      </c>
      <c r="D254" t="str">
        <f>IF(AND('Q42027'!B15&lt;&gt;"",'Q42027'!E15&lt;&gt;""),'Q42027'!D15,"")</f>
        <v/>
      </c>
      <c r="E254" t="str">
        <f>IF(AND('Q42027'!B15&lt;&gt;"",'Q42027'!E15&lt;&gt;""),'Q42027'!H15,"")</f>
        <v/>
      </c>
      <c r="F254" t="str">
        <f>IF(AND('Q42027'!B15&lt;&gt;"",'Q42027'!E15&lt;&gt;""),'Q42027'!F15,"")</f>
        <v/>
      </c>
      <c r="G254" t="str">
        <f>IF(AND('Q42027'!B15&lt;&gt;"",'Q42027'!E15&lt;&gt;""),'Q42027'!G15,"")</f>
        <v/>
      </c>
      <c r="H254" t="str">
        <f>IF(AND('Q42027'!B15&lt;&gt;"",'Q42027'!E15&lt;&gt;""),"Q42027","")</f>
        <v/>
      </c>
      <c r="I254" t="str">
        <f>IF(A254="Q12027",COUNTIF($A$2:$A254,"Q12027"),"")</f>
        <v/>
      </c>
      <c r="J254" t="str">
        <f>IF(A254="Q22027",COUNTIF($A$2:$A254,"Q22027"),"")</f>
        <v/>
      </c>
      <c r="K254" t="str">
        <f>IF(A254="Q32027",COUNTIF($A$2:$A254,"Q32027"),"")</f>
        <v/>
      </c>
      <c r="L254" t="str">
        <f>IF(A254="Q42027",COUNTIF($A$2:$A254,"Q42027"),"")</f>
        <v/>
      </c>
      <c r="M254" t="str">
        <f>IF(A254="Backlog",COUNTIF($A$2:$A254,"Backlog"),"")</f>
        <v/>
      </c>
    </row>
    <row r="255" spans="1:13">
      <c r="A255" t="str">
        <f>IF(AND('Q42027'!B16&lt;&gt;"",'Q42027'!E16&lt;&gt;""),'Q42027'!E16,"")</f>
        <v/>
      </c>
      <c r="B255" t="str">
        <f>IF(AND('Q42027'!B16&lt;&gt;"",'Q42027'!E16&lt;&gt;""),'Q42027'!B16,"")</f>
        <v/>
      </c>
      <c r="C255" t="str">
        <f>IF(AND('Q42027'!B16&lt;&gt;"",'Q42027'!E16&lt;&gt;""),'Q42027'!C16,"")</f>
        <v/>
      </c>
      <c r="D255" t="str">
        <f>IF(AND('Q42027'!B16&lt;&gt;"",'Q42027'!E16&lt;&gt;""),'Q42027'!D16,"")</f>
        <v/>
      </c>
      <c r="E255" t="str">
        <f>IF(AND('Q42027'!B16&lt;&gt;"",'Q42027'!E16&lt;&gt;""),'Q42027'!H16,"")</f>
        <v/>
      </c>
      <c r="F255" t="str">
        <f>IF(AND('Q42027'!B16&lt;&gt;"",'Q42027'!E16&lt;&gt;""),'Q42027'!F16,"")</f>
        <v/>
      </c>
      <c r="G255" t="str">
        <f>IF(AND('Q42027'!B16&lt;&gt;"",'Q42027'!E16&lt;&gt;""),'Q42027'!G16,"")</f>
        <v/>
      </c>
      <c r="H255" t="str">
        <f>IF(AND('Q42027'!B16&lt;&gt;"",'Q42027'!E16&lt;&gt;""),"Q42027","")</f>
        <v/>
      </c>
      <c r="I255" t="str">
        <f>IF(A255="Q12027",COUNTIF($A$2:$A255,"Q12027"),"")</f>
        <v/>
      </c>
      <c r="J255" t="str">
        <f>IF(A255="Q22027",COUNTIF($A$2:$A255,"Q22027"),"")</f>
        <v/>
      </c>
      <c r="K255" t="str">
        <f>IF(A255="Q32027",COUNTIF($A$2:$A255,"Q32027"),"")</f>
        <v/>
      </c>
      <c r="L255" t="str">
        <f>IF(A255="Q42027",COUNTIF($A$2:$A255,"Q42027"),"")</f>
        <v/>
      </c>
      <c r="M255" t="str">
        <f>IF(A255="Backlog",COUNTIF($A$2:$A255,"Backlog"),"")</f>
        <v/>
      </c>
    </row>
    <row r="256" spans="1:13">
      <c r="A256" t="str">
        <f>IF(AND('Q42027'!B17&lt;&gt;"",'Q42027'!E17&lt;&gt;""),'Q42027'!E17,"")</f>
        <v/>
      </c>
      <c r="B256" t="str">
        <f>IF(AND('Q42027'!B17&lt;&gt;"",'Q42027'!E17&lt;&gt;""),'Q42027'!B17,"")</f>
        <v/>
      </c>
      <c r="C256" t="str">
        <f>IF(AND('Q42027'!B17&lt;&gt;"",'Q42027'!E17&lt;&gt;""),'Q42027'!C17,"")</f>
        <v/>
      </c>
      <c r="D256" t="str">
        <f>IF(AND('Q42027'!B17&lt;&gt;"",'Q42027'!E17&lt;&gt;""),'Q42027'!D17,"")</f>
        <v/>
      </c>
      <c r="E256" t="str">
        <f>IF(AND('Q42027'!B17&lt;&gt;"",'Q42027'!E17&lt;&gt;""),'Q42027'!H17,"")</f>
        <v/>
      </c>
      <c r="F256" t="str">
        <f>IF(AND('Q42027'!B17&lt;&gt;"",'Q42027'!E17&lt;&gt;""),'Q42027'!F17,"")</f>
        <v/>
      </c>
      <c r="G256" t="str">
        <f>IF(AND('Q42027'!B17&lt;&gt;"",'Q42027'!E17&lt;&gt;""),'Q42027'!G17,"")</f>
        <v/>
      </c>
      <c r="H256" t="str">
        <f>IF(AND('Q42027'!B17&lt;&gt;"",'Q42027'!E17&lt;&gt;""),"Q42027","")</f>
        <v/>
      </c>
      <c r="I256" t="str">
        <f>IF(A256="Q12027",COUNTIF($A$2:$A256,"Q12027"),"")</f>
        <v/>
      </c>
      <c r="J256" t="str">
        <f>IF(A256="Q22027",COUNTIF($A$2:$A256,"Q22027"),"")</f>
        <v/>
      </c>
      <c r="K256" t="str">
        <f>IF(A256="Q32027",COUNTIF($A$2:$A256,"Q32027"),"")</f>
        <v/>
      </c>
      <c r="L256" t="str">
        <f>IF(A256="Q42027",COUNTIF($A$2:$A256,"Q42027"),"")</f>
        <v/>
      </c>
      <c r="M256" t="str">
        <f>IF(A256="Backlog",COUNTIF($A$2:$A256,"Backlog"),"")</f>
        <v/>
      </c>
    </row>
    <row r="257" spans="1:13">
      <c r="A257" t="str">
        <f>IF(AND('Q42027'!B18&lt;&gt;"",'Q42027'!E18&lt;&gt;""),'Q42027'!E18,"")</f>
        <v/>
      </c>
      <c r="B257" t="str">
        <f>IF(AND('Q42027'!B18&lt;&gt;"",'Q42027'!E18&lt;&gt;""),'Q42027'!B18,"")</f>
        <v/>
      </c>
      <c r="C257" t="str">
        <f>IF(AND('Q42027'!B18&lt;&gt;"",'Q42027'!E18&lt;&gt;""),'Q42027'!C18,"")</f>
        <v/>
      </c>
      <c r="D257" t="str">
        <f>IF(AND('Q42027'!B18&lt;&gt;"",'Q42027'!E18&lt;&gt;""),'Q42027'!D18,"")</f>
        <v/>
      </c>
      <c r="E257" t="str">
        <f>IF(AND('Q42027'!B18&lt;&gt;"",'Q42027'!E18&lt;&gt;""),'Q42027'!H18,"")</f>
        <v/>
      </c>
      <c r="F257" t="str">
        <f>IF(AND('Q42027'!B18&lt;&gt;"",'Q42027'!E18&lt;&gt;""),'Q42027'!F18,"")</f>
        <v/>
      </c>
      <c r="G257" t="str">
        <f>IF(AND('Q42027'!B18&lt;&gt;"",'Q42027'!E18&lt;&gt;""),'Q42027'!G18,"")</f>
        <v/>
      </c>
      <c r="H257" t="str">
        <f>IF(AND('Q42027'!B18&lt;&gt;"",'Q42027'!E18&lt;&gt;""),"Q42027","")</f>
        <v/>
      </c>
      <c r="I257" t="str">
        <f>IF(A257="Q12027",COUNTIF($A$2:$A257,"Q12027"),"")</f>
        <v/>
      </c>
      <c r="J257" t="str">
        <f>IF(A257="Q22027",COUNTIF($A$2:$A257,"Q22027"),"")</f>
        <v/>
      </c>
      <c r="K257" t="str">
        <f>IF(A257="Q32027",COUNTIF($A$2:$A257,"Q32027"),"")</f>
        <v/>
      </c>
      <c r="L257" t="str">
        <f>IF(A257="Q42027",COUNTIF($A$2:$A257,"Q42027"),"")</f>
        <v/>
      </c>
      <c r="M257" t="str">
        <f>IF(A257="Backlog",COUNTIF($A$2:$A257,"Backlog"),"")</f>
        <v/>
      </c>
    </row>
    <row r="258" spans="1:13">
      <c r="A258" t="str">
        <f>IF(AND('Q42027'!B19&lt;&gt;"",'Q42027'!E19&lt;&gt;""),'Q42027'!E19,"")</f>
        <v/>
      </c>
      <c r="B258" t="str">
        <f>IF(AND('Q42027'!B19&lt;&gt;"",'Q42027'!E19&lt;&gt;""),'Q42027'!B19,"")</f>
        <v/>
      </c>
      <c r="C258" t="str">
        <f>IF(AND('Q42027'!B19&lt;&gt;"",'Q42027'!E19&lt;&gt;""),'Q42027'!C19,"")</f>
        <v/>
      </c>
      <c r="D258" t="str">
        <f>IF(AND('Q42027'!B19&lt;&gt;"",'Q42027'!E19&lt;&gt;""),'Q42027'!D19,"")</f>
        <v/>
      </c>
      <c r="E258" t="str">
        <f>IF(AND('Q42027'!B19&lt;&gt;"",'Q42027'!E19&lt;&gt;""),'Q42027'!H19,"")</f>
        <v/>
      </c>
      <c r="F258" t="str">
        <f>IF(AND('Q42027'!B19&lt;&gt;"",'Q42027'!E19&lt;&gt;""),'Q42027'!F19,"")</f>
        <v/>
      </c>
      <c r="G258" t="str">
        <f>IF(AND('Q42027'!B19&lt;&gt;"",'Q42027'!E19&lt;&gt;""),'Q42027'!G19,"")</f>
        <v/>
      </c>
      <c r="H258" t="str">
        <f>IF(AND('Q42027'!B19&lt;&gt;"",'Q42027'!E19&lt;&gt;""),"Q42027","")</f>
        <v/>
      </c>
      <c r="I258" t="str">
        <f>IF(A258="Q12027",COUNTIF($A$2:$A258,"Q12027"),"")</f>
        <v/>
      </c>
      <c r="J258" t="str">
        <f>IF(A258="Q22027",COUNTIF($A$2:$A258,"Q22027"),"")</f>
        <v/>
      </c>
      <c r="K258" t="str">
        <f>IF(A258="Q32027",COUNTIF($A$2:$A258,"Q32027"),"")</f>
        <v/>
      </c>
      <c r="L258" t="str">
        <f>IF(A258="Q42027",COUNTIF($A$2:$A258,"Q42027"),"")</f>
        <v/>
      </c>
      <c r="M258" t="str">
        <f>IF(A258="Backlog",COUNTIF($A$2:$A258,"Backlog"),"")</f>
        <v/>
      </c>
    </row>
    <row r="259" spans="1:13">
      <c r="A259" t="str">
        <f>IF(AND('Q42027'!B20&lt;&gt;"",'Q42027'!E20&lt;&gt;""),'Q42027'!E20,"")</f>
        <v/>
      </c>
      <c r="B259" t="str">
        <f>IF(AND('Q42027'!B20&lt;&gt;"",'Q42027'!E20&lt;&gt;""),'Q42027'!B20,"")</f>
        <v/>
      </c>
      <c r="C259" t="str">
        <f>IF(AND('Q42027'!B20&lt;&gt;"",'Q42027'!E20&lt;&gt;""),'Q42027'!C20,"")</f>
        <v/>
      </c>
      <c r="D259" t="str">
        <f>IF(AND('Q42027'!B20&lt;&gt;"",'Q42027'!E20&lt;&gt;""),'Q42027'!D20,"")</f>
        <v/>
      </c>
      <c r="E259" t="str">
        <f>IF(AND('Q42027'!B20&lt;&gt;"",'Q42027'!E20&lt;&gt;""),'Q42027'!H20,"")</f>
        <v/>
      </c>
      <c r="F259" t="str">
        <f>IF(AND('Q42027'!B20&lt;&gt;"",'Q42027'!E20&lt;&gt;""),'Q42027'!F20,"")</f>
        <v/>
      </c>
      <c r="G259" t="str">
        <f>IF(AND('Q42027'!B20&lt;&gt;"",'Q42027'!E20&lt;&gt;""),'Q42027'!G20,"")</f>
        <v/>
      </c>
      <c r="H259" t="str">
        <f>IF(AND('Q42027'!B20&lt;&gt;"",'Q42027'!E20&lt;&gt;""),"Q42027","")</f>
        <v/>
      </c>
      <c r="I259" t="str">
        <f>IF(A259="Q12027",COUNTIF($A$2:$A259,"Q12027"),"")</f>
        <v/>
      </c>
      <c r="J259" t="str">
        <f>IF(A259="Q22027",COUNTIF($A$2:$A259,"Q22027"),"")</f>
        <v/>
      </c>
      <c r="K259" t="str">
        <f>IF(A259="Q32027",COUNTIF($A$2:$A259,"Q32027"),"")</f>
        <v/>
      </c>
      <c r="L259" t="str">
        <f>IF(A259="Q42027",COUNTIF($A$2:$A259,"Q42027"),"")</f>
        <v/>
      </c>
      <c r="M259" t="str">
        <f>IF(A259="Backlog",COUNTIF($A$2:$A259,"Backlog"),"")</f>
        <v/>
      </c>
    </row>
    <row r="260" spans="1:13">
      <c r="A260" t="str">
        <f>IF(AND('Q42027'!B21&lt;&gt;"",'Q42027'!E21&lt;&gt;""),'Q42027'!E21,"")</f>
        <v/>
      </c>
      <c r="B260" t="str">
        <f>IF(AND('Q42027'!B21&lt;&gt;"",'Q42027'!E21&lt;&gt;""),'Q42027'!B21,"")</f>
        <v/>
      </c>
      <c r="C260" t="str">
        <f>IF(AND('Q42027'!B21&lt;&gt;"",'Q42027'!E21&lt;&gt;""),'Q42027'!C21,"")</f>
        <v/>
      </c>
      <c r="D260" t="str">
        <f>IF(AND('Q42027'!B21&lt;&gt;"",'Q42027'!E21&lt;&gt;""),'Q42027'!D21,"")</f>
        <v/>
      </c>
      <c r="E260" t="str">
        <f>IF(AND('Q42027'!B21&lt;&gt;"",'Q42027'!E21&lt;&gt;""),'Q42027'!H21,"")</f>
        <v/>
      </c>
      <c r="F260" t="str">
        <f>IF(AND('Q42027'!B21&lt;&gt;"",'Q42027'!E21&lt;&gt;""),'Q42027'!F21,"")</f>
        <v/>
      </c>
      <c r="G260" t="str">
        <f>IF(AND('Q42027'!B21&lt;&gt;"",'Q42027'!E21&lt;&gt;""),'Q42027'!G21,"")</f>
        <v/>
      </c>
      <c r="H260" t="str">
        <f>IF(AND('Q42027'!B21&lt;&gt;"",'Q42027'!E21&lt;&gt;""),"Q42027","")</f>
        <v/>
      </c>
      <c r="I260" t="str">
        <f>IF(A260="Q12027",COUNTIF($A$2:$A260,"Q12027"),"")</f>
        <v/>
      </c>
      <c r="J260" t="str">
        <f>IF(A260="Q22027",COUNTIF($A$2:$A260,"Q22027"),"")</f>
        <v/>
      </c>
      <c r="K260" t="str">
        <f>IF(A260="Q32027",COUNTIF($A$2:$A260,"Q32027"),"")</f>
        <v/>
      </c>
      <c r="L260" t="str">
        <f>IF(A260="Q42027",COUNTIF($A$2:$A260,"Q42027"),"")</f>
        <v/>
      </c>
      <c r="M260" t="str">
        <f>IF(A260="Backlog",COUNTIF($A$2:$A260,"Backlog"),"")</f>
        <v/>
      </c>
    </row>
    <row r="261" spans="1:13">
      <c r="A261" t="str">
        <f>IF(AND('Q42027'!B22&lt;&gt;"",'Q42027'!E22&lt;&gt;""),'Q42027'!E22,"")</f>
        <v/>
      </c>
      <c r="B261" t="str">
        <f>IF(AND('Q42027'!B22&lt;&gt;"",'Q42027'!E22&lt;&gt;""),'Q42027'!B22,"")</f>
        <v/>
      </c>
      <c r="C261" t="str">
        <f>IF(AND('Q42027'!B22&lt;&gt;"",'Q42027'!E22&lt;&gt;""),'Q42027'!C22,"")</f>
        <v/>
      </c>
      <c r="D261" t="str">
        <f>IF(AND('Q42027'!B22&lt;&gt;"",'Q42027'!E22&lt;&gt;""),'Q42027'!D22,"")</f>
        <v/>
      </c>
      <c r="E261" t="str">
        <f>IF(AND('Q42027'!B22&lt;&gt;"",'Q42027'!E22&lt;&gt;""),'Q42027'!H22,"")</f>
        <v/>
      </c>
      <c r="F261" t="str">
        <f>IF(AND('Q42027'!B22&lt;&gt;"",'Q42027'!E22&lt;&gt;""),'Q42027'!F22,"")</f>
        <v/>
      </c>
      <c r="G261" t="str">
        <f>IF(AND('Q42027'!B22&lt;&gt;"",'Q42027'!E22&lt;&gt;""),'Q42027'!G22,"")</f>
        <v/>
      </c>
      <c r="H261" t="str">
        <f>IF(AND('Q42027'!B22&lt;&gt;"",'Q42027'!E22&lt;&gt;""),"Q42027","")</f>
        <v/>
      </c>
      <c r="I261" t="str">
        <f>IF(A261="Q12027",COUNTIF($A$2:$A261,"Q12027"),"")</f>
        <v/>
      </c>
      <c r="J261" t="str">
        <f>IF(A261="Q22027",COUNTIF($A$2:$A261,"Q22027"),"")</f>
        <v/>
      </c>
      <c r="K261" t="str">
        <f>IF(A261="Q32027",COUNTIF($A$2:$A261,"Q32027"),"")</f>
        <v/>
      </c>
      <c r="L261" t="str">
        <f>IF(A261="Q42027",COUNTIF($A$2:$A261,"Q42027"),"")</f>
        <v/>
      </c>
      <c r="M261" t="str">
        <f>IF(A261="Backlog",COUNTIF($A$2:$A261,"Backlog"),"")</f>
        <v/>
      </c>
    </row>
    <row r="262" spans="1:13">
      <c r="A262" t="str">
        <f>IF(AND('Q42027'!B23&lt;&gt;"",'Q42027'!E23&lt;&gt;""),'Q42027'!E23,"")</f>
        <v/>
      </c>
      <c r="B262" t="str">
        <f>IF(AND('Q42027'!B23&lt;&gt;"",'Q42027'!E23&lt;&gt;""),'Q42027'!B23,"")</f>
        <v/>
      </c>
      <c r="C262" t="str">
        <f>IF(AND('Q42027'!B23&lt;&gt;"",'Q42027'!E23&lt;&gt;""),'Q42027'!C23,"")</f>
        <v/>
      </c>
      <c r="D262" t="str">
        <f>IF(AND('Q42027'!B23&lt;&gt;"",'Q42027'!E23&lt;&gt;""),'Q42027'!D23,"")</f>
        <v/>
      </c>
      <c r="E262" t="str">
        <f>IF(AND('Q42027'!B23&lt;&gt;"",'Q42027'!E23&lt;&gt;""),'Q42027'!H23,"")</f>
        <v/>
      </c>
      <c r="F262" t="str">
        <f>IF(AND('Q42027'!B23&lt;&gt;"",'Q42027'!E23&lt;&gt;""),'Q42027'!F23,"")</f>
        <v/>
      </c>
      <c r="G262" t="str">
        <f>IF(AND('Q42027'!B23&lt;&gt;"",'Q42027'!E23&lt;&gt;""),'Q42027'!G23,"")</f>
        <v/>
      </c>
      <c r="H262" t="str">
        <f>IF(AND('Q42027'!B23&lt;&gt;"",'Q42027'!E23&lt;&gt;""),"Q42027","")</f>
        <v/>
      </c>
      <c r="I262" t="str">
        <f>IF(A262="Q12027",COUNTIF($A$2:$A262,"Q12027"),"")</f>
        <v/>
      </c>
      <c r="J262" t="str">
        <f>IF(A262="Q22027",COUNTIF($A$2:$A262,"Q22027"),"")</f>
        <v/>
      </c>
      <c r="K262" t="str">
        <f>IF(A262="Q32027",COUNTIF($A$2:$A262,"Q32027"),"")</f>
        <v/>
      </c>
      <c r="L262" t="str">
        <f>IF(A262="Q42027",COUNTIF($A$2:$A262,"Q42027"),"")</f>
        <v/>
      </c>
      <c r="M262" t="str">
        <f>IF(A262="Backlog",COUNTIF($A$2:$A262,"Backlog"),"")</f>
        <v/>
      </c>
    </row>
    <row r="263" spans="1:13">
      <c r="A263" t="str">
        <f>IF(AND('Q42027'!B24&lt;&gt;"",'Q42027'!E24&lt;&gt;""),'Q42027'!E24,"")</f>
        <v/>
      </c>
      <c r="B263" t="str">
        <f>IF(AND('Q42027'!B24&lt;&gt;"",'Q42027'!E24&lt;&gt;""),'Q42027'!B24,"")</f>
        <v/>
      </c>
      <c r="C263" t="str">
        <f>IF(AND('Q42027'!B24&lt;&gt;"",'Q42027'!E24&lt;&gt;""),'Q42027'!C24,"")</f>
        <v/>
      </c>
      <c r="D263" t="str">
        <f>IF(AND('Q42027'!B24&lt;&gt;"",'Q42027'!E24&lt;&gt;""),'Q42027'!D24,"")</f>
        <v/>
      </c>
      <c r="E263" t="str">
        <f>IF(AND('Q42027'!B24&lt;&gt;"",'Q42027'!E24&lt;&gt;""),'Q42027'!H24,"")</f>
        <v/>
      </c>
      <c r="F263" t="str">
        <f>IF(AND('Q42027'!B24&lt;&gt;"",'Q42027'!E24&lt;&gt;""),'Q42027'!F24,"")</f>
        <v/>
      </c>
      <c r="G263" t="str">
        <f>IF(AND('Q42027'!B24&lt;&gt;"",'Q42027'!E24&lt;&gt;""),'Q42027'!G24,"")</f>
        <v/>
      </c>
      <c r="H263" t="str">
        <f>IF(AND('Q42027'!B24&lt;&gt;"",'Q42027'!E24&lt;&gt;""),"Q42027","")</f>
        <v/>
      </c>
      <c r="I263" t="str">
        <f>IF(A263="Q12027",COUNTIF($A$2:$A263,"Q12027"),"")</f>
        <v/>
      </c>
      <c r="J263" t="str">
        <f>IF(A263="Q22027",COUNTIF($A$2:$A263,"Q22027"),"")</f>
        <v/>
      </c>
      <c r="K263" t="str">
        <f>IF(A263="Q32027",COUNTIF($A$2:$A263,"Q32027"),"")</f>
        <v/>
      </c>
      <c r="L263" t="str">
        <f>IF(A263="Q42027",COUNTIF($A$2:$A263,"Q42027"),"")</f>
        <v/>
      </c>
      <c r="M263" t="str">
        <f>IF(A263="Backlog",COUNTIF($A$2:$A263,"Backlog"),"")</f>
        <v/>
      </c>
    </row>
    <row r="264" spans="1:13">
      <c r="A264" t="str">
        <f>IF(AND('Q42027'!B25&lt;&gt;"",'Q42027'!E25&lt;&gt;""),'Q42027'!E25,"")</f>
        <v/>
      </c>
      <c r="B264" t="str">
        <f>IF(AND('Q42027'!B25&lt;&gt;"",'Q42027'!E25&lt;&gt;""),'Q42027'!B25,"")</f>
        <v/>
      </c>
      <c r="C264" t="str">
        <f>IF(AND('Q42027'!B25&lt;&gt;"",'Q42027'!E25&lt;&gt;""),'Q42027'!C25,"")</f>
        <v/>
      </c>
      <c r="D264" t="str">
        <f>IF(AND('Q42027'!B25&lt;&gt;"",'Q42027'!E25&lt;&gt;""),'Q42027'!D25,"")</f>
        <v/>
      </c>
      <c r="E264" t="str">
        <f>IF(AND('Q42027'!B25&lt;&gt;"",'Q42027'!E25&lt;&gt;""),'Q42027'!H25,"")</f>
        <v/>
      </c>
      <c r="F264" t="str">
        <f>IF(AND('Q42027'!B25&lt;&gt;"",'Q42027'!E25&lt;&gt;""),'Q42027'!F25,"")</f>
        <v/>
      </c>
      <c r="G264" t="str">
        <f>IF(AND('Q42027'!B25&lt;&gt;"",'Q42027'!E25&lt;&gt;""),'Q42027'!G25,"")</f>
        <v/>
      </c>
      <c r="H264" t="str">
        <f>IF(AND('Q42027'!B25&lt;&gt;"",'Q42027'!E25&lt;&gt;""),"Q42027","")</f>
        <v/>
      </c>
      <c r="I264" t="str">
        <f>IF(A264="Q12027",COUNTIF($A$2:$A264,"Q12027"),"")</f>
        <v/>
      </c>
      <c r="J264" t="str">
        <f>IF(A264="Q22027",COUNTIF($A$2:$A264,"Q22027"),"")</f>
        <v/>
      </c>
      <c r="K264" t="str">
        <f>IF(A264="Q32027",COUNTIF($A$2:$A264,"Q32027"),"")</f>
        <v/>
      </c>
      <c r="L264" t="str">
        <f>IF(A264="Q42027",COUNTIF($A$2:$A264,"Q42027"),"")</f>
        <v/>
      </c>
      <c r="M264" t="str">
        <f>IF(A264="Backlog",COUNTIF($A$2:$A264,"Backlog"),"")</f>
        <v/>
      </c>
    </row>
    <row r="265" spans="1:13">
      <c r="A265" t="str">
        <f>IF(AND('Q42027'!B26&lt;&gt;"",'Q42027'!E26&lt;&gt;""),'Q42027'!E26,"")</f>
        <v/>
      </c>
      <c r="B265" t="str">
        <f>IF(AND('Q42027'!B26&lt;&gt;"",'Q42027'!E26&lt;&gt;""),'Q42027'!B26,"")</f>
        <v/>
      </c>
      <c r="C265" t="str">
        <f>IF(AND('Q42027'!B26&lt;&gt;"",'Q42027'!E26&lt;&gt;""),'Q42027'!C26,"")</f>
        <v/>
      </c>
      <c r="D265" t="str">
        <f>IF(AND('Q42027'!B26&lt;&gt;"",'Q42027'!E26&lt;&gt;""),'Q42027'!D26,"")</f>
        <v/>
      </c>
      <c r="E265" t="str">
        <f>IF(AND('Q42027'!B26&lt;&gt;"",'Q42027'!E26&lt;&gt;""),'Q42027'!H26,"")</f>
        <v/>
      </c>
      <c r="F265" t="str">
        <f>IF(AND('Q42027'!B26&lt;&gt;"",'Q42027'!E26&lt;&gt;""),'Q42027'!F26,"")</f>
        <v/>
      </c>
      <c r="G265" t="str">
        <f>IF(AND('Q42027'!B26&lt;&gt;"",'Q42027'!E26&lt;&gt;""),'Q42027'!G26,"")</f>
        <v/>
      </c>
      <c r="H265" t="str">
        <f>IF(AND('Q42027'!B26&lt;&gt;"",'Q42027'!E26&lt;&gt;""),"Q42027","")</f>
        <v/>
      </c>
      <c r="I265" t="str">
        <f>IF(A265="Q12027",COUNTIF($A$2:$A265,"Q12027"),"")</f>
        <v/>
      </c>
      <c r="J265" t="str">
        <f>IF(A265="Q22027",COUNTIF($A$2:$A265,"Q22027"),"")</f>
        <v/>
      </c>
      <c r="K265" t="str">
        <f>IF(A265="Q32027",COUNTIF($A$2:$A265,"Q32027"),"")</f>
        <v/>
      </c>
      <c r="L265" t="str">
        <f>IF(A265="Q42027",COUNTIF($A$2:$A265,"Q42027"),"")</f>
        <v/>
      </c>
      <c r="M265" t="str">
        <f>IF(A265="Backlog",COUNTIF($A$2:$A265,"Backlog"),"")</f>
        <v/>
      </c>
    </row>
    <row r="266" spans="1:13">
      <c r="A266" t="str">
        <f>IF(AND('Q42027'!B27&lt;&gt;"",'Q42027'!E27&lt;&gt;""),'Q42027'!E27,"")</f>
        <v/>
      </c>
      <c r="B266" t="str">
        <f>IF(AND('Q42027'!B27&lt;&gt;"",'Q42027'!E27&lt;&gt;""),'Q42027'!B27,"")</f>
        <v/>
      </c>
      <c r="C266" t="str">
        <f>IF(AND('Q42027'!B27&lt;&gt;"",'Q42027'!E27&lt;&gt;""),'Q42027'!C27,"")</f>
        <v/>
      </c>
      <c r="D266" t="str">
        <f>IF(AND('Q42027'!B27&lt;&gt;"",'Q42027'!E27&lt;&gt;""),'Q42027'!D27,"")</f>
        <v/>
      </c>
      <c r="E266" t="str">
        <f>IF(AND('Q42027'!B27&lt;&gt;"",'Q42027'!E27&lt;&gt;""),'Q42027'!H27,"")</f>
        <v/>
      </c>
      <c r="F266" t="str">
        <f>IF(AND('Q42027'!B27&lt;&gt;"",'Q42027'!E27&lt;&gt;""),'Q42027'!F27,"")</f>
        <v/>
      </c>
      <c r="G266" t="str">
        <f>IF(AND('Q42027'!B27&lt;&gt;"",'Q42027'!E27&lt;&gt;""),'Q42027'!G27,"")</f>
        <v/>
      </c>
      <c r="H266" t="str">
        <f>IF(AND('Q42027'!B27&lt;&gt;"",'Q42027'!E27&lt;&gt;""),"Q42027","")</f>
        <v/>
      </c>
      <c r="I266" t="str">
        <f>IF(A266="Q12027",COUNTIF($A$2:$A266,"Q12027"),"")</f>
        <v/>
      </c>
      <c r="J266" t="str">
        <f>IF(A266="Q22027",COUNTIF($A$2:$A266,"Q22027"),"")</f>
        <v/>
      </c>
      <c r="K266" t="str">
        <f>IF(A266="Q32027",COUNTIF($A$2:$A266,"Q32027"),"")</f>
        <v/>
      </c>
      <c r="L266" t="str">
        <f>IF(A266="Q42027",COUNTIF($A$2:$A266,"Q42027"),"")</f>
        <v/>
      </c>
      <c r="M266" t="str">
        <f>IF(A266="Backlog",COUNTIF($A$2:$A266,"Backlog"),"")</f>
        <v/>
      </c>
    </row>
    <row r="267" spans="1:13">
      <c r="A267" t="str">
        <f>IF(AND('Q42027'!B28&lt;&gt;"",'Q42027'!E28&lt;&gt;""),'Q42027'!E28,"")</f>
        <v/>
      </c>
      <c r="B267" t="str">
        <f>IF(AND('Q42027'!B28&lt;&gt;"",'Q42027'!E28&lt;&gt;""),'Q42027'!B28,"")</f>
        <v/>
      </c>
      <c r="C267" t="str">
        <f>IF(AND('Q42027'!B28&lt;&gt;"",'Q42027'!E28&lt;&gt;""),'Q42027'!C28,"")</f>
        <v/>
      </c>
      <c r="D267" t="str">
        <f>IF(AND('Q42027'!B28&lt;&gt;"",'Q42027'!E28&lt;&gt;""),'Q42027'!D28,"")</f>
        <v/>
      </c>
      <c r="E267" t="str">
        <f>IF(AND('Q42027'!B28&lt;&gt;"",'Q42027'!E28&lt;&gt;""),'Q42027'!H28,"")</f>
        <v/>
      </c>
      <c r="F267" t="str">
        <f>IF(AND('Q42027'!B28&lt;&gt;"",'Q42027'!E28&lt;&gt;""),'Q42027'!F28,"")</f>
        <v/>
      </c>
      <c r="G267" t="str">
        <f>IF(AND('Q42027'!B28&lt;&gt;"",'Q42027'!E28&lt;&gt;""),'Q42027'!G28,"")</f>
        <v/>
      </c>
      <c r="H267" t="str">
        <f>IF(AND('Q42027'!B28&lt;&gt;"",'Q42027'!E28&lt;&gt;""),"Q42027","")</f>
        <v/>
      </c>
      <c r="I267" t="str">
        <f>IF(A267="Q12027",COUNTIF($A$2:$A267,"Q12027"),"")</f>
        <v/>
      </c>
      <c r="J267" t="str">
        <f>IF(A267="Q22027",COUNTIF($A$2:$A267,"Q22027"),"")</f>
        <v/>
      </c>
      <c r="K267" t="str">
        <f>IF(A267="Q32027",COUNTIF($A$2:$A267,"Q32027"),"")</f>
        <v/>
      </c>
      <c r="L267" t="str">
        <f>IF(A267="Q42027",COUNTIF($A$2:$A267,"Q42027"),"")</f>
        <v/>
      </c>
      <c r="M267" t="str">
        <f>IF(A267="Backlog",COUNTIF($A$2:$A267,"Backlog"),"")</f>
        <v/>
      </c>
    </row>
    <row r="268" spans="1:13">
      <c r="A268" t="str">
        <f>IF(AND('Q42027'!B29&lt;&gt;"",'Q42027'!E29&lt;&gt;""),'Q42027'!E29,"")</f>
        <v/>
      </c>
      <c r="B268" t="str">
        <f>IF(AND('Q42027'!B29&lt;&gt;"",'Q42027'!E29&lt;&gt;""),'Q42027'!B29,"")</f>
        <v/>
      </c>
      <c r="C268" t="str">
        <f>IF(AND('Q42027'!B29&lt;&gt;"",'Q42027'!E29&lt;&gt;""),'Q42027'!C29,"")</f>
        <v/>
      </c>
      <c r="D268" t="str">
        <f>IF(AND('Q42027'!B29&lt;&gt;"",'Q42027'!E29&lt;&gt;""),'Q42027'!D29,"")</f>
        <v/>
      </c>
      <c r="E268" t="str">
        <f>IF(AND('Q42027'!B29&lt;&gt;"",'Q42027'!E29&lt;&gt;""),'Q42027'!H29,"")</f>
        <v/>
      </c>
      <c r="F268" t="str">
        <f>IF(AND('Q42027'!B29&lt;&gt;"",'Q42027'!E29&lt;&gt;""),'Q42027'!F29,"")</f>
        <v/>
      </c>
      <c r="G268" t="str">
        <f>IF(AND('Q42027'!B29&lt;&gt;"",'Q42027'!E29&lt;&gt;""),'Q42027'!G29,"")</f>
        <v/>
      </c>
      <c r="H268" t="str">
        <f>IF(AND('Q42027'!B29&lt;&gt;"",'Q42027'!E29&lt;&gt;""),"Q42027","")</f>
        <v/>
      </c>
      <c r="I268" t="str">
        <f>IF(A268="Q12027",COUNTIF($A$2:$A268,"Q12027"),"")</f>
        <v/>
      </c>
      <c r="J268" t="str">
        <f>IF(A268="Q22027",COUNTIF($A$2:$A268,"Q22027"),"")</f>
        <v/>
      </c>
      <c r="K268" t="str">
        <f>IF(A268="Q32027",COUNTIF($A$2:$A268,"Q32027"),"")</f>
        <v/>
      </c>
      <c r="L268" t="str">
        <f>IF(A268="Q42027",COUNTIF($A$2:$A268,"Q42027"),"")</f>
        <v/>
      </c>
      <c r="M268" t="str">
        <f>IF(A268="Backlog",COUNTIF($A$2:$A268,"Backlog"),"")</f>
        <v/>
      </c>
    </row>
    <row r="269" spans="1:13">
      <c r="A269" t="str">
        <f>IF(AND('Q42027'!B30&lt;&gt;"",'Q42027'!E30&lt;&gt;""),'Q42027'!E30,"")</f>
        <v/>
      </c>
      <c r="B269" t="str">
        <f>IF(AND('Q42027'!B30&lt;&gt;"",'Q42027'!E30&lt;&gt;""),'Q42027'!B30,"")</f>
        <v/>
      </c>
      <c r="C269" t="str">
        <f>IF(AND('Q42027'!B30&lt;&gt;"",'Q42027'!E30&lt;&gt;""),'Q42027'!C30,"")</f>
        <v/>
      </c>
      <c r="D269" t="str">
        <f>IF(AND('Q42027'!B30&lt;&gt;"",'Q42027'!E30&lt;&gt;""),'Q42027'!D30,"")</f>
        <v/>
      </c>
      <c r="E269" t="str">
        <f>IF(AND('Q42027'!B30&lt;&gt;"",'Q42027'!E30&lt;&gt;""),'Q42027'!H30,"")</f>
        <v/>
      </c>
      <c r="F269" t="str">
        <f>IF(AND('Q42027'!B30&lt;&gt;"",'Q42027'!E30&lt;&gt;""),'Q42027'!F30,"")</f>
        <v/>
      </c>
      <c r="G269" t="str">
        <f>IF(AND('Q42027'!B30&lt;&gt;"",'Q42027'!E30&lt;&gt;""),'Q42027'!G30,"")</f>
        <v/>
      </c>
      <c r="H269" t="str">
        <f>IF(AND('Q42027'!B30&lt;&gt;"",'Q42027'!E30&lt;&gt;""),"Q42027","")</f>
        <v/>
      </c>
      <c r="I269" t="str">
        <f>IF(A269="Q12027",COUNTIF($A$2:$A269,"Q12027"),"")</f>
        <v/>
      </c>
      <c r="J269" t="str">
        <f>IF(A269="Q22027",COUNTIF($A$2:$A269,"Q22027"),"")</f>
        <v/>
      </c>
      <c r="K269" t="str">
        <f>IF(A269="Q32027",COUNTIF($A$2:$A269,"Q32027"),"")</f>
        <v/>
      </c>
      <c r="L269" t="str">
        <f>IF(A269="Q42027",COUNTIF($A$2:$A269,"Q42027"),"")</f>
        <v/>
      </c>
      <c r="M269" t="str">
        <f>IF(A269="Backlog",COUNTIF($A$2:$A269,"Backlog"),"")</f>
        <v/>
      </c>
    </row>
    <row r="270" spans="1:13">
      <c r="A270" t="str">
        <f>IF(AND('Q42027'!B31&lt;&gt;"",'Q42027'!E31&lt;&gt;""),'Q42027'!E31,"")</f>
        <v/>
      </c>
      <c r="B270" t="str">
        <f>IF(AND('Q42027'!B31&lt;&gt;"",'Q42027'!E31&lt;&gt;""),'Q42027'!B31,"")</f>
        <v/>
      </c>
      <c r="C270" t="str">
        <f>IF(AND('Q42027'!B31&lt;&gt;"",'Q42027'!E31&lt;&gt;""),'Q42027'!C31,"")</f>
        <v/>
      </c>
      <c r="D270" t="str">
        <f>IF(AND('Q42027'!B31&lt;&gt;"",'Q42027'!E31&lt;&gt;""),'Q42027'!D31,"")</f>
        <v/>
      </c>
      <c r="E270" t="str">
        <f>IF(AND('Q42027'!B31&lt;&gt;"",'Q42027'!E31&lt;&gt;""),'Q42027'!H31,"")</f>
        <v/>
      </c>
      <c r="F270" t="str">
        <f>IF(AND('Q42027'!B31&lt;&gt;"",'Q42027'!E31&lt;&gt;""),'Q42027'!F31,"")</f>
        <v/>
      </c>
      <c r="G270" t="str">
        <f>IF(AND('Q42027'!B31&lt;&gt;"",'Q42027'!E31&lt;&gt;""),'Q42027'!G31,"")</f>
        <v/>
      </c>
      <c r="H270" t="str">
        <f>IF(AND('Q42027'!B31&lt;&gt;"",'Q42027'!E31&lt;&gt;""),"Q42027","")</f>
        <v/>
      </c>
      <c r="I270" t="str">
        <f>IF(A270="Q12027",COUNTIF($A$2:$A270,"Q12027"),"")</f>
        <v/>
      </c>
      <c r="J270" t="str">
        <f>IF(A270="Q22027",COUNTIF($A$2:$A270,"Q22027"),"")</f>
        <v/>
      </c>
      <c r="K270" t="str">
        <f>IF(A270="Q32027",COUNTIF($A$2:$A270,"Q32027"),"")</f>
        <v/>
      </c>
      <c r="L270" t="str">
        <f>IF(A270="Q42027",COUNTIF($A$2:$A270,"Q42027"),"")</f>
        <v/>
      </c>
      <c r="M270" t="str">
        <f>IF(A270="Backlog",COUNTIF($A$2:$A270,"Backlog"),"")</f>
        <v/>
      </c>
    </row>
    <row r="271" spans="1:13">
      <c r="A271" t="str">
        <f>IF(AND('Q42027'!B32&lt;&gt;"",'Q42027'!E32&lt;&gt;""),'Q42027'!E32,"")</f>
        <v/>
      </c>
      <c r="B271" t="str">
        <f>IF(AND('Q42027'!B32&lt;&gt;"",'Q42027'!E32&lt;&gt;""),'Q42027'!B32,"")</f>
        <v/>
      </c>
      <c r="C271" t="str">
        <f>IF(AND('Q42027'!B32&lt;&gt;"",'Q42027'!E32&lt;&gt;""),'Q42027'!C32,"")</f>
        <v/>
      </c>
      <c r="D271" t="str">
        <f>IF(AND('Q42027'!B32&lt;&gt;"",'Q42027'!E32&lt;&gt;""),'Q42027'!D32,"")</f>
        <v/>
      </c>
      <c r="E271" t="str">
        <f>IF(AND('Q42027'!B32&lt;&gt;"",'Q42027'!E32&lt;&gt;""),'Q42027'!H32,"")</f>
        <v/>
      </c>
      <c r="F271" t="str">
        <f>IF(AND('Q42027'!B32&lt;&gt;"",'Q42027'!E32&lt;&gt;""),'Q42027'!F32,"")</f>
        <v/>
      </c>
      <c r="G271" t="str">
        <f>IF(AND('Q42027'!B32&lt;&gt;"",'Q42027'!E32&lt;&gt;""),'Q42027'!G32,"")</f>
        <v/>
      </c>
      <c r="H271" t="str">
        <f>IF(AND('Q42027'!B32&lt;&gt;"",'Q42027'!E32&lt;&gt;""),"Q42027","")</f>
        <v/>
      </c>
      <c r="I271" t="str">
        <f>IF(A271="Q12027",COUNTIF($A$2:$A271,"Q12027"),"")</f>
        <v/>
      </c>
      <c r="J271" t="str">
        <f>IF(A271="Q22027",COUNTIF($A$2:$A271,"Q22027"),"")</f>
        <v/>
      </c>
      <c r="K271" t="str">
        <f>IF(A271="Q32027",COUNTIF($A$2:$A271,"Q32027"),"")</f>
        <v/>
      </c>
      <c r="L271" t="str">
        <f>IF(A271="Q42027",COUNTIF($A$2:$A271,"Q42027"),"")</f>
        <v/>
      </c>
      <c r="M271" t="str">
        <f>IF(A271="Backlog",COUNTIF($A$2:$A271,"Backlog"),"")</f>
        <v/>
      </c>
    </row>
    <row r="272" spans="1:13">
      <c r="A272" t="str">
        <f>IF(AND('Q42027'!B33&lt;&gt;"",'Q42027'!E33&lt;&gt;""),'Q42027'!E33,"")</f>
        <v/>
      </c>
      <c r="B272" t="str">
        <f>IF(AND('Q42027'!B33&lt;&gt;"",'Q42027'!E33&lt;&gt;""),'Q42027'!B33,"")</f>
        <v/>
      </c>
      <c r="C272" t="str">
        <f>IF(AND('Q42027'!B33&lt;&gt;"",'Q42027'!E33&lt;&gt;""),'Q42027'!C33,"")</f>
        <v/>
      </c>
      <c r="D272" t="str">
        <f>IF(AND('Q42027'!B33&lt;&gt;"",'Q42027'!E33&lt;&gt;""),'Q42027'!D33,"")</f>
        <v/>
      </c>
      <c r="E272" t="str">
        <f>IF(AND('Q42027'!B33&lt;&gt;"",'Q42027'!E33&lt;&gt;""),'Q42027'!H33,"")</f>
        <v/>
      </c>
      <c r="F272" t="str">
        <f>IF(AND('Q42027'!B33&lt;&gt;"",'Q42027'!E33&lt;&gt;""),'Q42027'!F33,"")</f>
        <v/>
      </c>
      <c r="G272" t="str">
        <f>IF(AND('Q42027'!B33&lt;&gt;"",'Q42027'!E33&lt;&gt;""),'Q42027'!G33,"")</f>
        <v/>
      </c>
      <c r="H272" t="str">
        <f>IF(AND('Q42027'!B33&lt;&gt;"",'Q42027'!E33&lt;&gt;""),"Q42027","")</f>
        <v/>
      </c>
      <c r="I272" t="str">
        <f>IF(A272="Q12027",COUNTIF($A$2:$A272,"Q12027"),"")</f>
        <v/>
      </c>
      <c r="J272" t="str">
        <f>IF(A272="Q22027",COUNTIF($A$2:$A272,"Q22027"),"")</f>
        <v/>
      </c>
      <c r="K272" t="str">
        <f>IF(A272="Q32027",COUNTIF($A$2:$A272,"Q32027"),"")</f>
        <v/>
      </c>
      <c r="L272" t="str">
        <f>IF(A272="Q42027",COUNTIF($A$2:$A272,"Q42027"),"")</f>
        <v/>
      </c>
      <c r="M272" t="str">
        <f>IF(A272="Backlog",COUNTIF($A$2:$A272,"Backlog"),"")</f>
        <v/>
      </c>
    </row>
    <row r="273" spans="1:13">
      <c r="A273" t="str">
        <f>IF(AND('Q42027'!B34&lt;&gt;"",'Q42027'!E34&lt;&gt;""),'Q42027'!E34,"")</f>
        <v/>
      </c>
      <c r="B273" t="str">
        <f>IF(AND('Q42027'!B34&lt;&gt;"",'Q42027'!E34&lt;&gt;""),'Q42027'!B34,"")</f>
        <v/>
      </c>
      <c r="C273" t="str">
        <f>IF(AND('Q42027'!B34&lt;&gt;"",'Q42027'!E34&lt;&gt;""),'Q42027'!C34,"")</f>
        <v/>
      </c>
      <c r="D273" t="str">
        <f>IF(AND('Q42027'!B34&lt;&gt;"",'Q42027'!E34&lt;&gt;""),'Q42027'!D34,"")</f>
        <v/>
      </c>
      <c r="E273" t="str">
        <f>IF(AND('Q42027'!B34&lt;&gt;"",'Q42027'!E34&lt;&gt;""),'Q42027'!H34,"")</f>
        <v/>
      </c>
      <c r="F273" t="str">
        <f>IF(AND('Q42027'!B34&lt;&gt;"",'Q42027'!E34&lt;&gt;""),'Q42027'!F34,"")</f>
        <v/>
      </c>
      <c r="G273" t="str">
        <f>IF(AND('Q42027'!B34&lt;&gt;"",'Q42027'!E34&lt;&gt;""),'Q42027'!G34,"")</f>
        <v/>
      </c>
      <c r="H273" t="str">
        <f>IF(AND('Q42027'!B34&lt;&gt;"",'Q42027'!E34&lt;&gt;""),"Q42027","")</f>
        <v/>
      </c>
      <c r="I273" t="str">
        <f>IF(A273="Q12027",COUNTIF($A$2:$A273,"Q12027"),"")</f>
        <v/>
      </c>
      <c r="J273" t="str">
        <f>IF(A273="Q22027",COUNTIF($A$2:$A273,"Q22027"),"")</f>
        <v/>
      </c>
      <c r="K273" t="str">
        <f>IF(A273="Q32027",COUNTIF($A$2:$A273,"Q32027"),"")</f>
        <v/>
      </c>
      <c r="L273" t="str">
        <f>IF(A273="Q42027",COUNTIF($A$2:$A273,"Q42027"),"")</f>
        <v/>
      </c>
      <c r="M273" t="str">
        <f>IF(A273="Backlog",COUNTIF($A$2:$A273,"Backlog"),"")</f>
        <v/>
      </c>
    </row>
    <row r="274" spans="1:13">
      <c r="A274" t="str">
        <f>IF(AND('Q42027'!B35&lt;&gt;"",'Q42027'!E35&lt;&gt;""),'Q42027'!E35,"")</f>
        <v/>
      </c>
      <c r="B274" t="str">
        <f>IF(AND('Q42027'!B35&lt;&gt;"",'Q42027'!E35&lt;&gt;""),'Q42027'!B35,"")</f>
        <v/>
      </c>
      <c r="C274" t="str">
        <f>IF(AND('Q42027'!B35&lt;&gt;"",'Q42027'!E35&lt;&gt;""),'Q42027'!C35,"")</f>
        <v/>
      </c>
      <c r="D274" t="str">
        <f>IF(AND('Q42027'!B35&lt;&gt;"",'Q42027'!E35&lt;&gt;""),'Q42027'!D35,"")</f>
        <v/>
      </c>
      <c r="E274" t="str">
        <f>IF(AND('Q42027'!B35&lt;&gt;"",'Q42027'!E35&lt;&gt;""),'Q42027'!H35,"")</f>
        <v/>
      </c>
      <c r="F274" t="str">
        <f>IF(AND('Q42027'!B35&lt;&gt;"",'Q42027'!E35&lt;&gt;""),'Q42027'!F35,"")</f>
        <v/>
      </c>
      <c r="G274" t="str">
        <f>IF(AND('Q42027'!B35&lt;&gt;"",'Q42027'!E35&lt;&gt;""),'Q42027'!G35,"")</f>
        <v/>
      </c>
      <c r="H274" t="str">
        <f>IF(AND('Q42027'!B35&lt;&gt;"",'Q42027'!E35&lt;&gt;""),"Q42027","")</f>
        <v/>
      </c>
      <c r="I274" t="str">
        <f>IF(A274="Q12027",COUNTIF($A$2:$A274,"Q12027"),"")</f>
        <v/>
      </c>
      <c r="J274" t="str">
        <f>IF(A274="Q22027",COUNTIF($A$2:$A274,"Q22027"),"")</f>
        <v/>
      </c>
      <c r="K274" t="str">
        <f>IF(A274="Q32027",COUNTIF($A$2:$A274,"Q32027"),"")</f>
        <v/>
      </c>
      <c r="L274" t="str">
        <f>IF(A274="Q42027",COUNTIF($A$2:$A274,"Q42027"),"")</f>
        <v/>
      </c>
      <c r="M274" t="str">
        <f>IF(A274="Backlog",COUNTIF($A$2:$A274,"Backlog"),"")</f>
        <v/>
      </c>
    </row>
    <row r="275" spans="1:13">
      <c r="A275" t="str">
        <f>IF(AND('Q42027'!B36&lt;&gt;"",'Q42027'!E36&lt;&gt;""),'Q42027'!E36,"")</f>
        <v/>
      </c>
      <c r="B275" t="str">
        <f>IF(AND('Q42027'!B36&lt;&gt;"",'Q42027'!E36&lt;&gt;""),'Q42027'!B36,"")</f>
        <v/>
      </c>
      <c r="C275" t="str">
        <f>IF(AND('Q42027'!B36&lt;&gt;"",'Q42027'!E36&lt;&gt;""),'Q42027'!C36,"")</f>
        <v/>
      </c>
      <c r="D275" t="str">
        <f>IF(AND('Q42027'!B36&lt;&gt;"",'Q42027'!E36&lt;&gt;""),'Q42027'!D36,"")</f>
        <v/>
      </c>
      <c r="E275" t="str">
        <f>IF(AND('Q42027'!B36&lt;&gt;"",'Q42027'!E36&lt;&gt;""),'Q42027'!H36,"")</f>
        <v/>
      </c>
      <c r="F275" t="str">
        <f>IF(AND('Q42027'!B36&lt;&gt;"",'Q42027'!E36&lt;&gt;""),'Q42027'!F36,"")</f>
        <v/>
      </c>
      <c r="G275" t="str">
        <f>IF(AND('Q42027'!B36&lt;&gt;"",'Q42027'!E36&lt;&gt;""),'Q42027'!G36,"")</f>
        <v/>
      </c>
      <c r="H275" t="str">
        <f>IF(AND('Q42027'!B36&lt;&gt;"",'Q42027'!E36&lt;&gt;""),"Q42027","")</f>
        <v/>
      </c>
      <c r="I275" t="str">
        <f>IF(A275="Q12027",COUNTIF($A$2:$A275,"Q12027"),"")</f>
        <v/>
      </c>
      <c r="J275" t="str">
        <f>IF(A275="Q22027",COUNTIF($A$2:$A275,"Q22027"),"")</f>
        <v/>
      </c>
      <c r="K275" t="str">
        <f>IF(A275="Q32027",COUNTIF($A$2:$A275,"Q32027"),"")</f>
        <v/>
      </c>
      <c r="L275" t="str">
        <f>IF(A275="Q42027",COUNTIF($A$2:$A275,"Q42027"),"")</f>
        <v/>
      </c>
      <c r="M275" t="str">
        <f>IF(A275="Backlog",COUNTIF($A$2:$A275,"Backlog"),"")</f>
        <v/>
      </c>
    </row>
    <row r="276" spans="1:13">
      <c r="A276" t="str">
        <f>IF(AND('Q42027'!B37&lt;&gt;"",'Q42027'!E37&lt;&gt;""),'Q42027'!E37,"")</f>
        <v/>
      </c>
      <c r="B276" t="str">
        <f>IF(AND('Q42027'!B37&lt;&gt;"",'Q42027'!E37&lt;&gt;""),'Q42027'!B37,"")</f>
        <v/>
      </c>
      <c r="C276" t="str">
        <f>IF(AND('Q42027'!B37&lt;&gt;"",'Q42027'!E37&lt;&gt;""),'Q42027'!C37,"")</f>
        <v/>
      </c>
      <c r="D276" t="str">
        <f>IF(AND('Q42027'!B37&lt;&gt;"",'Q42027'!E37&lt;&gt;""),'Q42027'!D37,"")</f>
        <v/>
      </c>
      <c r="E276" t="str">
        <f>IF(AND('Q42027'!B37&lt;&gt;"",'Q42027'!E37&lt;&gt;""),'Q42027'!H37,"")</f>
        <v/>
      </c>
      <c r="F276" t="str">
        <f>IF(AND('Q42027'!B37&lt;&gt;"",'Q42027'!E37&lt;&gt;""),'Q42027'!F37,"")</f>
        <v/>
      </c>
      <c r="G276" t="str">
        <f>IF(AND('Q42027'!B37&lt;&gt;"",'Q42027'!E37&lt;&gt;""),'Q42027'!G37,"")</f>
        <v/>
      </c>
      <c r="H276" t="str">
        <f>IF(AND('Q42027'!B37&lt;&gt;"",'Q42027'!E37&lt;&gt;""),"Q42027","")</f>
        <v/>
      </c>
      <c r="I276" t="str">
        <f>IF(A276="Q12027",COUNTIF($A$2:$A276,"Q12027"),"")</f>
        <v/>
      </c>
      <c r="J276" t="str">
        <f>IF(A276="Q22027",COUNTIF($A$2:$A276,"Q22027"),"")</f>
        <v/>
      </c>
      <c r="K276" t="str">
        <f>IF(A276="Q32027",COUNTIF($A$2:$A276,"Q32027"),"")</f>
        <v/>
      </c>
      <c r="L276" t="str">
        <f>IF(A276="Q42027",COUNTIF($A$2:$A276,"Q42027"),"")</f>
        <v/>
      </c>
      <c r="M276" t="str">
        <f>IF(A276="Backlog",COUNTIF($A$2:$A276,"Backlog"),"")</f>
        <v/>
      </c>
    </row>
    <row r="277" spans="1:13">
      <c r="A277" t="str">
        <f>IF(AND('Q42027'!B38&lt;&gt;"",'Q42027'!E38&lt;&gt;""),'Q42027'!E38,"")</f>
        <v/>
      </c>
      <c r="B277" t="str">
        <f>IF(AND('Q42027'!B38&lt;&gt;"",'Q42027'!E38&lt;&gt;""),'Q42027'!B38,"")</f>
        <v/>
      </c>
      <c r="C277" t="str">
        <f>IF(AND('Q42027'!B38&lt;&gt;"",'Q42027'!E38&lt;&gt;""),'Q42027'!C38,"")</f>
        <v/>
      </c>
      <c r="D277" t="str">
        <f>IF(AND('Q42027'!B38&lt;&gt;"",'Q42027'!E38&lt;&gt;""),'Q42027'!D38,"")</f>
        <v/>
      </c>
      <c r="E277" t="str">
        <f>IF(AND('Q42027'!B38&lt;&gt;"",'Q42027'!E38&lt;&gt;""),'Q42027'!H38,"")</f>
        <v/>
      </c>
      <c r="F277" t="str">
        <f>IF(AND('Q42027'!B38&lt;&gt;"",'Q42027'!E38&lt;&gt;""),'Q42027'!F38,"")</f>
        <v/>
      </c>
      <c r="G277" t="str">
        <f>IF(AND('Q42027'!B38&lt;&gt;"",'Q42027'!E38&lt;&gt;""),'Q42027'!G38,"")</f>
        <v/>
      </c>
      <c r="H277" t="str">
        <f>IF(AND('Q42027'!B38&lt;&gt;"",'Q42027'!E38&lt;&gt;""),"Q42027","")</f>
        <v/>
      </c>
      <c r="I277" t="str">
        <f>IF(A277="Q12027",COUNTIF($A$2:$A277,"Q12027"),"")</f>
        <v/>
      </c>
      <c r="J277" t="str">
        <f>IF(A277="Q22027",COUNTIF($A$2:$A277,"Q22027"),"")</f>
        <v/>
      </c>
      <c r="K277" t="str">
        <f>IF(A277="Q32027",COUNTIF($A$2:$A277,"Q32027"),"")</f>
        <v/>
      </c>
      <c r="L277" t="str">
        <f>IF(A277="Q42027",COUNTIF($A$2:$A277,"Q42027"),"")</f>
        <v/>
      </c>
      <c r="M277" t="str">
        <f>IF(A277="Backlog",COUNTIF($A$2:$A277,"Backlog"),"")</f>
        <v/>
      </c>
    </row>
    <row r="278" spans="1:13">
      <c r="A278" t="str">
        <f>IF(AND('Q42027'!B39&lt;&gt;"",'Q42027'!E39&lt;&gt;""),'Q42027'!E39,"")</f>
        <v/>
      </c>
      <c r="B278" t="str">
        <f>IF(AND('Q42027'!B39&lt;&gt;"",'Q42027'!E39&lt;&gt;""),'Q42027'!B39,"")</f>
        <v/>
      </c>
      <c r="C278" t="str">
        <f>IF(AND('Q42027'!B39&lt;&gt;"",'Q42027'!E39&lt;&gt;""),'Q42027'!C39,"")</f>
        <v/>
      </c>
      <c r="D278" t="str">
        <f>IF(AND('Q42027'!B39&lt;&gt;"",'Q42027'!E39&lt;&gt;""),'Q42027'!D39,"")</f>
        <v/>
      </c>
      <c r="E278" t="str">
        <f>IF(AND('Q42027'!B39&lt;&gt;"",'Q42027'!E39&lt;&gt;""),'Q42027'!H39,"")</f>
        <v/>
      </c>
      <c r="F278" t="str">
        <f>IF(AND('Q42027'!B39&lt;&gt;"",'Q42027'!E39&lt;&gt;""),'Q42027'!F39,"")</f>
        <v/>
      </c>
      <c r="G278" t="str">
        <f>IF(AND('Q42027'!B39&lt;&gt;"",'Q42027'!E39&lt;&gt;""),'Q42027'!G39,"")</f>
        <v/>
      </c>
      <c r="H278" t="str">
        <f>IF(AND('Q42027'!B39&lt;&gt;"",'Q42027'!E39&lt;&gt;""),"Q42027","")</f>
        <v/>
      </c>
      <c r="I278" t="str">
        <f>IF(A278="Q12027",COUNTIF($A$2:$A278,"Q12027"),"")</f>
        <v/>
      </c>
      <c r="J278" t="str">
        <f>IF(A278="Q22027",COUNTIF($A$2:$A278,"Q22027"),"")</f>
        <v/>
      </c>
      <c r="K278" t="str">
        <f>IF(A278="Q32027",COUNTIF($A$2:$A278,"Q32027"),"")</f>
        <v/>
      </c>
      <c r="L278" t="str">
        <f>IF(A278="Q42027",COUNTIF($A$2:$A278,"Q42027"),"")</f>
        <v/>
      </c>
      <c r="M278" t="str">
        <f>IF(A278="Backlog",COUNTIF($A$2:$A278,"Backlog"),"")</f>
        <v/>
      </c>
    </row>
    <row r="279" spans="1:13">
      <c r="A279" t="str">
        <f>IF(AND('Q42027'!B40&lt;&gt;"",'Q42027'!E40&lt;&gt;""),'Q42027'!E40,"")</f>
        <v/>
      </c>
      <c r="B279" t="str">
        <f>IF(AND('Q42027'!B40&lt;&gt;"",'Q42027'!E40&lt;&gt;""),'Q42027'!B40,"")</f>
        <v/>
      </c>
      <c r="C279" t="str">
        <f>IF(AND('Q42027'!B40&lt;&gt;"",'Q42027'!E40&lt;&gt;""),'Q42027'!C40,"")</f>
        <v/>
      </c>
      <c r="D279" t="str">
        <f>IF(AND('Q42027'!B40&lt;&gt;"",'Q42027'!E40&lt;&gt;""),'Q42027'!D40,"")</f>
        <v/>
      </c>
      <c r="E279" t="str">
        <f>IF(AND('Q42027'!B40&lt;&gt;"",'Q42027'!E40&lt;&gt;""),'Q42027'!H40,"")</f>
        <v/>
      </c>
      <c r="F279" t="str">
        <f>IF(AND('Q42027'!B40&lt;&gt;"",'Q42027'!E40&lt;&gt;""),'Q42027'!F40,"")</f>
        <v/>
      </c>
      <c r="G279" t="str">
        <f>IF(AND('Q42027'!B40&lt;&gt;"",'Q42027'!E40&lt;&gt;""),'Q42027'!G40,"")</f>
        <v/>
      </c>
      <c r="H279" t="str">
        <f>IF(AND('Q42027'!B40&lt;&gt;"",'Q42027'!E40&lt;&gt;""),"Q42027","")</f>
        <v/>
      </c>
      <c r="I279" t="str">
        <f>IF(A279="Q12027",COUNTIF($A$2:$A279,"Q12027"),"")</f>
        <v/>
      </c>
      <c r="J279" t="str">
        <f>IF(A279="Q22027",COUNTIF($A$2:$A279,"Q22027"),"")</f>
        <v/>
      </c>
      <c r="K279" t="str">
        <f>IF(A279="Q32027",COUNTIF($A$2:$A279,"Q32027"),"")</f>
        <v/>
      </c>
      <c r="L279" t="str">
        <f>IF(A279="Q42027",COUNTIF($A$2:$A279,"Q42027"),"")</f>
        <v/>
      </c>
      <c r="M279" t="str">
        <f>IF(A279="Backlog",COUNTIF($A$2:$A279,"Backlog"),"")</f>
        <v/>
      </c>
    </row>
    <row r="280" spans="1:13">
      <c r="A280" t="str">
        <f>IF(AND('Q42027'!B41&lt;&gt;"",'Q42027'!E41&lt;&gt;""),'Q42027'!E41,"")</f>
        <v/>
      </c>
      <c r="B280" t="str">
        <f>IF(AND('Q42027'!B41&lt;&gt;"",'Q42027'!E41&lt;&gt;""),'Q42027'!B41,"")</f>
        <v/>
      </c>
      <c r="C280" t="str">
        <f>IF(AND('Q42027'!B41&lt;&gt;"",'Q42027'!E41&lt;&gt;""),'Q42027'!C41,"")</f>
        <v/>
      </c>
      <c r="D280" t="str">
        <f>IF(AND('Q42027'!B41&lt;&gt;"",'Q42027'!E41&lt;&gt;""),'Q42027'!D41,"")</f>
        <v/>
      </c>
      <c r="E280" t="str">
        <f>IF(AND('Q42027'!B41&lt;&gt;"",'Q42027'!E41&lt;&gt;""),'Q42027'!H41,"")</f>
        <v/>
      </c>
      <c r="F280" t="str">
        <f>IF(AND('Q42027'!B41&lt;&gt;"",'Q42027'!E41&lt;&gt;""),'Q42027'!F41,"")</f>
        <v/>
      </c>
      <c r="G280" t="str">
        <f>IF(AND('Q42027'!B41&lt;&gt;"",'Q42027'!E41&lt;&gt;""),'Q42027'!G41,"")</f>
        <v/>
      </c>
      <c r="H280" t="str">
        <f>IF(AND('Q42027'!B41&lt;&gt;"",'Q42027'!E41&lt;&gt;""),"Q42027","")</f>
        <v/>
      </c>
      <c r="I280" t="str">
        <f>IF(A280="Q12027",COUNTIF($A$2:$A280,"Q12027"),"")</f>
        <v/>
      </c>
      <c r="J280" t="str">
        <f>IF(A280="Q22027",COUNTIF($A$2:$A280,"Q22027"),"")</f>
        <v/>
      </c>
      <c r="K280" t="str">
        <f>IF(A280="Q32027",COUNTIF($A$2:$A280,"Q32027"),"")</f>
        <v/>
      </c>
      <c r="L280" t="str">
        <f>IF(A280="Q42027",COUNTIF($A$2:$A280,"Q42027"),"")</f>
        <v/>
      </c>
      <c r="M280" t="str">
        <f>IF(A280="Backlog",COUNTIF($A$2:$A280,"Backlog"),"")</f>
        <v/>
      </c>
    </row>
    <row r="281" spans="1:13">
      <c r="A281" t="str">
        <f>IF(AND('Q42027'!B42&lt;&gt;"",'Q42027'!E42&lt;&gt;""),'Q42027'!E42,"")</f>
        <v/>
      </c>
      <c r="B281" t="str">
        <f>IF(AND('Q42027'!B42&lt;&gt;"",'Q42027'!E42&lt;&gt;""),'Q42027'!B42,"")</f>
        <v/>
      </c>
      <c r="C281" t="str">
        <f>IF(AND('Q42027'!B42&lt;&gt;"",'Q42027'!E42&lt;&gt;""),'Q42027'!C42,"")</f>
        <v/>
      </c>
      <c r="D281" t="str">
        <f>IF(AND('Q42027'!B42&lt;&gt;"",'Q42027'!E42&lt;&gt;""),'Q42027'!D42,"")</f>
        <v/>
      </c>
      <c r="E281" t="str">
        <f>IF(AND('Q42027'!B42&lt;&gt;"",'Q42027'!E42&lt;&gt;""),'Q42027'!H42,"")</f>
        <v/>
      </c>
      <c r="F281" t="str">
        <f>IF(AND('Q42027'!B42&lt;&gt;"",'Q42027'!E42&lt;&gt;""),'Q42027'!F42,"")</f>
        <v/>
      </c>
      <c r="G281" t="str">
        <f>IF(AND('Q42027'!B42&lt;&gt;"",'Q42027'!E42&lt;&gt;""),'Q42027'!G42,"")</f>
        <v/>
      </c>
      <c r="H281" t="str">
        <f>IF(AND('Q42027'!B42&lt;&gt;"",'Q42027'!E42&lt;&gt;""),"Q42027","")</f>
        <v/>
      </c>
      <c r="I281" t="str">
        <f>IF(A281="Q12027",COUNTIF($A$2:$A281,"Q12027"),"")</f>
        <v/>
      </c>
      <c r="J281" t="str">
        <f>IF(A281="Q22027",COUNTIF($A$2:$A281,"Q22027"),"")</f>
        <v/>
      </c>
      <c r="K281" t="str">
        <f>IF(A281="Q32027",COUNTIF($A$2:$A281,"Q32027"),"")</f>
        <v/>
      </c>
      <c r="L281" t="str">
        <f>IF(A281="Q42027",COUNTIF($A$2:$A281,"Q42027"),"")</f>
        <v/>
      </c>
      <c r="M281" t="str">
        <f>IF(A281="Backlog",COUNTIF($A$2:$A281,"Backlog"),"")</f>
        <v/>
      </c>
    </row>
    <row r="282" spans="1:13">
      <c r="A282" t="str">
        <f>IF(AND('Q42027'!B43&lt;&gt;"",'Q42027'!E43&lt;&gt;""),'Q42027'!E43,"")</f>
        <v/>
      </c>
      <c r="B282" t="str">
        <f>IF(AND('Q42027'!B43&lt;&gt;"",'Q42027'!E43&lt;&gt;""),'Q42027'!B43,"")</f>
        <v/>
      </c>
      <c r="C282" t="str">
        <f>IF(AND('Q42027'!B43&lt;&gt;"",'Q42027'!E43&lt;&gt;""),'Q42027'!C43,"")</f>
        <v/>
      </c>
      <c r="D282" t="str">
        <f>IF(AND('Q42027'!B43&lt;&gt;"",'Q42027'!E43&lt;&gt;""),'Q42027'!D43,"")</f>
        <v/>
      </c>
      <c r="E282" t="str">
        <f>IF(AND('Q42027'!B43&lt;&gt;"",'Q42027'!E43&lt;&gt;""),'Q42027'!H43,"")</f>
        <v/>
      </c>
      <c r="F282" t="str">
        <f>IF(AND('Q42027'!B43&lt;&gt;"",'Q42027'!E43&lt;&gt;""),'Q42027'!F43,"")</f>
        <v/>
      </c>
      <c r="G282" t="str">
        <f>IF(AND('Q42027'!B43&lt;&gt;"",'Q42027'!E43&lt;&gt;""),'Q42027'!G43,"")</f>
        <v/>
      </c>
      <c r="H282" t="str">
        <f>IF(AND('Q42027'!B43&lt;&gt;"",'Q42027'!E43&lt;&gt;""),"Q42027","")</f>
        <v/>
      </c>
      <c r="I282" t="str">
        <f>IF(A282="Q12027",COUNTIF($A$2:$A282,"Q12027"),"")</f>
        <v/>
      </c>
      <c r="J282" t="str">
        <f>IF(A282="Q22027",COUNTIF($A$2:$A282,"Q22027"),"")</f>
        <v/>
      </c>
      <c r="K282" t="str">
        <f>IF(A282="Q32027",COUNTIF($A$2:$A282,"Q32027"),"")</f>
        <v/>
      </c>
      <c r="L282" t="str">
        <f>IF(A282="Q42027",COUNTIF($A$2:$A282,"Q42027"),"")</f>
        <v/>
      </c>
      <c r="M282" t="str">
        <f>IF(A282="Backlog",COUNTIF($A$2:$A282,"Backlog"),"")</f>
        <v/>
      </c>
    </row>
    <row r="283" spans="1:13">
      <c r="A283" t="str">
        <f>IF(AND('Q42027'!B44&lt;&gt;"",'Q42027'!E44&lt;&gt;""),'Q42027'!E44,"")</f>
        <v/>
      </c>
      <c r="B283" t="str">
        <f>IF(AND('Q42027'!B44&lt;&gt;"",'Q42027'!E44&lt;&gt;""),'Q42027'!B44,"")</f>
        <v/>
      </c>
      <c r="C283" t="str">
        <f>IF(AND('Q42027'!B44&lt;&gt;"",'Q42027'!E44&lt;&gt;""),'Q42027'!C44,"")</f>
        <v/>
      </c>
      <c r="D283" t="str">
        <f>IF(AND('Q42027'!B44&lt;&gt;"",'Q42027'!E44&lt;&gt;""),'Q42027'!D44,"")</f>
        <v/>
      </c>
      <c r="E283" t="str">
        <f>IF(AND('Q42027'!B44&lt;&gt;"",'Q42027'!E44&lt;&gt;""),'Q42027'!H44,"")</f>
        <v/>
      </c>
      <c r="F283" t="str">
        <f>IF(AND('Q42027'!B44&lt;&gt;"",'Q42027'!E44&lt;&gt;""),'Q42027'!F44,"")</f>
        <v/>
      </c>
      <c r="G283" t="str">
        <f>IF(AND('Q42027'!B44&lt;&gt;"",'Q42027'!E44&lt;&gt;""),'Q42027'!G44,"")</f>
        <v/>
      </c>
      <c r="H283" t="str">
        <f>IF(AND('Q42027'!B44&lt;&gt;"",'Q42027'!E44&lt;&gt;""),"Q42027","")</f>
        <v/>
      </c>
      <c r="I283" t="str">
        <f>IF(A283="Q12027",COUNTIF($A$2:$A283,"Q12027"),"")</f>
        <v/>
      </c>
      <c r="J283" t="str">
        <f>IF(A283="Q22027",COUNTIF($A$2:$A283,"Q22027"),"")</f>
        <v/>
      </c>
      <c r="K283" t="str">
        <f>IF(A283="Q32027",COUNTIF($A$2:$A283,"Q32027"),"")</f>
        <v/>
      </c>
      <c r="L283" t="str">
        <f>IF(A283="Q42027",COUNTIF($A$2:$A283,"Q42027"),"")</f>
        <v/>
      </c>
      <c r="M283" t="str">
        <f>IF(A283="Backlog",COUNTIF($A$2:$A283,"Backlog"),"")</f>
        <v/>
      </c>
    </row>
    <row r="284" spans="1:13">
      <c r="A284" t="str">
        <f>IF(AND('Q42027'!B45&lt;&gt;"",'Q42027'!E45&lt;&gt;""),'Q42027'!E45,"")</f>
        <v/>
      </c>
      <c r="B284" t="str">
        <f>IF(AND('Q42027'!B45&lt;&gt;"",'Q42027'!E45&lt;&gt;""),'Q42027'!B45,"")</f>
        <v/>
      </c>
      <c r="C284" t="str">
        <f>IF(AND('Q42027'!B45&lt;&gt;"",'Q42027'!E45&lt;&gt;""),'Q42027'!C45,"")</f>
        <v/>
      </c>
      <c r="D284" t="str">
        <f>IF(AND('Q42027'!B45&lt;&gt;"",'Q42027'!E45&lt;&gt;""),'Q42027'!D45,"")</f>
        <v/>
      </c>
      <c r="E284" t="str">
        <f>IF(AND('Q42027'!B45&lt;&gt;"",'Q42027'!E45&lt;&gt;""),'Q42027'!H45,"")</f>
        <v/>
      </c>
      <c r="F284" t="str">
        <f>IF(AND('Q42027'!B45&lt;&gt;"",'Q42027'!E45&lt;&gt;""),'Q42027'!F45,"")</f>
        <v/>
      </c>
      <c r="G284" t="str">
        <f>IF(AND('Q42027'!B45&lt;&gt;"",'Q42027'!E45&lt;&gt;""),'Q42027'!G45,"")</f>
        <v/>
      </c>
      <c r="H284" t="str">
        <f>IF(AND('Q42027'!B45&lt;&gt;"",'Q42027'!E45&lt;&gt;""),"Q42027","")</f>
        <v/>
      </c>
      <c r="I284" t="str">
        <f>IF(A284="Q12027",COUNTIF($A$2:$A284,"Q12027"),"")</f>
        <v/>
      </c>
      <c r="J284" t="str">
        <f>IF(A284="Q22027",COUNTIF($A$2:$A284,"Q22027"),"")</f>
        <v/>
      </c>
      <c r="K284" t="str">
        <f>IF(A284="Q32027",COUNTIF($A$2:$A284,"Q32027"),"")</f>
        <v/>
      </c>
      <c r="L284" t="str">
        <f>IF(A284="Q42027",COUNTIF($A$2:$A284,"Q42027"),"")</f>
        <v/>
      </c>
      <c r="M284" t="str">
        <f>IF(A284="Backlog",COUNTIF($A$2:$A284,"Backlog"),"")</f>
        <v/>
      </c>
    </row>
    <row r="285" spans="1:13">
      <c r="A285" t="str">
        <f>IF(AND('Q42027'!B46&lt;&gt;"",'Q42027'!E46&lt;&gt;""),'Q42027'!E46,"")</f>
        <v/>
      </c>
      <c r="B285" t="str">
        <f>IF(AND('Q42027'!B46&lt;&gt;"",'Q42027'!E46&lt;&gt;""),'Q42027'!B46,"")</f>
        <v/>
      </c>
      <c r="C285" t="str">
        <f>IF(AND('Q42027'!B46&lt;&gt;"",'Q42027'!E46&lt;&gt;""),'Q42027'!C46,"")</f>
        <v/>
      </c>
      <c r="D285" t="str">
        <f>IF(AND('Q42027'!B46&lt;&gt;"",'Q42027'!E46&lt;&gt;""),'Q42027'!D46,"")</f>
        <v/>
      </c>
      <c r="E285" t="str">
        <f>IF(AND('Q42027'!B46&lt;&gt;"",'Q42027'!E46&lt;&gt;""),'Q42027'!H46,"")</f>
        <v/>
      </c>
      <c r="F285" t="str">
        <f>IF(AND('Q42027'!B46&lt;&gt;"",'Q42027'!E46&lt;&gt;""),'Q42027'!F46,"")</f>
        <v/>
      </c>
      <c r="G285" t="str">
        <f>IF(AND('Q42027'!B46&lt;&gt;"",'Q42027'!E46&lt;&gt;""),'Q42027'!G46,"")</f>
        <v/>
      </c>
      <c r="H285" t="str">
        <f>IF(AND('Q42027'!B46&lt;&gt;"",'Q42027'!E46&lt;&gt;""),"Q42027","")</f>
        <v/>
      </c>
      <c r="I285" t="str">
        <f>IF(A285="Q12027",COUNTIF($A$2:$A285,"Q12027"),"")</f>
        <v/>
      </c>
      <c r="J285" t="str">
        <f>IF(A285="Q22027",COUNTIF($A$2:$A285,"Q22027"),"")</f>
        <v/>
      </c>
      <c r="K285" t="str">
        <f>IF(A285="Q32027",COUNTIF($A$2:$A285,"Q32027"),"")</f>
        <v/>
      </c>
      <c r="L285" t="str">
        <f>IF(A285="Q42027",COUNTIF($A$2:$A285,"Q42027"),"")</f>
        <v/>
      </c>
      <c r="M285" t="str">
        <f>IF(A285="Backlog",COUNTIF($A$2:$A285,"Backlog"),"")</f>
        <v/>
      </c>
    </row>
    <row r="286" spans="1:13">
      <c r="A286" t="str">
        <f>IF(AND('Q42027'!B47&lt;&gt;"",'Q42027'!E47&lt;&gt;""),'Q42027'!E47,"")</f>
        <v/>
      </c>
      <c r="B286" t="str">
        <f>IF(AND('Q42027'!B47&lt;&gt;"",'Q42027'!E47&lt;&gt;""),'Q42027'!B47,"")</f>
        <v/>
      </c>
      <c r="C286" t="str">
        <f>IF(AND('Q42027'!B47&lt;&gt;"",'Q42027'!E47&lt;&gt;""),'Q42027'!C47,"")</f>
        <v/>
      </c>
      <c r="D286" t="str">
        <f>IF(AND('Q42027'!B47&lt;&gt;"",'Q42027'!E47&lt;&gt;""),'Q42027'!D47,"")</f>
        <v/>
      </c>
      <c r="E286" t="str">
        <f>IF(AND('Q42027'!B47&lt;&gt;"",'Q42027'!E47&lt;&gt;""),'Q42027'!H47,"")</f>
        <v/>
      </c>
      <c r="F286" t="str">
        <f>IF(AND('Q42027'!B47&lt;&gt;"",'Q42027'!E47&lt;&gt;""),'Q42027'!F47,"")</f>
        <v/>
      </c>
      <c r="G286" t="str">
        <f>IF(AND('Q42027'!B47&lt;&gt;"",'Q42027'!E47&lt;&gt;""),'Q42027'!G47,"")</f>
        <v/>
      </c>
      <c r="H286" t="str">
        <f>IF(AND('Q42027'!B47&lt;&gt;"",'Q42027'!E47&lt;&gt;""),"Q42027","")</f>
        <v/>
      </c>
      <c r="I286" t="str">
        <f>IF(A286="Q12027",COUNTIF($A$2:$A286,"Q12027"),"")</f>
        <v/>
      </c>
      <c r="J286" t="str">
        <f>IF(A286="Q22027",COUNTIF($A$2:$A286,"Q22027"),"")</f>
        <v/>
      </c>
      <c r="K286" t="str">
        <f>IF(A286="Q32027",COUNTIF($A$2:$A286,"Q32027"),"")</f>
        <v/>
      </c>
      <c r="L286" t="str">
        <f>IF(A286="Q42027",COUNTIF($A$2:$A286,"Q42027"),"")</f>
        <v/>
      </c>
      <c r="M286" t="str">
        <f>IF(A286="Backlog",COUNTIF($A$2:$A286,"Backlog"),"")</f>
        <v/>
      </c>
    </row>
    <row r="287" spans="1:13">
      <c r="A287" t="str">
        <f>IF(AND('Q42027'!B48&lt;&gt;"",'Q42027'!E48&lt;&gt;""),'Q42027'!E48,"")</f>
        <v/>
      </c>
      <c r="B287" t="str">
        <f>IF(AND('Q42027'!B48&lt;&gt;"",'Q42027'!E48&lt;&gt;""),'Q42027'!B48,"")</f>
        <v/>
      </c>
      <c r="C287" t="str">
        <f>IF(AND('Q42027'!B48&lt;&gt;"",'Q42027'!E48&lt;&gt;""),'Q42027'!C48,"")</f>
        <v/>
      </c>
      <c r="D287" t="str">
        <f>IF(AND('Q42027'!B48&lt;&gt;"",'Q42027'!E48&lt;&gt;""),'Q42027'!D48,"")</f>
        <v/>
      </c>
      <c r="E287" t="str">
        <f>IF(AND('Q42027'!B48&lt;&gt;"",'Q42027'!E48&lt;&gt;""),'Q42027'!H48,"")</f>
        <v/>
      </c>
      <c r="F287" t="str">
        <f>IF(AND('Q42027'!B48&lt;&gt;"",'Q42027'!E48&lt;&gt;""),'Q42027'!F48,"")</f>
        <v/>
      </c>
      <c r="G287" t="str">
        <f>IF(AND('Q42027'!B48&lt;&gt;"",'Q42027'!E48&lt;&gt;""),'Q42027'!G48,"")</f>
        <v/>
      </c>
      <c r="H287" t="str">
        <f>IF(AND('Q42027'!B48&lt;&gt;"",'Q42027'!E48&lt;&gt;""),"Q42027","")</f>
        <v/>
      </c>
      <c r="I287" t="str">
        <f>IF(A287="Q12027",COUNTIF($A$2:$A287,"Q12027"),"")</f>
        <v/>
      </c>
      <c r="J287" t="str">
        <f>IF(A287="Q22027",COUNTIF($A$2:$A287,"Q22027"),"")</f>
        <v/>
      </c>
      <c r="K287" t="str">
        <f>IF(A287="Q32027",COUNTIF($A$2:$A287,"Q32027"),"")</f>
        <v/>
      </c>
      <c r="L287" t="str">
        <f>IF(A287="Q42027",COUNTIF($A$2:$A287,"Q42027"),"")</f>
        <v/>
      </c>
      <c r="M287" t="str">
        <f>IF(A287="Backlog",COUNTIF($A$2:$A287,"Backlog"),"")</f>
        <v/>
      </c>
    </row>
    <row r="288" spans="1:13">
      <c r="A288" t="str">
        <f>IF(AND('Q42027'!B49&lt;&gt;"",'Q42027'!E49&lt;&gt;""),'Q42027'!E49,"")</f>
        <v/>
      </c>
      <c r="B288" t="str">
        <f>IF(AND('Q42027'!B49&lt;&gt;"",'Q42027'!E49&lt;&gt;""),'Q42027'!B49,"")</f>
        <v/>
      </c>
      <c r="C288" t="str">
        <f>IF(AND('Q42027'!B49&lt;&gt;"",'Q42027'!E49&lt;&gt;""),'Q42027'!C49,"")</f>
        <v/>
      </c>
      <c r="D288" t="str">
        <f>IF(AND('Q42027'!B49&lt;&gt;"",'Q42027'!E49&lt;&gt;""),'Q42027'!D49,"")</f>
        <v/>
      </c>
      <c r="E288" t="str">
        <f>IF(AND('Q42027'!B49&lt;&gt;"",'Q42027'!E49&lt;&gt;""),'Q42027'!H49,"")</f>
        <v/>
      </c>
      <c r="F288" t="str">
        <f>IF(AND('Q42027'!B49&lt;&gt;"",'Q42027'!E49&lt;&gt;""),'Q42027'!F49,"")</f>
        <v/>
      </c>
      <c r="G288" t="str">
        <f>IF(AND('Q42027'!B49&lt;&gt;"",'Q42027'!E49&lt;&gt;""),'Q42027'!G49,"")</f>
        <v/>
      </c>
      <c r="H288" t="str">
        <f>IF(AND('Q42027'!B49&lt;&gt;"",'Q42027'!E49&lt;&gt;""),"Q42027","")</f>
        <v/>
      </c>
      <c r="I288" t="str">
        <f>IF(A288="Q12027",COUNTIF($A$2:$A288,"Q12027"),"")</f>
        <v/>
      </c>
      <c r="J288" t="str">
        <f>IF(A288="Q22027",COUNTIF($A$2:$A288,"Q22027"),"")</f>
        <v/>
      </c>
      <c r="K288" t="str">
        <f>IF(A288="Q32027",COUNTIF($A$2:$A288,"Q32027"),"")</f>
        <v/>
      </c>
      <c r="L288" t="str">
        <f>IF(A288="Q42027",COUNTIF($A$2:$A288,"Q42027"),"")</f>
        <v/>
      </c>
      <c r="M288" t="str">
        <f>IF(A288="Backlog",COUNTIF($A$2:$A288,"Backlog"),"")</f>
        <v/>
      </c>
    </row>
    <row r="289" spans="1:13">
      <c r="A289" t="str">
        <f>IF(AND('Q42027'!B50&lt;&gt;"",'Q42027'!E50&lt;&gt;""),'Q42027'!E50,"")</f>
        <v/>
      </c>
      <c r="B289" t="str">
        <f>IF(AND('Q42027'!B50&lt;&gt;"",'Q42027'!E50&lt;&gt;""),'Q42027'!B50,"")</f>
        <v/>
      </c>
      <c r="C289" t="str">
        <f>IF(AND('Q42027'!B50&lt;&gt;"",'Q42027'!E50&lt;&gt;""),'Q42027'!C50,"")</f>
        <v/>
      </c>
      <c r="D289" t="str">
        <f>IF(AND('Q42027'!B50&lt;&gt;"",'Q42027'!E50&lt;&gt;""),'Q42027'!D50,"")</f>
        <v/>
      </c>
      <c r="E289" t="str">
        <f>IF(AND('Q42027'!B50&lt;&gt;"",'Q42027'!E50&lt;&gt;""),'Q42027'!H50,"")</f>
        <v/>
      </c>
      <c r="F289" t="str">
        <f>IF(AND('Q42027'!B50&lt;&gt;"",'Q42027'!E50&lt;&gt;""),'Q42027'!F50,"")</f>
        <v/>
      </c>
      <c r="G289" t="str">
        <f>IF(AND('Q42027'!B50&lt;&gt;"",'Q42027'!E50&lt;&gt;""),'Q42027'!G50,"")</f>
        <v/>
      </c>
      <c r="H289" t="str">
        <f>IF(AND('Q42027'!B50&lt;&gt;"",'Q42027'!E50&lt;&gt;""),"Q42027","")</f>
        <v/>
      </c>
      <c r="I289" t="str">
        <f>IF(A289="Q12027",COUNTIF($A$2:$A289,"Q12027"),"")</f>
        <v/>
      </c>
      <c r="J289" t="str">
        <f>IF(A289="Q22027",COUNTIF($A$2:$A289,"Q22027"),"")</f>
        <v/>
      </c>
      <c r="K289" t="str">
        <f>IF(A289="Q32027",COUNTIF($A$2:$A289,"Q32027"),"")</f>
        <v/>
      </c>
      <c r="L289" t="str">
        <f>IF(A289="Q42027",COUNTIF($A$2:$A289,"Q42027"),"")</f>
        <v/>
      </c>
      <c r="M289" t="str">
        <f>IF(A289="Backlog",COUNTIF($A$2:$A289,"Backlog"),"")</f>
        <v/>
      </c>
    </row>
    <row r="290" spans="1:13">
      <c r="A290" t="str">
        <f>IF(AND('Q42027'!B51&lt;&gt;"",'Q42027'!E51&lt;&gt;""),'Q42027'!E51,"")</f>
        <v/>
      </c>
      <c r="B290" t="str">
        <f>IF(AND('Q42027'!B51&lt;&gt;"",'Q42027'!E51&lt;&gt;""),'Q42027'!B51,"")</f>
        <v/>
      </c>
      <c r="C290" t="str">
        <f>IF(AND('Q42027'!B51&lt;&gt;"",'Q42027'!E51&lt;&gt;""),'Q42027'!C51,"")</f>
        <v/>
      </c>
      <c r="D290" t="str">
        <f>IF(AND('Q42027'!B51&lt;&gt;"",'Q42027'!E51&lt;&gt;""),'Q42027'!D51,"")</f>
        <v/>
      </c>
      <c r="E290" t="str">
        <f>IF(AND('Q42027'!B51&lt;&gt;"",'Q42027'!E51&lt;&gt;""),'Q42027'!H51,"")</f>
        <v/>
      </c>
      <c r="F290" t="str">
        <f>IF(AND('Q42027'!B51&lt;&gt;"",'Q42027'!E51&lt;&gt;""),'Q42027'!F51,"")</f>
        <v/>
      </c>
      <c r="G290" t="str">
        <f>IF(AND('Q42027'!B51&lt;&gt;"",'Q42027'!E51&lt;&gt;""),'Q42027'!G51,"")</f>
        <v/>
      </c>
      <c r="H290" t="str">
        <f>IF(AND('Q42027'!B51&lt;&gt;"",'Q42027'!E51&lt;&gt;""),"Q42027","")</f>
        <v/>
      </c>
      <c r="I290" t="str">
        <f>IF(A290="Q12027",COUNTIF($A$2:$A290,"Q12027"),"")</f>
        <v/>
      </c>
      <c r="J290" t="str">
        <f>IF(A290="Q22027",COUNTIF($A$2:$A290,"Q22027"),"")</f>
        <v/>
      </c>
      <c r="K290" t="str">
        <f>IF(A290="Q32027",COUNTIF($A$2:$A290,"Q32027"),"")</f>
        <v/>
      </c>
      <c r="L290" t="str">
        <f>IF(A290="Q42027",COUNTIF($A$2:$A290,"Q42027"),"")</f>
        <v/>
      </c>
      <c r="M290" t="str">
        <f>IF(A290="Backlog",COUNTIF($A$2:$A290,"Backlog"),"")</f>
        <v/>
      </c>
    </row>
    <row r="291" spans="1:13">
      <c r="A291" t="str">
        <f>IF(AND('Q42027'!B52&lt;&gt;"",'Q42027'!E52&lt;&gt;""),'Q42027'!E52,"")</f>
        <v/>
      </c>
      <c r="B291" t="str">
        <f>IF(AND('Q42027'!B52&lt;&gt;"",'Q42027'!E52&lt;&gt;""),'Q42027'!B52,"")</f>
        <v/>
      </c>
      <c r="C291" t="str">
        <f>IF(AND('Q42027'!B52&lt;&gt;"",'Q42027'!E52&lt;&gt;""),'Q42027'!C52,"")</f>
        <v/>
      </c>
      <c r="D291" t="str">
        <f>IF(AND('Q42027'!B52&lt;&gt;"",'Q42027'!E52&lt;&gt;""),'Q42027'!D52,"")</f>
        <v/>
      </c>
      <c r="E291" t="str">
        <f>IF(AND('Q42027'!B52&lt;&gt;"",'Q42027'!E52&lt;&gt;""),'Q42027'!H52,"")</f>
        <v/>
      </c>
      <c r="F291" t="str">
        <f>IF(AND('Q42027'!B52&lt;&gt;"",'Q42027'!E52&lt;&gt;""),'Q42027'!F52,"")</f>
        <v/>
      </c>
      <c r="G291" t="str">
        <f>IF(AND('Q42027'!B52&lt;&gt;"",'Q42027'!E52&lt;&gt;""),'Q42027'!G52,"")</f>
        <v/>
      </c>
      <c r="H291" t="str">
        <f>IF(AND('Q42027'!B52&lt;&gt;"",'Q42027'!E52&lt;&gt;""),"Q42027","")</f>
        <v/>
      </c>
      <c r="I291" t="str">
        <f>IF(A291="Q12027",COUNTIF($A$2:$A291,"Q12027"),"")</f>
        <v/>
      </c>
      <c r="J291" t="str">
        <f>IF(A291="Q22027",COUNTIF($A$2:$A291,"Q22027"),"")</f>
        <v/>
      </c>
      <c r="K291" t="str">
        <f>IF(A291="Q32027",COUNTIF($A$2:$A291,"Q32027"),"")</f>
        <v/>
      </c>
      <c r="L291" t="str">
        <f>IF(A291="Q42027",COUNTIF($A$2:$A291,"Q42027"),"")</f>
        <v/>
      </c>
      <c r="M291" t="str">
        <f>IF(A291="Backlog",COUNTIF($A$2:$A291,"Backlog"),"")</f>
        <v/>
      </c>
    </row>
    <row r="292" spans="1:13">
      <c r="A292" t="str">
        <f>IF(AND('Q42027'!B53&lt;&gt;"",'Q42027'!E53&lt;&gt;""),'Q42027'!E53,"")</f>
        <v/>
      </c>
      <c r="B292" t="str">
        <f>IF(AND('Q42027'!B53&lt;&gt;"",'Q42027'!E53&lt;&gt;""),'Q42027'!B53,"")</f>
        <v/>
      </c>
      <c r="C292" t="str">
        <f>IF(AND('Q42027'!B53&lt;&gt;"",'Q42027'!E53&lt;&gt;""),'Q42027'!C53,"")</f>
        <v/>
      </c>
      <c r="D292" t="str">
        <f>IF(AND('Q42027'!B53&lt;&gt;"",'Q42027'!E53&lt;&gt;""),'Q42027'!D53,"")</f>
        <v/>
      </c>
      <c r="E292" t="str">
        <f>IF(AND('Q42027'!B53&lt;&gt;"",'Q42027'!E53&lt;&gt;""),'Q42027'!H53,"")</f>
        <v/>
      </c>
      <c r="F292" t="str">
        <f>IF(AND('Q42027'!B53&lt;&gt;"",'Q42027'!E53&lt;&gt;""),'Q42027'!F53,"")</f>
        <v/>
      </c>
      <c r="G292" t="str">
        <f>IF(AND('Q42027'!B53&lt;&gt;"",'Q42027'!E53&lt;&gt;""),'Q42027'!G53,"")</f>
        <v/>
      </c>
      <c r="H292" t="str">
        <f>IF(AND('Q42027'!B53&lt;&gt;"",'Q42027'!E53&lt;&gt;""),"Q42027","")</f>
        <v/>
      </c>
      <c r="I292" t="str">
        <f>IF(A292="Q12027",COUNTIF($A$2:$A292,"Q12027"),"")</f>
        <v/>
      </c>
      <c r="J292" t="str">
        <f>IF(A292="Q22027",COUNTIF($A$2:$A292,"Q22027"),"")</f>
        <v/>
      </c>
      <c r="K292" t="str">
        <f>IF(A292="Q32027",COUNTIF($A$2:$A292,"Q32027"),"")</f>
        <v/>
      </c>
      <c r="L292" t="str">
        <f>IF(A292="Q42027",COUNTIF($A$2:$A292,"Q42027"),"")</f>
        <v/>
      </c>
      <c r="M292" t="str">
        <f>IF(A292="Backlog",COUNTIF($A$2:$A292,"Backlog"),"")</f>
        <v/>
      </c>
    </row>
    <row r="293" spans="1:13">
      <c r="A293" t="str">
        <f>IF(AND('Q42027'!B54&lt;&gt;"",'Q42027'!E54&lt;&gt;""),'Q42027'!E54,"")</f>
        <v/>
      </c>
      <c r="B293" t="str">
        <f>IF(AND('Q42027'!B54&lt;&gt;"",'Q42027'!E54&lt;&gt;""),'Q42027'!B54,"")</f>
        <v/>
      </c>
      <c r="C293" t="str">
        <f>IF(AND('Q42027'!B54&lt;&gt;"",'Q42027'!E54&lt;&gt;""),'Q42027'!C54,"")</f>
        <v/>
      </c>
      <c r="D293" t="str">
        <f>IF(AND('Q42027'!B54&lt;&gt;"",'Q42027'!E54&lt;&gt;""),'Q42027'!D54,"")</f>
        <v/>
      </c>
      <c r="E293" t="str">
        <f>IF(AND('Q42027'!B54&lt;&gt;"",'Q42027'!E54&lt;&gt;""),'Q42027'!H54,"")</f>
        <v/>
      </c>
      <c r="F293" t="str">
        <f>IF(AND('Q42027'!B54&lt;&gt;"",'Q42027'!E54&lt;&gt;""),'Q42027'!F54,"")</f>
        <v/>
      </c>
      <c r="G293" t="str">
        <f>IF(AND('Q42027'!B54&lt;&gt;"",'Q42027'!E54&lt;&gt;""),'Q42027'!G54,"")</f>
        <v/>
      </c>
      <c r="H293" t="str">
        <f>IF(AND('Q42027'!B54&lt;&gt;"",'Q42027'!E54&lt;&gt;""),"Q42027","")</f>
        <v/>
      </c>
      <c r="I293" t="str">
        <f>IF(A293="Q12027",COUNTIF($A$2:$A293,"Q12027"),"")</f>
        <v/>
      </c>
      <c r="J293" t="str">
        <f>IF(A293="Q22027",COUNTIF($A$2:$A293,"Q22027"),"")</f>
        <v/>
      </c>
      <c r="K293" t="str">
        <f>IF(A293="Q32027",COUNTIF($A$2:$A293,"Q32027"),"")</f>
        <v/>
      </c>
      <c r="L293" t="str">
        <f>IF(A293="Q42027",COUNTIF($A$2:$A293,"Q42027"),"")</f>
        <v/>
      </c>
      <c r="M293" t="str">
        <f>IF(A293="Backlog",COUNTIF($A$2:$A293,"Backlog"),"")</f>
        <v/>
      </c>
    </row>
    <row r="294" spans="1:13">
      <c r="A294" t="str">
        <f>IF(AND('Q42027'!B55&lt;&gt;"",'Q42027'!E55&lt;&gt;""),'Q42027'!E55,"")</f>
        <v/>
      </c>
      <c r="B294" t="str">
        <f>IF(AND('Q42027'!B55&lt;&gt;"",'Q42027'!E55&lt;&gt;""),'Q42027'!B55,"")</f>
        <v/>
      </c>
      <c r="C294" t="str">
        <f>IF(AND('Q42027'!B55&lt;&gt;"",'Q42027'!E55&lt;&gt;""),'Q42027'!C55,"")</f>
        <v/>
      </c>
      <c r="D294" t="str">
        <f>IF(AND('Q42027'!B55&lt;&gt;"",'Q42027'!E55&lt;&gt;""),'Q42027'!D55,"")</f>
        <v/>
      </c>
      <c r="E294" t="str">
        <f>IF(AND('Q42027'!B55&lt;&gt;"",'Q42027'!E55&lt;&gt;""),'Q42027'!H55,"")</f>
        <v/>
      </c>
      <c r="F294" t="str">
        <f>IF(AND('Q42027'!B55&lt;&gt;"",'Q42027'!E55&lt;&gt;""),'Q42027'!F55,"")</f>
        <v/>
      </c>
      <c r="G294" t="str">
        <f>IF(AND('Q42027'!B55&lt;&gt;"",'Q42027'!E55&lt;&gt;""),'Q42027'!G55,"")</f>
        <v/>
      </c>
      <c r="H294" t="str">
        <f>IF(AND('Q42027'!B55&lt;&gt;"",'Q42027'!E55&lt;&gt;""),"Q42027","")</f>
        <v/>
      </c>
      <c r="I294" t="str">
        <f>IF(A294="Q12027",COUNTIF($A$2:$A294,"Q12027"),"")</f>
        <v/>
      </c>
      <c r="J294" t="str">
        <f>IF(A294="Q22027",COUNTIF($A$2:$A294,"Q22027"),"")</f>
        <v/>
      </c>
      <c r="K294" t="str">
        <f>IF(A294="Q32027",COUNTIF($A$2:$A294,"Q32027"),"")</f>
        <v/>
      </c>
      <c r="L294" t="str">
        <f>IF(A294="Q42027",COUNTIF($A$2:$A294,"Q42027"),"")</f>
        <v/>
      </c>
      <c r="M294" t="str">
        <f>IF(A294="Backlog",COUNTIF($A$2:$A294,"Backlog"),"")</f>
        <v/>
      </c>
    </row>
    <row r="295" spans="1:13">
      <c r="A295" t="str">
        <f>IF(AND('Q42027'!B56&lt;&gt;"",'Q42027'!E56&lt;&gt;""),'Q42027'!E56,"")</f>
        <v/>
      </c>
      <c r="B295" t="str">
        <f>IF(AND('Q42027'!B56&lt;&gt;"",'Q42027'!E56&lt;&gt;""),'Q42027'!B56,"")</f>
        <v/>
      </c>
      <c r="C295" t="str">
        <f>IF(AND('Q42027'!B56&lt;&gt;"",'Q42027'!E56&lt;&gt;""),'Q42027'!C56,"")</f>
        <v/>
      </c>
      <c r="D295" t="str">
        <f>IF(AND('Q42027'!B56&lt;&gt;"",'Q42027'!E56&lt;&gt;""),'Q42027'!D56,"")</f>
        <v/>
      </c>
      <c r="E295" t="str">
        <f>IF(AND('Q42027'!B56&lt;&gt;"",'Q42027'!E56&lt;&gt;""),'Q42027'!H56,"")</f>
        <v/>
      </c>
      <c r="F295" t="str">
        <f>IF(AND('Q42027'!B56&lt;&gt;"",'Q42027'!E56&lt;&gt;""),'Q42027'!F56,"")</f>
        <v/>
      </c>
      <c r="G295" t="str">
        <f>IF(AND('Q42027'!B56&lt;&gt;"",'Q42027'!E56&lt;&gt;""),'Q42027'!G56,"")</f>
        <v/>
      </c>
      <c r="H295" t="str">
        <f>IF(AND('Q42027'!B56&lt;&gt;"",'Q42027'!E56&lt;&gt;""),"Q42027","")</f>
        <v/>
      </c>
      <c r="I295" t="str">
        <f>IF(A295="Q12027",COUNTIF($A$2:$A295,"Q12027"),"")</f>
        <v/>
      </c>
      <c r="J295" t="str">
        <f>IF(A295="Q22027",COUNTIF($A$2:$A295,"Q22027"),"")</f>
        <v/>
      </c>
      <c r="K295" t="str">
        <f>IF(A295="Q32027",COUNTIF($A$2:$A295,"Q32027"),"")</f>
        <v/>
      </c>
      <c r="L295" t="str">
        <f>IF(A295="Q42027",COUNTIF($A$2:$A295,"Q42027"),"")</f>
        <v/>
      </c>
      <c r="M295" t="str">
        <f>IF(A295="Backlog",COUNTIF($A$2:$A295,"Backlog"),"")</f>
        <v/>
      </c>
    </row>
    <row r="296" spans="1:13">
      <c r="A296" t="str">
        <f>IF(AND('Q42027'!B57&lt;&gt;"",'Q42027'!E57&lt;&gt;""),'Q42027'!E57,"")</f>
        <v/>
      </c>
      <c r="B296" t="str">
        <f>IF(AND('Q42027'!B57&lt;&gt;"",'Q42027'!E57&lt;&gt;""),'Q42027'!B57,"")</f>
        <v/>
      </c>
      <c r="C296" t="str">
        <f>IF(AND('Q42027'!B57&lt;&gt;"",'Q42027'!E57&lt;&gt;""),'Q42027'!C57,"")</f>
        <v/>
      </c>
      <c r="D296" t="str">
        <f>IF(AND('Q42027'!B57&lt;&gt;"",'Q42027'!E57&lt;&gt;""),'Q42027'!D57,"")</f>
        <v/>
      </c>
      <c r="E296" t="str">
        <f>IF(AND('Q42027'!B57&lt;&gt;"",'Q42027'!E57&lt;&gt;""),'Q42027'!H57,"")</f>
        <v/>
      </c>
      <c r="F296" t="str">
        <f>IF(AND('Q42027'!B57&lt;&gt;"",'Q42027'!E57&lt;&gt;""),'Q42027'!F57,"")</f>
        <v/>
      </c>
      <c r="G296" t="str">
        <f>IF(AND('Q42027'!B57&lt;&gt;"",'Q42027'!E57&lt;&gt;""),'Q42027'!G57,"")</f>
        <v/>
      </c>
      <c r="H296" t="str">
        <f>IF(AND('Q42027'!B57&lt;&gt;"",'Q42027'!E57&lt;&gt;""),"Q42027","")</f>
        <v/>
      </c>
      <c r="I296" t="str">
        <f>IF(A296="Q12027",COUNTIF($A$2:$A296,"Q12027"),"")</f>
        <v/>
      </c>
      <c r="J296" t="str">
        <f>IF(A296="Q22027",COUNTIF($A$2:$A296,"Q22027"),"")</f>
        <v/>
      </c>
      <c r="K296" t="str">
        <f>IF(A296="Q32027",COUNTIF($A$2:$A296,"Q32027"),"")</f>
        <v/>
      </c>
      <c r="L296" t="str">
        <f>IF(A296="Q42027",COUNTIF($A$2:$A296,"Q42027"),"")</f>
        <v/>
      </c>
      <c r="M296" t="str">
        <f>IF(A296="Backlog",COUNTIF($A$2:$A296,"Backlog"),"")</f>
        <v/>
      </c>
    </row>
    <row r="297" spans="1:13">
      <c r="A297" t="str">
        <f>IF(AND('Q42027'!B58&lt;&gt;"",'Q42027'!E58&lt;&gt;""),'Q42027'!E58,"")</f>
        <v/>
      </c>
      <c r="B297" t="str">
        <f>IF(AND('Q42027'!B58&lt;&gt;"",'Q42027'!E58&lt;&gt;""),'Q42027'!B58,"")</f>
        <v/>
      </c>
      <c r="C297" t="str">
        <f>IF(AND('Q42027'!B58&lt;&gt;"",'Q42027'!E58&lt;&gt;""),'Q42027'!C58,"")</f>
        <v/>
      </c>
      <c r="D297" t="str">
        <f>IF(AND('Q42027'!B58&lt;&gt;"",'Q42027'!E58&lt;&gt;""),'Q42027'!D58,"")</f>
        <v/>
      </c>
      <c r="E297" t="str">
        <f>IF(AND('Q42027'!B58&lt;&gt;"",'Q42027'!E58&lt;&gt;""),'Q42027'!H58,"")</f>
        <v/>
      </c>
      <c r="F297" t="str">
        <f>IF(AND('Q42027'!B58&lt;&gt;"",'Q42027'!E58&lt;&gt;""),'Q42027'!F58,"")</f>
        <v/>
      </c>
      <c r="G297" t="str">
        <f>IF(AND('Q42027'!B58&lt;&gt;"",'Q42027'!E58&lt;&gt;""),'Q42027'!G58,"")</f>
        <v/>
      </c>
      <c r="H297" t="str">
        <f>IF(AND('Q42027'!B58&lt;&gt;"",'Q42027'!E58&lt;&gt;""),"Q42027","")</f>
        <v/>
      </c>
      <c r="I297" t="str">
        <f>IF(A297="Q12027",COUNTIF($A$2:$A297,"Q12027"),"")</f>
        <v/>
      </c>
      <c r="J297" t="str">
        <f>IF(A297="Q22027",COUNTIF($A$2:$A297,"Q22027"),"")</f>
        <v/>
      </c>
      <c r="K297" t="str">
        <f>IF(A297="Q32027",COUNTIF($A$2:$A297,"Q32027"),"")</f>
        <v/>
      </c>
      <c r="L297" t="str">
        <f>IF(A297="Q42027",COUNTIF($A$2:$A297,"Q42027"),"")</f>
        <v/>
      </c>
      <c r="M297" t="str">
        <f>IF(A297="Backlog",COUNTIF($A$2:$A297,"Backlog"),"")</f>
        <v/>
      </c>
    </row>
    <row r="298" spans="1:13">
      <c r="A298" t="str">
        <f>IF(AND('Q42027'!B59&lt;&gt;"",'Q42027'!E59&lt;&gt;""),'Q42027'!E59,"")</f>
        <v/>
      </c>
      <c r="B298" t="str">
        <f>IF(AND('Q42027'!B59&lt;&gt;"",'Q42027'!E59&lt;&gt;""),'Q42027'!B59,"")</f>
        <v/>
      </c>
      <c r="C298" t="str">
        <f>IF(AND('Q42027'!B59&lt;&gt;"",'Q42027'!E59&lt;&gt;""),'Q42027'!C59,"")</f>
        <v/>
      </c>
      <c r="D298" t="str">
        <f>IF(AND('Q42027'!B59&lt;&gt;"",'Q42027'!E59&lt;&gt;""),'Q42027'!D59,"")</f>
        <v/>
      </c>
      <c r="E298" t="str">
        <f>IF(AND('Q42027'!B59&lt;&gt;"",'Q42027'!E59&lt;&gt;""),'Q42027'!H59,"")</f>
        <v/>
      </c>
      <c r="F298" t="str">
        <f>IF(AND('Q42027'!B59&lt;&gt;"",'Q42027'!E59&lt;&gt;""),'Q42027'!F59,"")</f>
        <v/>
      </c>
      <c r="G298" t="str">
        <f>IF(AND('Q42027'!B59&lt;&gt;"",'Q42027'!E59&lt;&gt;""),'Q42027'!G59,"")</f>
        <v/>
      </c>
      <c r="H298" t="str">
        <f>IF(AND('Q42027'!B59&lt;&gt;"",'Q42027'!E59&lt;&gt;""),"Q42027","")</f>
        <v/>
      </c>
      <c r="I298" t="str">
        <f>IF(A298="Q12027",COUNTIF($A$2:$A298,"Q12027"),"")</f>
        <v/>
      </c>
      <c r="J298" t="str">
        <f>IF(A298="Q22027",COUNTIF($A$2:$A298,"Q22027"),"")</f>
        <v/>
      </c>
      <c r="K298" t="str">
        <f>IF(A298="Q32027",COUNTIF($A$2:$A298,"Q32027"),"")</f>
        <v/>
      </c>
      <c r="L298" t="str">
        <f>IF(A298="Q42027",COUNTIF($A$2:$A298,"Q42027"),"")</f>
        <v/>
      </c>
      <c r="M298" t="str">
        <f>IF(A298="Backlog",COUNTIF($A$2:$A298,"Backlog"),"")</f>
        <v/>
      </c>
    </row>
    <row r="299" spans="1:13">
      <c r="A299" t="str">
        <f>IF(AND('Q42027'!B60&lt;&gt;"",'Q42027'!E60&lt;&gt;""),'Q42027'!E60,"")</f>
        <v/>
      </c>
      <c r="B299" t="str">
        <f>IF(AND('Q42027'!B60&lt;&gt;"",'Q42027'!E60&lt;&gt;""),'Q42027'!B60,"")</f>
        <v/>
      </c>
      <c r="C299" t="str">
        <f>IF(AND('Q42027'!B60&lt;&gt;"",'Q42027'!E60&lt;&gt;""),'Q42027'!C60,"")</f>
        <v/>
      </c>
      <c r="D299" t="str">
        <f>IF(AND('Q42027'!B60&lt;&gt;"",'Q42027'!E60&lt;&gt;""),'Q42027'!D60,"")</f>
        <v/>
      </c>
      <c r="E299" t="str">
        <f>IF(AND('Q42027'!B60&lt;&gt;"",'Q42027'!E60&lt;&gt;""),'Q42027'!H60,"")</f>
        <v/>
      </c>
      <c r="F299" t="str">
        <f>IF(AND('Q42027'!B60&lt;&gt;"",'Q42027'!E60&lt;&gt;""),'Q42027'!F60,"")</f>
        <v/>
      </c>
      <c r="G299" t="str">
        <f>IF(AND('Q42027'!B60&lt;&gt;"",'Q42027'!E60&lt;&gt;""),'Q42027'!G60,"")</f>
        <v/>
      </c>
      <c r="H299" t="str">
        <f>IF(AND('Q42027'!B60&lt;&gt;"",'Q42027'!E60&lt;&gt;""),"Q42027","")</f>
        <v/>
      </c>
      <c r="I299" t="str">
        <f>IF(A299="Q12027",COUNTIF($A$2:$A299,"Q12027"),"")</f>
        <v/>
      </c>
      <c r="J299" t="str">
        <f>IF(A299="Q22027",COUNTIF($A$2:$A299,"Q22027"),"")</f>
        <v/>
      </c>
      <c r="K299" t="str">
        <f>IF(A299="Q32027",COUNTIF($A$2:$A299,"Q32027"),"")</f>
        <v/>
      </c>
      <c r="L299" t="str">
        <f>IF(A299="Q42027",COUNTIF($A$2:$A299,"Q42027"),"")</f>
        <v/>
      </c>
      <c r="M299" t="str">
        <f>IF(A299="Backlog",COUNTIF($A$2:$A299,"Backlog"),"")</f>
        <v/>
      </c>
    </row>
    <row r="300" spans="1:13">
      <c r="A300" t="str">
        <f>IF(AND('Q42027'!B61&lt;&gt;"",'Q42027'!E61&lt;&gt;""),'Q42027'!E61,"")</f>
        <v/>
      </c>
      <c r="B300" t="str">
        <f>IF(AND('Q42027'!B61&lt;&gt;"",'Q42027'!E61&lt;&gt;""),'Q42027'!B61,"")</f>
        <v/>
      </c>
      <c r="C300" t="str">
        <f>IF(AND('Q42027'!B61&lt;&gt;"",'Q42027'!E61&lt;&gt;""),'Q42027'!C61,"")</f>
        <v/>
      </c>
      <c r="D300" t="str">
        <f>IF(AND('Q42027'!B61&lt;&gt;"",'Q42027'!E61&lt;&gt;""),'Q42027'!D61,"")</f>
        <v/>
      </c>
      <c r="E300" t="str">
        <f>IF(AND('Q42027'!B61&lt;&gt;"",'Q42027'!E61&lt;&gt;""),'Q42027'!H61,"")</f>
        <v/>
      </c>
      <c r="F300" t="str">
        <f>IF(AND('Q42027'!B61&lt;&gt;"",'Q42027'!E61&lt;&gt;""),'Q42027'!F61,"")</f>
        <v/>
      </c>
      <c r="G300" t="str">
        <f>IF(AND('Q42027'!B61&lt;&gt;"",'Q42027'!E61&lt;&gt;""),'Q42027'!G61,"")</f>
        <v/>
      </c>
      <c r="H300" t="str">
        <f>IF(AND('Q42027'!B61&lt;&gt;"",'Q42027'!E61&lt;&gt;""),"Q42027","")</f>
        <v/>
      </c>
      <c r="I300" t="str">
        <f>IF(A300="Q12027",COUNTIF($A$2:$A300,"Q12027"),"")</f>
        <v/>
      </c>
      <c r="J300" t="str">
        <f>IF(A300="Q22027",COUNTIF($A$2:$A300,"Q22027"),"")</f>
        <v/>
      </c>
      <c r="K300" t="str">
        <f>IF(A300="Q32027",COUNTIF($A$2:$A300,"Q32027"),"")</f>
        <v/>
      </c>
      <c r="L300" t="str">
        <f>IF(A300="Q42027",COUNTIF($A$2:$A300,"Q42027"),"")</f>
        <v/>
      </c>
      <c r="M300" t="str">
        <f>IF(A300="Backlog",COUNTIF($A$2:$A300,"Backlog"),"")</f>
        <v/>
      </c>
    </row>
    <row r="301" spans="1:13">
      <c r="A301" t="str">
        <f>IF(AND('Q42027'!B62&lt;&gt;"",'Q42027'!E62&lt;&gt;""),'Q42027'!E62,"")</f>
        <v/>
      </c>
      <c r="B301" t="str">
        <f>IF(AND('Q42027'!B62&lt;&gt;"",'Q42027'!E62&lt;&gt;""),'Q42027'!B62,"")</f>
        <v/>
      </c>
      <c r="C301" t="str">
        <f>IF(AND('Q42027'!B62&lt;&gt;"",'Q42027'!E62&lt;&gt;""),'Q42027'!C62,"")</f>
        <v/>
      </c>
      <c r="D301" t="str">
        <f>IF(AND('Q42027'!B62&lt;&gt;"",'Q42027'!E62&lt;&gt;""),'Q42027'!D62,"")</f>
        <v/>
      </c>
      <c r="E301" t="str">
        <f>IF(AND('Q42027'!B62&lt;&gt;"",'Q42027'!E62&lt;&gt;""),'Q42027'!H62,"")</f>
        <v/>
      </c>
      <c r="F301" t="str">
        <f>IF(AND('Q42027'!B62&lt;&gt;"",'Q42027'!E62&lt;&gt;""),'Q42027'!F62,"")</f>
        <v/>
      </c>
      <c r="G301" t="str">
        <f>IF(AND('Q42027'!B62&lt;&gt;"",'Q42027'!E62&lt;&gt;""),'Q42027'!G62,"")</f>
        <v/>
      </c>
      <c r="H301" t="str">
        <f>IF(AND('Q42027'!B62&lt;&gt;"",'Q42027'!E62&lt;&gt;""),"Q42027","")</f>
        <v/>
      </c>
      <c r="I301" t="str">
        <f>IF(A301="Q12027",COUNTIF($A$2:$A301,"Q12027"),"")</f>
        <v/>
      </c>
      <c r="J301" t="str">
        <f>IF(A301="Q22027",COUNTIF($A$2:$A301,"Q22027"),"")</f>
        <v/>
      </c>
      <c r="K301" t="str">
        <f>IF(A301="Q32027",COUNTIF($A$2:$A301,"Q32027"),"")</f>
        <v/>
      </c>
      <c r="L301" t="str">
        <f>IF(A301="Q42027",COUNTIF($A$2:$A301,"Q42027"),"")</f>
        <v/>
      </c>
      <c r="M301" t="str">
        <f>IF(A301="Backlog",COUNTIF($A$2:$A301,"Backlog"),"")</f>
        <v/>
      </c>
    </row>
    <row r="302" spans="1:13">
      <c r="A302" t="str">
        <f>IF(AND('Q42027'!B63&lt;&gt;"",'Q42027'!E63&lt;&gt;""),'Q42027'!E63,"")</f>
        <v/>
      </c>
      <c r="B302" t="str">
        <f>IF(AND('Q42027'!B63&lt;&gt;"",'Q42027'!E63&lt;&gt;""),'Q42027'!B63,"")</f>
        <v/>
      </c>
      <c r="C302" t="str">
        <f>IF(AND('Q42027'!B63&lt;&gt;"",'Q42027'!E63&lt;&gt;""),'Q42027'!C63,"")</f>
        <v/>
      </c>
      <c r="D302" t="str">
        <f>IF(AND('Q42027'!B63&lt;&gt;"",'Q42027'!E63&lt;&gt;""),'Q42027'!D63,"")</f>
        <v/>
      </c>
      <c r="E302" t="str">
        <f>IF(AND('Q42027'!B63&lt;&gt;"",'Q42027'!E63&lt;&gt;""),'Q42027'!H63,"")</f>
        <v/>
      </c>
      <c r="F302" t="str">
        <f>IF(AND('Q42027'!B63&lt;&gt;"",'Q42027'!E63&lt;&gt;""),'Q42027'!F63,"")</f>
        <v/>
      </c>
      <c r="G302" t="str">
        <f>IF(AND('Q42027'!B63&lt;&gt;"",'Q42027'!E63&lt;&gt;""),'Q42027'!G63,"")</f>
        <v/>
      </c>
      <c r="H302" t="str">
        <f>IF(AND('Q42027'!B63&lt;&gt;"",'Q42027'!E63&lt;&gt;""),"Q42027","")</f>
        <v/>
      </c>
      <c r="I302" t="str">
        <f>IF(A302="Q12027",COUNTIF($A$2:$A302,"Q12027"),"")</f>
        <v/>
      </c>
      <c r="J302" t="str">
        <f>IF(A302="Q22027",COUNTIF($A$2:$A302,"Q22027"),"")</f>
        <v/>
      </c>
      <c r="K302" t="str">
        <f>IF(A302="Q32027",COUNTIF($A$2:$A302,"Q32027"),"")</f>
        <v/>
      </c>
      <c r="L302" t="str">
        <f>IF(A302="Q42027",COUNTIF($A$2:$A302,"Q42027"),"")</f>
        <v/>
      </c>
      <c r="M302" t="str">
        <f>IF(A302="Backlog",COUNTIF($A$2:$A302,"Backlog"),"")</f>
        <v/>
      </c>
    </row>
    <row r="303" spans="1:13">
      <c r="A303" t="str">
        <f>IF(AND('Q42027'!B64&lt;&gt;"",'Q42027'!E64&lt;&gt;""),'Q42027'!E64,"")</f>
        <v/>
      </c>
      <c r="B303" t="str">
        <f>IF(AND('Q42027'!B64&lt;&gt;"",'Q42027'!E64&lt;&gt;""),'Q42027'!B64,"")</f>
        <v/>
      </c>
      <c r="C303" t="str">
        <f>IF(AND('Q42027'!B64&lt;&gt;"",'Q42027'!E64&lt;&gt;""),'Q42027'!C64,"")</f>
        <v/>
      </c>
      <c r="D303" t="str">
        <f>IF(AND('Q42027'!B64&lt;&gt;"",'Q42027'!E64&lt;&gt;""),'Q42027'!D64,"")</f>
        <v/>
      </c>
      <c r="E303" t="str">
        <f>IF(AND('Q42027'!B64&lt;&gt;"",'Q42027'!E64&lt;&gt;""),'Q42027'!H64,"")</f>
        <v/>
      </c>
      <c r="F303" t="str">
        <f>IF(AND('Q42027'!B64&lt;&gt;"",'Q42027'!E64&lt;&gt;""),'Q42027'!F64,"")</f>
        <v/>
      </c>
      <c r="G303" t="str">
        <f>IF(AND('Q42027'!B64&lt;&gt;"",'Q42027'!E64&lt;&gt;""),'Q42027'!G64,"")</f>
        <v/>
      </c>
      <c r="H303" t="str">
        <f>IF(AND('Q42027'!B64&lt;&gt;"",'Q42027'!E64&lt;&gt;""),"Q42027","")</f>
        <v/>
      </c>
      <c r="I303" t="str">
        <f>IF(A303="Q12027",COUNTIF($A$2:$A303,"Q12027"),"")</f>
        <v/>
      </c>
      <c r="J303" t="str">
        <f>IF(A303="Q22027",COUNTIF($A$2:$A303,"Q22027"),"")</f>
        <v/>
      </c>
      <c r="K303" t="str">
        <f>IF(A303="Q32027",COUNTIF($A$2:$A303,"Q32027"),"")</f>
        <v/>
      </c>
      <c r="L303" t="str">
        <f>IF(A303="Q42027",COUNTIF($A$2:$A303,"Q42027"),"")</f>
        <v/>
      </c>
      <c r="M303" t="str">
        <f>IF(A303="Backlog",COUNTIF($A$2:$A303,"Backlog"),"")</f>
        <v/>
      </c>
    </row>
    <row r="304" spans="1:13">
      <c r="A304" t="str">
        <f>IF(AND('Q42027'!B65&lt;&gt;"",'Q42027'!E65&lt;&gt;""),'Q42027'!E65,"")</f>
        <v/>
      </c>
      <c r="B304" t="str">
        <f>IF(AND('Q42027'!B65&lt;&gt;"",'Q42027'!E65&lt;&gt;""),'Q42027'!B65,"")</f>
        <v/>
      </c>
      <c r="C304" t="str">
        <f>IF(AND('Q42027'!B65&lt;&gt;"",'Q42027'!E65&lt;&gt;""),'Q42027'!C65,"")</f>
        <v/>
      </c>
      <c r="D304" t="str">
        <f>IF(AND('Q42027'!B65&lt;&gt;"",'Q42027'!E65&lt;&gt;""),'Q42027'!D65,"")</f>
        <v/>
      </c>
      <c r="E304" t="str">
        <f>IF(AND('Q42027'!B65&lt;&gt;"",'Q42027'!E65&lt;&gt;""),'Q42027'!H65,"")</f>
        <v/>
      </c>
      <c r="F304" t="str">
        <f>IF(AND('Q42027'!B65&lt;&gt;"",'Q42027'!E65&lt;&gt;""),'Q42027'!F65,"")</f>
        <v/>
      </c>
      <c r="G304" t="str">
        <f>IF(AND('Q42027'!B65&lt;&gt;"",'Q42027'!E65&lt;&gt;""),'Q42027'!G65,"")</f>
        <v/>
      </c>
      <c r="H304" t="str">
        <f>IF(AND('Q42027'!B65&lt;&gt;"",'Q42027'!E65&lt;&gt;""),"Q42027","")</f>
        <v/>
      </c>
      <c r="I304" t="str">
        <f>IF(A304="Q12027",COUNTIF($A$2:$A304,"Q12027"),"")</f>
        <v/>
      </c>
      <c r="J304" t="str">
        <f>IF(A304="Q22027",COUNTIF($A$2:$A304,"Q22027"),"")</f>
        <v/>
      </c>
      <c r="K304" t="str">
        <f>IF(A304="Q32027",COUNTIF($A$2:$A304,"Q32027"),"")</f>
        <v/>
      </c>
      <c r="L304" t="str">
        <f>IF(A304="Q42027",COUNTIF($A$2:$A304,"Q42027"),"")</f>
        <v/>
      </c>
      <c r="M304" t="str">
        <f>IF(A304="Backlog",COUNTIF($A$2:$A304,"Backlog"),"")</f>
        <v/>
      </c>
    </row>
    <row r="305" spans="1:13">
      <c r="A305" t="str">
        <f>IF(AND('Q42027'!B66&lt;&gt;"",'Q42027'!E66&lt;&gt;""),'Q42027'!E66,"")</f>
        <v/>
      </c>
      <c r="B305" t="str">
        <f>IF(AND('Q42027'!B66&lt;&gt;"",'Q42027'!E66&lt;&gt;""),'Q42027'!B66,"")</f>
        <v/>
      </c>
      <c r="C305" t="str">
        <f>IF(AND('Q42027'!B66&lt;&gt;"",'Q42027'!E66&lt;&gt;""),'Q42027'!C66,"")</f>
        <v/>
      </c>
      <c r="D305" t="str">
        <f>IF(AND('Q42027'!B66&lt;&gt;"",'Q42027'!E66&lt;&gt;""),'Q42027'!D66,"")</f>
        <v/>
      </c>
      <c r="E305" t="str">
        <f>IF(AND('Q42027'!B66&lt;&gt;"",'Q42027'!E66&lt;&gt;""),'Q42027'!H66,"")</f>
        <v/>
      </c>
      <c r="F305" t="str">
        <f>IF(AND('Q42027'!B66&lt;&gt;"",'Q42027'!E66&lt;&gt;""),'Q42027'!F66,"")</f>
        <v/>
      </c>
      <c r="G305" t="str">
        <f>IF(AND('Q42027'!B66&lt;&gt;"",'Q42027'!E66&lt;&gt;""),'Q42027'!G66,"")</f>
        <v/>
      </c>
      <c r="H305" t="str">
        <f>IF(AND('Q42027'!B66&lt;&gt;"",'Q42027'!E66&lt;&gt;""),"Q42027","")</f>
        <v/>
      </c>
      <c r="I305" t="str">
        <f>IF(A305="Q12027",COUNTIF($A$2:$A305,"Q12027"),"")</f>
        <v/>
      </c>
      <c r="J305" t="str">
        <f>IF(A305="Q22027",COUNTIF($A$2:$A305,"Q22027"),"")</f>
        <v/>
      </c>
      <c r="K305" t="str">
        <f>IF(A305="Q32027",COUNTIF($A$2:$A305,"Q32027"),"")</f>
        <v/>
      </c>
      <c r="L305" t="str">
        <f>IF(A305="Q42027",COUNTIF($A$2:$A305,"Q42027"),"")</f>
        <v/>
      </c>
      <c r="M305" t="str">
        <f>IF(A305="Backlog",COUNTIF($A$2:$A305,"Backlog"),"")</f>
        <v/>
      </c>
    </row>
    <row r="306" spans="1:13">
      <c r="A306" t="str">
        <f>IF(AND('Q42027'!B67&lt;&gt;"",'Q42027'!E67&lt;&gt;""),'Q42027'!E67,"")</f>
        <v/>
      </c>
      <c r="B306" t="str">
        <f>IF(AND('Q42027'!B67&lt;&gt;"",'Q42027'!E67&lt;&gt;""),'Q42027'!B67,"")</f>
        <v/>
      </c>
      <c r="C306" t="str">
        <f>IF(AND('Q42027'!B67&lt;&gt;"",'Q42027'!E67&lt;&gt;""),'Q42027'!C67,"")</f>
        <v/>
      </c>
      <c r="D306" t="str">
        <f>IF(AND('Q42027'!B67&lt;&gt;"",'Q42027'!E67&lt;&gt;""),'Q42027'!D67,"")</f>
        <v/>
      </c>
      <c r="E306" t="str">
        <f>IF(AND('Q42027'!B67&lt;&gt;"",'Q42027'!E67&lt;&gt;""),'Q42027'!H67,"")</f>
        <v/>
      </c>
      <c r="F306" t="str">
        <f>IF(AND('Q42027'!B67&lt;&gt;"",'Q42027'!E67&lt;&gt;""),'Q42027'!F67,"")</f>
        <v/>
      </c>
      <c r="G306" t="str">
        <f>IF(AND('Q42027'!B67&lt;&gt;"",'Q42027'!E67&lt;&gt;""),'Q42027'!G67,"")</f>
        <v/>
      </c>
      <c r="H306" t="str">
        <f>IF(AND('Q42027'!B67&lt;&gt;"",'Q42027'!E67&lt;&gt;""),"Q42027","")</f>
        <v/>
      </c>
      <c r="I306" t="str">
        <f>IF(A306="Q12027",COUNTIF($A$2:$A306,"Q12027"),"")</f>
        <v/>
      </c>
      <c r="J306" t="str">
        <f>IF(A306="Q22027",COUNTIF($A$2:$A306,"Q22027"),"")</f>
        <v/>
      </c>
      <c r="K306" t="str">
        <f>IF(A306="Q32027",COUNTIF($A$2:$A306,"Q32027"),"")</f>
        <v/>
      </c>
      <c r="L306" t="str">
        <f>IF(A306="Q42027",COUNTIF($A$2:$A306,"Q42027"),"")</f>
        <v/>
      </c>
      <c r="M306" t="str">
        <f>IF(A306="Backlog",COUNTIF($A$2:$A306,"Backlog"),"")</f>
        <v/>
      </c>
    </row>
    <row r="307" spans="1:13">
      <c r="A307" t="str">
        <f>IF(AND('Q42027'!B68&lt;&gt;"",'Q42027'!E68&lt;&gt;""),'Q42027'!E68,"")</f>
        <v/>
      </c>
      <c r="B307" t="str">
        <f>IF(AND('Q42027'!B68&lt;&gt;"",'Q42027'!E68&lt;&gt;""),'Q42027'!B68,"")</f>
        <v/>
      </c>
      <c r="C307" t="str">
        <f>IF(AND('Q42027'!B68&lt;&gt;"",'Q42027'!E68&lt;&gt;""),'Q42027'!C68,"")</f>
        <v/>
      </c>
      <c r="D307" t="str">
        <f>IF(AND('Q42027'!B68&lt;&gt;"",'Q42027'!E68&lt;&gt;""),'Q42027'!D68,"")</f>
        <v/>
      </c>
      <c r="E307" t="str">
        <f>IF(AND('Q42027'!B68&lt;&gt;"",'Q42027'!E68&lt;&gt;""),'Q42027'!H68,"")</f>
        <v/>
      </c>
      <c r="F307" t="str">
        <f>IF(AND('Q42027'!B68&lt;&gt;"",'Q42027'!E68&lt;&gt;""),'Q42027'!F68,"")</f>
        <v/>
      </c>
      <c r="G307" t="str">
        <f>IF(AND('Q42027'!B68&lt;&gt;"",'Q42027'!E68&lt;&gt;""),'Q42027'!G68,"")</f>
        <v/>
      </c>
      <c r="H307" t="str">
        <f>IF(AND('Q42027'!B68&lt;&gt;"",'Q42027'!E68&lt;&gt;""),"Q42027","")</f>
        <v/>
      </c>
      <c r="I307" t="str">
        <f>IF(A307="Q12027",COUNTIF($A$2:$A307,"Q12027"),"")</f>
        <v/>
      </c>
      <c r="J307" t="str">
        <f>IF(A307="Q22027",COUNTIF($A$2:$A307,"Q22027"),"")</f>
        <v/>
      </c>
      <c r="K307" t="str">
        <f>IF(A307="Q32027",COUNTIF($A$2:$A307,"Q32027"),"")</f>
        <v/>
      </c>
      <c r="L307" t="str">
        <f>IF(A307="Q42027",COUNTIF($A$2:$A307,"Q42027"),"")</f>
        <v/>
      </c>
      <c r="M307" t="str">
        <f>IF(A307="Backlog",COUNTIF($A$2:$A307,"Backlog"),"")</f>
        <v/>
      </c>
    </row>
    <row r="308" spans="1:13">
      <c r="A308" t="str">
        <f>IF(AND('Q42027'!B69&lt;&gt;"",'Q42027'!E69&lt;&gt;""),'Q42027'!E69,"")</f>
        <v/>
      </c>
      <c r="B308" t="str">
        <f>IF(AND('Q42027'!B69&lt;&gt;"",'Q42027'!E69&lt;&gt;""),'Q42027'!B69,"")</f>
        <v/>
      </c>
      <c r="C308" t="str">
        <f>IF(AND('Q42027'!B69&lt;&gt;"",'Q42027'!E69&lt;&gt;""),'Q42027'!C69,"")</f>
        <v/>
      </c>
      <c r="D308" t="str">
        <f>IF(AND('Q42027'!B69&lt;&gt;"",'Q42027'!E69&lt;&gt;""),'Q42027'!D69,"")</f>
        <v/>
      </c>
      <c r="E308" t="str">
        <f>IF(AND('Q42027'!B69&lt;&gt;"",'Q42027'!E69&lt;&gt;""),'Q42027'!H69,"")</f>
        <v/>
      </c>
      <c r="F308" t="str">
        <f>IF(AND('Q42027'!B69&lt;&gt;"",'Q42027'!E69&lt;&gt;""),'Q42027'!F69,"")</f>
        <v/>
      </c>
      <c r="G308" t="str">
        <f>IF(AND('Q42027'!B69&lt;&gt;"",'Q42027'!E69&lt;&gt;""),'Q42027'!G69,"")</f>
        <v/>
      </c>
      <c r="H308" t="str">
        <f>IF(AND('Q42027'!B69&lt;&gt;"",'Q42027'!E69&lt;&gt;""),"Q42027","")</f>
        <v/>
      </c>
      <c r="I308" t="str">
        <f>IF(A308="Q12027",COUNTIF($A$2:$A308,"Q12027"),"")</f>
        <v/>
      </c>
      <c r="J308" t="str">
        <f>IF(A308="Q22027",COUNTIF($A$2:$A308,"Q22027"),"")</f>
        <v/>
      </c>
      <c r="K308" t="str">
        <f>IF(A308="Q32027",COUNTIF($A$2:$A308,"Q32027"),"")</f>
        <v/>
      </c>
      <c r="L308" t="str">
        <f>IF(A308="Q42027",COUNTIF($A$2:$A308,"Q42027"),"")</f>
        <v/>
      </c>
      <c r="M308" t="str">
        <f>IF(A308="Backlog",COUNTIF($A$2:$A308,"Backlog"),"")</f>
        <v/>
      </c>
    </row>
    <row r="309" spans="1:13">
      <c r="A309" t="str">
        <f>IF(AND('Q42027'!B70&lt;&gt;"",'Q42027'!E70&lt;&gt;""),'Q42027'!E70,"")</f>
        <v/>
      </c>
      <c r="B309" t="str">
        <f>IF(AND('Q42027'!B70&lt;&gt;"",'Q42027'!E70&lt;&gt;""),'Q42027'!B70,"")</f>
        <v/>
      </c>
      <c r="C309" t="str">
        <f>IF(AND('Q42027'!B70&lt;&gt;"",'Q42027'!E70&lt;&gt;""),'Q42027'!C70,"")</f>
        <v/>
      </c>
      <c r="D309" t="str">
        <f>IF(AND('Q42027'!B70&lt;&gt;"",'Q42027'!E70&lt;&gt;""),'Q42027'!D70,"")</f>
        <v/>
      </c>
      <c r="E309" t="str">
        <f>IF(AND('Q42027'!B70&lt;&gt;"",'Q42027'!E70&lt;&gt;""),'Q42027'!H70,"")</f>
        <v/>
      </c>
      <c r="F309" t="str">
        <f>IF(AND('Q42027'!B70&lt;&gt;"",'Q42027'!E70&lt;&gt;""),'Q42027'!F70,"")</f>
        <v/>
      </c>
      <c r="G309" t="str">
        <f>IF(AND('Q42027'!B70&lt;&gt;"",'Q42027'!E70&lt;&gt;""),'Q42027'!G70,"")</f>
        <v/>
      </c>
      <c r="H309" t="str">
        <f>IF(AND('Q42027'!B70&lt;&gt;"",'Q42027'!E70&lt;&gt;""),"Q42027","")</f>
        <v/>
      </c>
      <c r="I309" t="str">
        <f>IF(A309="Q12027",COUNTIF($A$2:$A309,"Q12027"),"")</f>
        <v/>
      </c>
      <c r="J309" t="str">
        <f>IF(A309="Q22027",COUNTIF($A$2:$A309,"Q22027"),"")</f>
        <v/>
      </c>
      <c r="K309" t="str">
        <f>IF(A309="Q32027",COUNTIF($A$2:$A309,"Q32027"),"")</f>
        <v/>
      </c>
      <c r="L309" t="str">
        <f>IF(A309="Q42027",COUNTIF($A$2:$A309,"Q42027"),"")</f>
        <v/>
      </c>
      <c r="M309" t="str">
        <f>IF(A309="Backlog",COUNTIF($A$2:$A309,"Backlog"),"")</f>
        <v/>
      </c>
    </row>
    <row r="310" spans="1:13">
      <c r="A310" t="str">
        <f>IF(AND('Q42027'!B71&lt;&gt;"",'Q42027'!E71&lt;&gt;""),'Q42027'!E71,"")</f>
        <v/>
      </c>
      <c r="B310" t="str">
        <f>IF(AND('Q42027'!B71&lt;&gt;"",'Q42027'!E71&lt;&gt;""),'Q42027'!B71,"")</f>
        <v/>
      </c>
      <c r="C310" t="str">
        <f>IF(AND('Q42027'!B71&lt;&gt;"",'Q42027'!E71&lt;&gt;""),'Q42027'!C71,"")</f>
        <v/>
      </c>
      <c r="D310" t="str">
        <f>IF(AND('Q42027'!B71&lt;&gt;"",'Q42027'!E71&lt;&gt;""),'Q42027'!D71,"")</f>
        <v/>
      </c>
      <c r="E310" t="str">
        <f>IF(AND('Q42027'!B71&lt;&gt;"",'Q42027'!E71&lt;&gt;""),'Q42027'!H71,"")</f>
        <v/>
      </c>
      <c r="F310" t="str">
        <f>IF(AND('Q42027'!B71&lt;&gt;"",'Q42027'!E71&lt;&gt;""),'Q42027'!F71,"")</f>
        <v/>
      </c>
      <c r="G310" t="str">
        <f>IF(AND('Q42027'!B71&lt;&gt;"",'Q42027'!E71&lt;&gt;""),'Q42027'!G71,"")</f>
        <v/>
      </c>
      <c r="H310" t="str">
        <f>IF(AND('Q42027'!B71&lt;&gt;"",'Q42027'!E71&lt;&gt;""),"Q42027","")</f>
        <v/>
      </c>
      <c r="I310" t="str">
        <f>IF(A310="Q12027",COUNTIF($A$2:$A310,"Q12027"),"")</f>
        <v/>
      </c>
      <c r="J310" t="str">
        <f>IF(A310="Q22027",COUNTIF($A$2:$A310,"Q22027"),"")</f>
        <v/>
      </c>
      <c r="K310" t="str">
        <f>IF(A310="Q32027",COUNTIF($A$2:$A310,"Q32027"),"")</f>
        <v/>
      </c>
      <c r="L310" t="str">
        <f>IF(A310="Q42027",COUNTIF($A$2:$A310,"Q42027"),"")</f>
        <v/>
      </c>
      <c r="M310" t="str">
        <f>IF(A310="Backlog",COUNTIF($A$2:$A310,"Backlog"),"")</f>
        <v/>
      </c>
    </row>
    <row r="311" spans="1:13">
      <c r="A311" t="str">
        <f>IF(AND('Q42027'!B72&lt;&gt;"",'Q42027'!E72&lt;&gt;""),'Q42027'!E72,"")</f>
        <v/>
      </c>
      <c r="B311" t="str">
        <f>IF(AND('Q42027'!B72&lt;&gt;"",'Q42027'!E72&lt;&gt;""),'Q42027'!B72,"")</f>
        <v/>
      </c>
      <c r="C311" t="str">
        <f>IF(AND('Q42027'!B72&lt;&gt;"",'Q42027'!E72&lt;&gt;""),'Q42027'!C72,"")</f>
        <v/>
      </c>
      <c r="D311" t="str">
        <f>IF(AND('Q42027'!B72&lt;&gt;"",'Q42027'!E72&lt;&gt;""),'Q42027'!D72,"")</f>
        <v/>
      </c>
      <c r="E311" t="str">
        <f>IF(AND('Q42027'!B72&lt;&gt;"",'Q42027'!E72&lt;&gt;""),'Q42027'!H72,"")</f>
        <v/>
      </c>
      <c r="F311" t="str">
        <f>IF(AND('Q42027'!B72&lt;&gt;"",'Q42027'!E72&lt;&gt;""),'Q42027'!F72,"")</f>
        <v/>
      </c>
      <c r="G311" t="str">
        <f>IF(AND('Q42027'!B72&lt;&gt;"",'Q42027'!E72&lt;&gt;""),'Q42027'!G72,"")</f>
        <v/>
      </c>
      <c r="H311" t="str">
        <f>IF(AND('Q42027'!B72&lt;&gt;"",'Q42027'!E72&lt;&gt;""),"Q42027","")</f>
        <v/>
      </c>
      <c r="I311" t="str">
        <f>IF(A311="Q12027",COUNTIF($A$2:$A311,"Q12027"),"")</f>
        <v/>
      </c>
      <c r="J311" t="str">
        <f>IF(A311="Q22027",COUNTIF($A$2:$A311,"Q22027"),"")</f>
        <v/>
      </c>
      <c r="K311" t="str">
        <f>IF(A311="Q32027",COUNTIF($A$2:$A311,"Q32027"),"")</f>
        <v/>
      </c>
      <c r="L311" t="str">
        <f>IF(A311="Q42027",COUNTIF($A$2:$A311,"Q42027"),"")</f>
        <v/>
      </c>
      <c r="M311" t="str">
        <f>IF(A311="Backlog",COUNTIF($A$2:$A311,"Backlog"),"")</f>
        <v/>
      </c>
    </row>
    <row r="312" spans="1:13">
      <c r="A312" t="str">
        <f>IF(AND('Q42027'!B73&lt;&gt;"",'Q42027'!E73&lt;&gt;""),'Q42027'!E73,"")</f>
        <v/>
      </c>
      <c r="B312" t="str">
        <f>IF(AND('Q42027'!B73&lt;&gt;"",'Q42027'!E73&lt;&gt;""),'Q42027'!B73,"")</f>
        <v/>
      </c>
      <c r="C312" t="str">
        <f>IF(AND('Q42027'!B73&lt;&gt;"",'Q42027'!E73&lt;&gt;""),'Q42027'!C73,"")</f>
        <v/>
      </c>
      <c r="D312" t="str">
        <f>IF(AND('Q42027'!B73&lt;&gt;"",'Q42027'!E73&lt;&gt;""),'Q42027'!D73,"")</f>
        <v/>
      </c>
      <c r="E312" t="str">
        <f>IF(AND('Q42027'!B73&lt;&gt;"",'Q42027'!E73&lt;&gt;""),'Q42027'!H73,"")</f>
        <v/>
      </c>
      <c r="F312" t="str">
        <f>IF(AND('Q42027'!B73&lt;&gt;"",'Q42027'!E73&lt;&gt;""),'Q42027'!F73,"")</f>
        <v/>
      </c>
      <c r="G312" t="str">
        <f>IF(AND('Q42027'!B73&lt;&gt;"",'Q42027'!E73&lt;&gt;""),'Q42027'!G73,"")</f>
        <v/>
      </c>
      <c r="H312" t="str">
        <f>IF(AND('Q42027'!B73&lt;&gt;"",'Q42027'!E73&lt;&gt;""),"Q42027","")</f>
        <v/>
      </c>
      <c r="I312" t="str">
        <f>IF(A312="Q12027",COUNTIF($A$2:$A312,"Q12027"),"")</f>
        <v/>
      </c>
      <c r="J312" t="str">
        <f>IF(A312="Q22027",COUNTIF($A$2:$A312,"Q22027"),"")</f>
        <v/>
      </c>
      <c r="K312" t="str">
        <f>IF(A312="Q32027",COUNTIF($A$2:$A312,"Q32027"),"")</f>
        <v/>
      </c>
      <c r="L312" t="str">
        <f>IF(A312="Q42027",COUNTIF($A$2:$A312,"Q42027"),"")</f>
        <v/>
      </c>
      <c r="M312" t="str">
        <f>IF(A312="Backlog",COUNTIF($A$2:$A312,"Backlog"),"")</f>
        <v/>
      </c>
    </row>
    <row r="313" spans="1:13">
      <c r="A313" t="str">
        <f>IF(AND('Q42027'!B74&lt;&gt;"",'Q42027'!E74&lt;&gt;""),'Q42027'!E74,"")</f>
        <v/>
      </c>
      <c r="B313" t="str">
        <f>IF(AND('Q42027'!B74&lt;&gt;"",'Q42027'!E74&lt;&gt;""),'Q42027'!B74,"")</f>
        <v/>
      </c>
      <c r="C313" t="str">
        <f>IF(AND('Q42027'!B74&lt;&gt;"",'Q42027'!E74&lt;&gt;""),'Q42027'!C74,"")</f>
        <v/>
      </c>
      <c r="D313" t="str">
        <f>IF(AND('Q42027'!B74&lt;&gt;"",'Q42027'!E74&lt;&gt;""),'Q42027'!D74,"")</f>
        <v/>
      </c>
      <c r="E313" t="str">
        <f>IF(AND('Q42027'!B74&lt;&gt;"",'Q42027'!E74&lt;&gt;""),'Q42027'!H74,"")</f>
        <v/>
      </c>
      <c r="F313" t="str">
        <f>IF(AND('Q42027'!B74&lt;&gt;"",'Q42027'!E74&lt;&gt;""),'Q42027'!F74,"")</f>
        <v/>
      </c>
      <c r="G313" t="str">
        <f>IF(AND('Q42027'!B74&lt;&gt;"",'Q42027'!E74&lt;&gt;""),'Q42027'!G74,"")</f>
        <v/>
      </c>
      <c r="H313" t="str">
        <f>IF(AND('Q42027'!B74&lt;&gt;"",'Q42027'!E74&lt;&gt;""),"Q42027","")</f>
        <v/>
      </c>
      <c r="I313" t="str">
        <f>IF(A313="Q12027",COUNTIF($A$2:$A313,"Q12027"),"")</f>
        <v/>
      </c>
      <c r="J313" t="str">
        <f>IF(A313="Q22027",COUNTIF($A$2:$A313,"Q22027"),"")</f>
        <v/>
      </c>
      <c r="K313" t="str">
        <f>IF(A313="Q32027",COUNTIF($A$2:$A313,"Q32027"),"")</f>
        <v/>
      </c>
      <c r="L313" t="str">
        <f>IF(A313="Q42027",COUNTIF($A$2:$A313,"Q42027"),"")</f>
        <v/>
      </c>
      <c r="M313" t="str">
        <f>IF(A313="Backlog",COUNTIF($A$2:$A313,"Backlog"),"")</f>
        <v/>
      </c>
    </row>
    <row r="314" spans="1:13">
      <c r="A314" t="str">
        <f>IF(AND('Q42027'!B75&lt;&gt;"",'Q42027'!E75&lt;&gt;""),'Q42027'!E75,"")</f>
        <v/>
      </c>
      <c r="B314" t="str">
        <f>IF(AND('Q42027'!B75&lt;&gt;"",'Q42027'!E75&lt;&gt;""),'Q42027'!B75,"")</f>
        <v/>
      </c>
      <c r="C314" t="str">
        <f>IF(AND('Q42027'!B75&lt;&gt;"",'Q42027'!E75&lt;&gt;""),'Q42027'!C75,"")</f>
        <v/>
      </c>
      <c r="D314" t="str">
        <f>IF(AND('Q42027'!B75&lt;&gt;"",'Q42027'!E75&lt;&gt;""),'Q42027'!D75,"")</f>
        <v/>
      </c>
      <c r="E314" t="str">
        <f>IF(AND('Q42027'!B75&lt;&gt;"",'Q42027'!E75&lt;&gt;""),'Q42027'!H75,"")</f>
        <v/>
      </c>
      <c r="F314" t="str">
        <f>IF(AND('Q42027'!B75&lt;&gt;"",'Q42027'!E75&lt;&gt;""),'Q42027'!F75,"")</f>
        <v/>
      </c>
      <c r="G314" t="str">
        <f>IF(AND('Q42027'!B75&lt;&gt;"",'Q42027'!E75&lt;&gt;""),'Q42027'!G75,"")</f>
        <v/>
      </c>
      <c r="H314" t="str">
        <f>IF(AND('Q42027'!B75&lt;&gt;"",'Q42027'!E75&lt;&gt;""),"Q42027","")</f>
        <v/>
      </c>
      <c r="I314" t="str">
        <f>IF(A314="Q12027",COUNTIF($A$2:$A314,"Q12027"),"")</f>
        <v/>
      </c>
      <c r="J314" t="str">
        <f>IF(A314="Q22027",COUNTIF($A$2:$A314,"Q22027"),"")</f>
        <v/>
      </c>
      <c r="K314" t="str">
        <f>IF(A314="Q32027",COUNTIF($A$2:$A314,"Q32027"),"")</f>
        <v/>
      </c>
      <c r="L314" t="str">
        <f>IF(A314="Q42027",COUNTIF($A$2:$A314,"Q42027"),"")</f>
        <v/>
      </c>
      <c r="M314" t="str">
        <f>IF(A314="Backlog",COUNTIF($A$2:$A314,"Backlog"),"")</f>
        <v/>
      </c>
    </row>
    <row r="315" spans="1:13">
      <c r="A315" t="str">
        <f>IF(AND('Q42027'!B76&lt;&gt;"",'Q42027'!E76&lt;&gt;""),'Q42027'!E76,"")</f>
        <v/>
      </c>
      <c r="B315" t="str">
        <f>IF(AND('Q42027'!B76&lt;&gt;"",'Q42027'!E76&lt;&gt;""),'Q42027'!B76,"")</f>
        <v/>
      </c>
      <c r="C315" t="str">
        <f>IF(AND('Q42027'!B76&lt;&gt;"",'Q42027'!E76&lt;&gt;""),'Q42027'!C76,"")</f>
        <v/>
      </c>
      <c r="D315" t="str">
        <f>IF(AND('Q42027'!B76&lt;&gt;"",'Q42027'!E76&lt;&gt;""),'Q42027'!D76,"")</f>
        <v/>
      </c>
      <c r="E315" t="str">
        <f>IF(AND('Q42027'!B76&lt;&gt;"",'Q42027'!E76&lt;&gt;""),'Q42027'!H76,"")</f>
        <v/>
      </c>
      <c r="F315" t="str">
        <f>IF(AND('Q42027'!B76&lt;&gt;"",'Q42027'!E76&lt;&gt;""),'Q42027'!F76,"")</f>
        <v/>
      </c>
      <c r="G315" t="str">
        <f>IF(AND('Q42027'!B76&lt;&gt;"",'Q42027'!E76&lt;&gt;""),'Q42027'!G76,"")</f>
        <v/>
      </c>
      <c r="H315" t="str">
        <f>IF(AND('Q42027'!B76&lt;&gt;"",'Q42027'!E76&lt;&gt;""),"Q42027","")</f>
        <v/>
      </c>
      <c r="I315" t="str">
        <f>IF(A315="Q12027",COUNTIF($A$2:$A315,"Q12027"),"")</f>
        <v/>
      </c>
      <c r="J315" t="str">
        <f>IF(A315="Q22027",COUNTIF($A$2:$A315,"Q22027"),"")</f>
        <v/>
      </c>
      <c r="K315" t="str">
        <f>IF(A315="Q32027",COUNTIF($A$2:$A315,"Q32027"),"")</f>
        <v/>
      </c>
      <c r="L315" t="str">
        <f>IF(A315="Q42027",COUNTIF($A$2:$A315,"Q42027"),"")</f>
        <v/>
      </c>
      <c r="M315" t="str">
        <f>IF(A315="Backlog",COUNTIF($A$2:$A315,"Backlog"),"")</f>
        <v/>
      </c>
    </row>
    <row r="316" spans="1:13">
      <c r="A316" t="str">
        <f>IF(AND('Q42027'!B77&lt;&gt;"",'Q42027'!E77&lt;&gt;""),'Q42027'!E77,"")</f>
        <v/>
      </c>
      <c r="B316" t="str">
        <f>IF(AND('Q42027'!B77&lt;&gt;"",'Q42027'!E77&lt;&gt;""),'Q42027'!B77,"")</f>
        <v/>
      </c>
      <c r="C316" t="str">
        <f>IF(AND('Q42027'!B77&lt;&gt;"",'Q42027'!E77&lt;&gt;""),'Q42027'!C77,"")</f>
        <v/>
      </c>
      <c r="D316" t="str">
        <f>IF(AND('Q42027'!B77&lt;&gt;"",'Q42027'!E77&lt;&gt;""),'Q42027'!D77,"")</f>
        <v/>
      </c>
      <c r="E316" t="str">
        <f>IF(AND('Q42027'!B77&lt;&gt;"",'Q42027'!E77&lt;&gt;""),'Q42027'!H77,"")</f>
        <v/>
      </c>
      <c r="F316" t="str">
        <f>IF(AND('Q42027'!B77&lt;&gt;"",'Q42027'!E77&lt;&gt;""),'Q42027'!F77,"")</f>
        <v/>
      </c>
      <c r="G316" t="str">
        <f>IF(AND('Q42027'!B77&lt;&gt;"",'Q42027'!E77&lt;&gt;""),'Q42027'!G77,"")</f>
        <v/>
      </c>
      <c r="H316" t="str">
        <f>IF(AND('Q42027'!B77&lt;&gt;"",'Q42027'!E77&lt;&gt;""),"Q42027","")</f>
        <v/>
      </c>
      <c r="I316" t="str">
        <f>IF(A316="Q12027",COUNTIF($A$2:$A316,"Q12027"),"")</f>
        <v/>
      </c>
      <c r="J316" t="str">
        <f>IF(A316="Q22027",COUNTIF($A$2:$A316,"Q22027"),"")</f>
        <v/>
      </c>
      <c r="K316" t="str">
        <f>IF(A316="Q32027",COUNTIF($A$2:$A316,"Q32027"),"")</f>
        <v/>
      </c>
      <c r="L316" t="str">
        <f>IF(A316="Q42027",COUNTIF($A$2:$A316,"Q42027"),"")</f>
        <v/>
      </c>
      <c r="M316" t="str">
        <f>IF(A316="Backlog",COUNTIF($A$2:$A316,"Backlog"),"")</f>
        <v/>
      </c>
    </row>
    <row r="317" spans="1:13">
      <c r="A317" t="str">
        <f>IF(AND('Q42027'!B78&lt;&gt;"",'Q42027'!E78&lt;&gt;""),'Q42027'!E78,"")</f>
        <v/>
      </c>
      <c r="B317" t="str">
        <f>IF(AND('Q42027'!B78&lt;&gt;"",'Q42027'!E78&lt;&gt;""),'Q42027'!B78,"")</f>
        <v/>
      </c>
      <c r="C317" t="str">
        <f>IF(AND('Q42027'!B78&lt;&gt;"",'Q42027'!E78&lt;&gt;""),'Q42027'!C78,"")</f>
        <v/>
      </c>
      <c r="D317" t="str">
        <f>IF(AND('Q42027'!B78&lt;&gt;"",'Q42027'!E78&lt;&gt;""),'Q42027'!D78,"")</f>
        <v/>
      </c>
      <c r="E317" t="str">
        <f>IF(AND('Q42027'!B78&lt;&gt;"",'Q42027'!E78&lt;&gt;""),'Q42027'!H78,"")</f>
        <v/>
      </c>
      <c r="F317" t="str">
        <f>IF(AND('Q42027'!B78&lt;&gt;"",'Q42027'!E78&lt;&gt;""),'Q42027'!F78,"")</f>
        <v/>
      </c>
      <c r="G317" t="str">
        <f>IF(AND('Q42027'!B78&lt;&gt;"",'Q42027'!E78&lt;&gt;""),'Q42027'!G78,"")</f>
        <v/>
      </c>
      <c r="H317" t="str">
        <f>IF(AND('Q42027'!B78&lt;&gt;"",'Q42027'!E78&lt;&gt;""),"Q42027","")</f>
        <v/>
      </c>
      <c r="I317" t="str">
        <f>IF(A317="Q12027",COUNTIF($A$2:$A317,"Q12027"),"")</f>
        <v/>
      </c>
      <c r="J317" t="str">
        <f>IF(A317="Q22027",COUNTIF($A$2:$A317,"Q22027"),"")</f>
        <v/>
      </c>
      <c r="K317" t="str">
        <f>IF(A317="Q32027",COUNTIF($A$2:$A317,"Q32027"),"")</f>
        <v/>
      </c>
      <c r="L317" t="str">
        <f>IF(A317="Q42027",COUNTIF($A$2:$A317,"Q42027"),"")</f>
        <v/>
      </c>
      <c r="M317" t="str">
        <f>IF(A317="Backlog",COUNTIF($A$2:$A317,"Backlog"),"")</f>
        <v/>
      </c>
    </row>
    <row r="318" spans="1:13">
      <c r="A318" t="str">
        <f>IF(AND('Q42027'!B79&lt;&gt;"",'Q42027'!E79&lt;&gt;""),'Q42027'!E79,"")</f>
        <v/>
      </c>
      <c r="B318" t="str">
        <f>IF(AND('Q42027'!B79&lt;&gt;"",'Q42027'!E79&lt;&gt;""),'Q42027'!B79,"")</f>
        <v/>
      </c>
      <c r="C318" t="str">
        <f>IF(AND('Q42027'!B79&lt;&gt;"",'Q42027'!E79&lt;&gt;""),'Q42027'!C79,"")</f>
        <v/>
      </c>
      <c r="D318" t="str">
        <f>IF(AND('Q42027'!B79&lt;&gt;"",'Q42027'!E79&lt;&gt;""),'Q42027'!D79,"")</f>
        <v/>
      </c>
      <c r="E318" t="str">
        <f>IF(AND('Q42027'!B79&lt;&gt;"",'Q42027'!E79&lt;&gt;""),'Q42027'!H79,"")</f>
        <v/>
      </c>
      <c r="F318" t="str">
        <f>IF(AND('Q42027'!B79&lt;&gt;"",'Q42027'!E79&lt;&gt;""),'Q42027'!F79,"")</f>
        <v/>
      </c>
      <c r="G318" t="str">
        <f>IF(AND('Q42027'!B79&lt;&gt;"",'Q42027'!E79&lt;&gt;""),'Q42027'!G79,"")</f>
        <v/>
      </c>
      <c r="H318" t="str">
        <f>IF(AND('Q42027'!B79&lt;&gt;"",'Q42027'!E79&lt;&gt;""),"Q42027","")</f>
        <v/>
      </c>
      <c r="I318" t="str">
        <f>IF(A318="Q12027",COUNTIF($A$2:$A318,"Q12027"),"")</f>
        <v/>
      </c>
      <c r="J318" t="str">
        <f>IF(A318="Q22027",COUNTIF($A$2:$A318,"Q22027"),"")</f>
        <v/>
      </c>
      <c r="K318" t="str">
        <f>IF(A318="Q32027",COUNTIF($A$2:$A318,"Q32027"),"")</f>
        <v/>
      </c>
      <c r="L318" t="str">
        <f>IF(A318="Q42027",COUNTIF($A$2:$A318,"Q42027"),"")</f>
        <v/>
      </c>
      <c r="M318" t="str">
        <f>IF(A318="Backlog",COUNTIF($A$2:$A318,"Backlog"),"")</f>
        <v/>
      </c>
    </row>
    <row r="319" spans="1:13">
      <c r="A319" t="str">
        <f>IF(AND('Q42027'!B80&lt;&gt;"",'Q42027'!E80&lt;&gt;""),'Q42027'!E80,"")</f>
        <v/>
      </c>
      <c r="B319" t="str">
        <f>IF(AND('Q42027'!B80&lt;&gt;"",'Q42027'!E80&lt;&gt;""),'Q42027'!B80,"")</f>
        <v/>
      </c>
      <c r="C319" t="str">
        <f>IF(AND('Q42027'!B80&lt;&gt;"",'Q42027'!E80&lt;&gt;""),'Q42027'!C80,"")</f>
        <v/>
      </c>
      <c r="D319" t="str">
        <f>IF(AND('Q42027'!B80&lt;&gt;"",'Q42027'!E80&lt;&gt;""),'Q42027'!D80,"")</f>
        <v/>
      </c>
      <c r="E319" t="str">
        <f>IF(AND('Q42027'!B80&lt;&gt;"",'Q42027'!E80&lt;&gt;""),'Q42027'!H80,"")</f>
        <v/>
      </c>
      <c r="F319" t="str">
        <f>IF(AND('Q42027'!B80&lt;&gt;"",'Q42027'!E80&lt;&gt;""),'Q42027'!F80,"")</f>
        <v/>
      </c>
      <c r="G319" t="str">
        <f>IF(AND('Q42027'!B80&lt;&gt;"",'Q42027'!E80&lt;&gt;""),'Q42027'!G80,"")</f>
        <v/>
      </c>
      <c r="H319" t="str">
        <f>IF(AND('Q42027'!B80&lt;&gt;"",'Q42027'!E80&lt;&gt;""),"Q42027","")</f>
        <v/>
      </c>
      <c r="I319" t="str">
        <f>IF(A319="Q12027",COUNTIF($A$2:$A319,"Q12027"),"")</f>
        <v/>
      </c>
      <c r="J319" t="str">
        <f>IF(A319="Q22027",COUNTIF($A$2:$A319,"Q22027"),"")</f>
        <v/>
      </c>
      <c r="K319" t="str">
        <f>IF(A319="Q32027",COUNTIF($A$2:$A319,"Q32027"),"")</f>
        <v/>
      </c>
      <c r="L319" t="str">
        <f>IF(A319="Q42027",COUNTIF($A$2:$A319,"Q42027"),"")</f>
        <v/>
      </c>
      <c r="M319" t="str">
        <f>IF(A319="Backlog",COUNTIF($A$2:$A319,"Backlog"),"")</f>
        <v/>
      </c>
    </row>
    <row r="320" spans="1:13">
      <c r="A320" t="str">
        <f>IF(AND('Q42027'!B81&lt;&gt;"",'Q42027'!E81&lt;&gt;""),'Q42027'!E81,"")</f>
        <v/>
      </c>
      <c r="B320" t="str">
        <f>IF(AND('Q42027'!B81&lt;&gt;"",'Q42027'!E81&lt;&gt;""),'Q42027'!B81,"")</f>
        <v/>
      </c>
      <c r="C320" t="str">
        <f>IF(AND('Q42027'!B81&lt;&gt;"",'Q42027'!E81&lt;&gt;""),'Q42027'!C81,"")</f>
        <v/>
      </c>
      <c r="D320" t="str">
        <f>IF(AND('Q42027'!B81&lt;&gt;"",'Q42027'!E81&lt;&gt;""),'Q42027'!D81,"")</f>
        <v/>
      </c>
      <c r="E320" t="str">
        <f>IF(AND('Q42027'!B81&lt;&gt;"",'Q42027'!E81&lt;&gt;""),'Q42027'!H81,"")</f>
        <v/>
      </c>
      <c r="F320" t="str">
        <f>IF(AND('Q42027'!B81&lt;&gt;"",'Q42027'!E81&lt;&gt;""),'Q42027'!F81,"")</f>
        <v/>
      </c>
      <c r="G320" t="str">
        <f>IF(AND('Q42027'!B81&lt;&gt;"",'Q42027'!E81&lt;&gt;""),'Q42027'!G81,"")</f>
        <v/>
      </c>
      <c r="H320" t="str">
        <f>IF(AND('Q42027'!B81&lt;&gt;"",'Q42027'!E81&lt;&gt;""),"Q42027","")</f>
        <v/>
      </c>
      <c r="I320" t="str">
        <f>IF(A320="Q12027",COUNTIF($A$2:$A320,"Q12027"),"")</f>
        <v/>
      </c>
      <c r="J320" t="str">
        <f>IF(A320="Q22027",COUNTIF($A$2:$A320,"Q22027"),"")</f>
        <v/>
      </c>
      <c r="K320" t="str">
        <f>IF(A320="Q32027",COUNTIF($A$2:$A320,"Q32027"),"")</f>
        <v/>
      </c>
      <c r="L320" t="str">
        <f>IF(A320="Q42027",COUNTIF($A$2:$A320,"Q42027"),"")</f>
        <v/>
      </c>
      <c r="M320" t="str">
        <f>IF(A320="Backlog",COUNTIF($A$2:$A320,"Backlog"),"")</f>
        <v/>
      </c>
    </row>
    <row r="321" spans="1:13">
      <c r="A321" t="str">
        <f>IF(AND('Q42027'!B82&lt;&gt;"",'Q42027'!E82&lt;&gt;""),'Q42027'!E82,"")</f>
        <v/>
      </c>
      <c r="B321" t="str">
        <f>IF(AND('Q42027'!B82&lt;&gt;"",'Q42027'!E82&lt;&gt;""),'Q42027'!B82,"")</f>
        <v/>
      </c>
      <c r="C321" t="str">
        <f>IF(AND('Q42027'!B82&lt;&gt;"",'Q42027'!E82&lt;&gt;""),'Q42027'!C82,"")</f>
        <v/>
      </c>
      <c r="D321" t="str">
        <f>IF(AND('Q42027'!B82&lt;&gt;"",'Q42027'!E82&lt;&gt;""),'Q42027'!D82,"")</f>
        <v/>
      </c>
      <c r="E321" t="str">
        <f>IF(AND('Q42027'!B82&lt;&gt;"",'Q42027'!E82&lt;&gt;""),'Q42027'!H82,"")</f>
        <v/>
      </c>
      <c r="F321" t="str">
        <f>IF(AND('Q42027'!B82&lt;&gt;"",'Q42027'!E82&lt;&gt;""),'Q42027'!F82,"")</f>
        <v/>
      </c>
      <c r="G321" t="str">
        <f>IF(AND('Q42027'!B82&lt;&gt;"",'Q42027'!E82&lt;&gt;""),'Q42027'!G82,"")</f>
        <v/>
      </c>
      <c r="H321" t="str">
        <f>IF(AND('Q42027'!B82&lt;&gt;"",'Q42027'!E82&lt;&gt;""),"Q42027","")</f>
        <v/>
      </c>
      <c r="I321" t="str">
        <f>IF(A321="Q12027",COUNTIF($A$2:$A321,"Q12027"),"")</f>
        <v/>
      </c>
      <c r="J321" t="str">
        <f>IF(A321="Q22027",COUNTIF($A$2:$A321,"Q22027"),"")</f>
        <v/>
      </c>
      <c r="K321" t="str">
        <f>IF(A321="Q32027",COUNTIF($A$2:$A321,"Q32027"),"")</f>
        <v/>
      </c>
      <c r="L321" t="str">
        <f>IF(A321="Q42027",COUNTIF($A$2:$A321,"Q42027"),"")</f>
        <v/>
      </c>
      <c r="M321" t="str">
        <f>IF(A321="Backlog",COUNTIF($A$2:$A321,"Backlog"),"")</f>
        <v/>
      </c>
    </row>
    <row r="322" spans="1:13">
      <c r="A322" t="str">
        <f>IF(AND('PO-Backlog2027'!B3&lt;&gt;"",'PO-Backlog2027'!E3&lt;&gt;""),'PO-Backlog2027'!E3,"")</f>
        <v/>
      </c>
      <c r="B322" t="str">
        <f>IF(AND('PO-Backlog2027'!B3&lt;&gt;"",'PO-Backlog2027'!E3&lt;&gt;""),'PO-Backlog2027'!B3,"")</f>
        <v/>
      </c>
      <c r="C322" t="str">
        <f>IF(AND('PO-Backlog2027'!B3&lt;&gt;"",'PO-Backlog2027'!E3&lt;&gt;""),'PO-Backlog2027'!C3,"")</f>
        <v/>
      </c>
      <c r="D322" t="str">
        <f>IF(AND('PO-Backlog2027'!B3&lt;&gt;"",'PO-Backlog2027'!E3&lt;&gt;""),'PO-Backlog2027'!D3,"")</f>
        <v/>
      </c>
      <c r="E322" t="str">
        <f>IF(AND('PO-Backlog2027'!B3&lt;&gt;"",'PO-Backlog2027'!E3&lt;&gt;""),'PO-Backlog2027'!H3,"")</f>
        <v/>
      </c>
      <c r="F322" t="str">
        <f>IF(AND('PO-Backlog2027'!B3&lt;&gt;"",'PO-Backlog2027'!E3&lt;&gt;""),'PO-Backlog2027'!F3,"")</f>
        <v/>
      </c>
      <c r="G322" t="str">
        <f>IF(AND('PO-Backlog2027'!B3&lt;&gt;"",'PO-Backlog2027'!E3&lt;&gt;""),'PO-Backlog2027'!G3,"")</f>
        <v/>
      </c>
      <c r="H322" t="str">
        <f>IF(AND('PO-Backlog2027'!B3&lt;&gt;"",'PO-Backlog2027'!E3&lt;&gt;""),"PO-Backlog2027","")</f>
        <v/>
      </c>
      <c r="I322" t="str">
        <f>IF(A322="Q12027",COUNTIF($A$2:$A322,"Q12027"),"")</f>
        <v/>
      </c>
      <c r="J322" t="str">
        <f>IF(A322="Q22027",COUNTIF($A$2:$A322,"Q22027"),"")</f>
        <v/>
      </c>
      <c r="K322" t="str">
        <f>IF(A322="Q32027",COUNTIF($A$2:$A322,"Q32027"),"")</f>
        <v/>
      </c>
      <c r="L322" t="str">
        <f>IF(A322="Q42027",COUNTIF($A$2:$A322,"Q42027"),"")</f>
        <v/>
      </c>
      <c r="M322" t="str">
        <f>IF(A322="Backlog",COUNTIF($A$2:$A322,"Backlog"),"")</f>
        <v/>
      </c>
    </row>
    <row r="323" spans="1:13">
      <c r="A323" t="str">
        <f>IF(AND('PO-Backlog2027'!B4&lt;&gt;"",'PO-Backlog2027'!E4&lt;&gt;""),'PO-Backlog2027'!E4,"")</f>
        <v/>
      </c>
      <c r="B323" t="str">
        <f>IF(AND('PO-Backlog2027'!B4&lt;&gt;"",'PO-Backlog2027'!E4&lt;&gt;""),'PO-Backlog2027'!B4,"")</f>
        <v/>
      </c>
      <c r="C323" t="str">
        <f>IF(AND('PO-Backlog2027'!B4&lt;&gt;"",'PO-Backlog2027'!E4&lt;&gt;""),'PO-Backlog2027'!C4,"")</f>
        <v/>
      </c>
      <c r="D323" t="str">
        <f>IF(AND('PO-Backlog2027'!B4&lt;&gt;"",'PO-Backlog2027'!E4&lt;&gt;""),'PO-Backlog2027'!D4,"")</f>
        <v/>
      </c>
      <c r="E323" t="str">
        <f>IF(AND('PO-Backlog2027'!B4&lt;&gt;"",'PO-Backlog2027'!E4&lt;&gt;""),'PO-Backlog2027'!H4,"")</f>
        <v/>
      </c>
      <c r="F323" t="str">
        <f>IF(AND('PO-Backlog2027'!B4&lt;&gt;"",'PO-Backlog2027'!E4&lt;&gt;""),'PO-Backlog2027'!F4,"")</f>
        <v/>
      </c>
      <c r="G323" t="str">
        <f>IF(AND('PO-Backlog2027'!B4&lt;&gt;"",'PO-Backlog2027'!E4&lt;&gt;""),'PO-Backlog2027'!G4,"")</f>
        <v/>
      </c>
      <c r="H323" t="str">
        <f>IF(AND('PO-Backlog2027'!B4&lt;&gt;"",'PO-Backlog2027'!E4&lt;&gt;""),"PO-Backlog2027","")</f>
        <v/>
      </c>
      <c r="I323" t="str">
        <f>IF(A323="Q12027",COUNTIF($A$2:$A323,"Q12027"),"")</f>
        <v/>
      </c>
      <c r="J323" t="str">
        <f>IF(A323="Q22027",COUNTIF($A$2:$A323,"Q22027"),"")</f>
        <v/>
      </c>
      <c r="K323" t="str">
        <f>IF(A323="Q32027",COUNTIF($A$2:$A323,"Q32027"),"")</f>
        <v/>
      </c>
      <c r="L323" t="str">
        <f>IF(A323="Q42027",COUNTIF($A$2:$A323,"Q42027"),"")</f>
        <v/>
      </c>
      <c r="M323" t="str">
        <f>IF(A323="Backlog",COUNTIF($A$2:$A323,"Backlog"),"")</f>
        <v/>
      </c>
    </row>
    <row r="324" spans="1:13">
      <c r="A324" t="str">
        <f>IF(AND('PO-Backlog2027'!B5&lt;&gt;"",'PO-Backlog2027'!E5&lt;&gt;""),'PO-Backlog2027'!E5,"")</f>
        <v/>
      </c>
      <c r="B324" t="str">
        <f>IF(AND('PO-Backlog2027'!B5&lt;&gt;"",'PO-Backlog2027'!E5&lt;&gt;""),'PO-Backlog2027'!B5,"")</f>
        <v/>
      </c>
      <c r="C324" t="str">
        <f>IF(AND('PO-Backlog2027'!B5&lt;&gt;"",'PO-Backlog2027'!E5&lt;&gt;""),'PO-Backlog2027'!C5,"")</f>
        <v/>
      </c>
      <c r="D324" t="str">
        <f>IF(AND('PO-Backlog2027'!B5&lt;&gt;"",'PO-Backlog2027'!E5&lt;&gt;""),'PO-Backlog2027'!D5,"")</f>
        <v/>
      </c>
      <c r="E324" t="str">
        <f>IF(AND('PO-Backlog2027'!B5&lt;&gt;"",'PO-Backlog2027'!E5&lt;&gt;""),'PO-Backlog2027'!H5,"")</f>
        <v/>
      </c>
      <c r="F324" t="str">
        <f>IF(AND('PO-Backlog2027'!B5&lt;&gt;"",'PO-Backlog2027'!E5&lt;&gt;""),'PO-Backlog2027'!F5,"")</f>
        <v/>
      </c>
      <c r="G324" t="str">
        <f>IF(AND('PO-Backlog2027'!B5&lt;&gt;"",'PO-Backlog2027'!E5&lt;&gt;""),'PO-Backlog2027'!G5,"")</f>
        <v/>
      </c>
      <c r="H324" t="str">
        <f>IF(AND('PO-Backlog2027'!B5&lt;&gt;"",'PO-Backlog2027'!E5&lt;&gt;""),"PO-Backlog2027","")</f>
        <v/>
      </c>
      <c r="I324" t="str">
        <f>IF(A324="Q12027",COUNTIF($A$2:$A324,"Q12027"),"")</f>
        <v/>
      </c>
      <c r="J324" t="str">
        <f>IF(A324="Q22027",COUNTIF($A$2:$A324,"Q22027"),"")</f>
        <v/>
      </c>
      <c r="K324" t="str">
        <f>IF(A324="Q32027",COUNTIF($A$2:$A324,"Q32027"),"")</f>
        <v/>
      </c>
      <c r="L324" t="str">
        <f>IF(A324="Q42027",COUNTIF($A$2:$A324,"Q42027"),"")</f>
        <v/>
      </c>
      <c r="M324" t="str">
        <f>IF(A324="Backlog",COUNTIF($A$2:$A324,"Backlog"),"")</f>
        <v/>
      </c>
    </row>
    <row r="325" spans="1:13">
      <c r="A325" t="str">
        <f>IF(AND('PO-Backlog2027'!B6&lt;&gt;"",'PO-Backlog2027'!E6&lt;&gt;""),'PO-Backlog2027'!E6,"")</f>
        <v/>
      </c>
      <c r="B325" t="str">
        <f>IF(AND('PO-Backlog2027'!B6&lt;&gt;"",'PO-Backlog2027'!E6&lt;&gt;""),'PO-Backlog2027'!B6,"")</f>
        <v/>
      </c>
      <c r="C325" t="str">
        <f>IF(AND('PO-Backlog2027'!B6&lt;&gt;"",'PO-Backlog2027'!E6&lt;&gt;""),'PO-Backlog2027'!C6,"")</f>
        <v/>
      </c>
      <c r="D325" t="str">
        <f>IF(AND('PO-Backlog2027'!B6&lt;&gt;"",'PO-Backlog2027'!E6&lt;&gt;""),'PO-Backlog2027'!D6,"")</f>
        <v/>
      </c>
      <c r="E325" t="str">
        <f>IF(AND('PO-Backlog2027'!B6&lt;&gt;"",'PO-Backlog2027'!E6&lt;&gt;""),'PO-Backlog2027'!H6,"")</f>
        <v/>
      </c>
      <c r="F325" t="str">
        <f>IF(AND('PO-Backlog2027'!B6&lt;&gt;"",'PO-Backlog2027'!E6&lt;&gt;""),'PO-Backlog2027'!F6,"")</f>
        <v/>
      </c>
      <c r="G325" t="str">
        <f>IF(AND('PO-Backlog2027'!B6&lt;&gt;"",'PO-Backlog2027'!E6&lt;&gt;""),'PO-Backlog2027'!G6,"")</f>
        <v/>
      </c>
      <c r="H325" t="str">
        <f>IF(AND('PO-Backlog2027'!B6&lt;&gt;"",'PO-Backlog2027'!E6&lt;&gt;""),"PO-Backlog2027","")</f>
        <v/>
      </c>
      <c r="I325" t="str">
        <f>IF(A325="Q12027",COUNTIF($A$2:$A325,"Q12027"),"")</f>
        <v/>
      </c>
      <c r="J325" t="str">
        <f>IF(A325="Q22027",COUNTIF($A$2:$A325,"Q22027"),"")</f>
        <v/>
      </c>
      <c r="K325" t="str">
        <f>IF(A325="Q32027",COUNTIF($A$2:$A325,"Q32027"),"")</f>
        <v/>
      </c>
      <c r="L325" t="str">
        <f>IF(A325="Q42027",COUNTIF($A$2:$A325,"Q42027"),"")</f>
        <v/>
      </c>
      <c r="M325" t="str">
        <f>IF(A325="Backlog",COUNTIF($A$2:$A325,"Backlog"),"")</f>
        <v/>
      </c>
    </row>
    <row r="326" spans="1:13">
      <c r="A326" t="str">
        <f>IF(AND('PO-Backlog2027'!B7&lt;&gt;"",'PO-Backlog2027'!E7&lt;&gt;""),'PO-Backlog2027'!E7,"")</f>
        <v/>
      </c>
      <c r="B326" t="str">
        <f>IF(AND('PO-Backlog2027'!B7&lt;&gt;"",'PO-Backlog2027'!E7&lt;&gt;""),'PO-Backlog2027'!B7,"")</f>
        <v/>
      </c>
      <c r="C326" t="str">
        <f>IF(AND('PO-Backlog2027'!B7&lt;&gt;"",'PO-Backlog2027'!E7&lt;&gt;""),'PO-Backlog2027'!C7,"")</f>
        <v/>
      </c>
      <c r="D326" t="str">
        <f>IF(AND('PO-Backlog2027'!B7&lt;&gt;"",'PO-Backlog2027'!E7&lt;&gt;""),'PO-Backlog2027'!D7,"")</f>
        <v/>
      </c>
      <c r="E326" t="str">
        <f>IF(AND('PO-Backlog2027'!B7&lt;&gt;"",'PO-Backlog2027'!E7&lt;&gt;""),'PO-Backlog2027'!H7,"")</f>
        <v/>
      </c>
      <c r="F326" t="str">
        <f>IF(AND('PO-Backlog2027'!B7&lt;&gt;"",'PO-Backlog2027'!E7&lt;&gt;""),'PO-Backlog2027'!F7,"")</f>
        <v/>
      </c>
      <c r="G326" t="str">
        <f>IF(AND('PO-Backlog2027'!B7&lt;&gt;"",'PO-Backlog2027'!E7&lt;&gt;""),'PO-Backlog2027'!G7,"")</f>
        <v/>
      </c>
      <c r="H326" t="str">
        <f>IF(AND('PO-Backlog2027'!B7&lt;&gt;"",'PO-Backlog2027'!E7&lt;&gt;""),"PO-Backlog2027","")</f>
        <v/>
      </c>
      <c r="I326" t="str">
        <f>IF(A326="Q12027",COUNTIF($A$2:$A326,"Q12027"),"")</f>
        <v/>
      </c>
      <c r="J326" t="str">
        <f>IF(A326="Q22027",COUNTIF($A$2:$A326,"Q22027"),"")</f>
        <v/>
      </c>
      <c r="K326" t="str">
        <f>IF(A326="Q32027",COUNTIF($A$2:$A326,"Q32027"),"")</f>
        <v/>
      </c>
      <c r="L326" t="str">
        <f>IF(A326="Q42027",COUNTIF($A$2:$A326,"Q42027"),"")</f>
        <v/>
      </c>
      <c r="M326" t="str">
        <f>IF(A326="Backlog",COUNTIF($A$2:$A326,"Backlog"),"")</f>
        <v/>
      </c>
    </row>
    <row r="327" spans="1:13">
      <c r="A327" t="str">
        <f>IF(AND('PO-Backlog2027'!B8&lt;&gt;"",'PO-Backlog2027'!E8&lt;&gt;""),'PO-Backlog2027'!E8,"")</f>
        <v/>
      </c>
      <c r="B327" t="str">
        <f>IF(AND('PO-Backlog2027'!B8&lt;&gt;"",'PO-Backlog2027'!E8&lt;&gt;""),'PO-Backlog2027'!B8,"")</f>
        <v/>
      </c>
      <c r="C327" t="str">
        <f>IF(AND('PO-Backlog2027'!B8&lt;&gt;"",'PO-Backlog2027'!E8&lt;&gt;""),'PO-Backlog2027'!C8,"")</f>
        <v/>
      </c>
      <c r="D327" t="str">
        <f>IF(AND('PO-Backlog2027'!B8&lt;&gt;"",'PO-Backlog2027'!E8&lt;&gt;""),'PO-Backlog2027'!D8,"")</f>
        <v/>
      </c>
      <c r="E327" t="str">
        <f>IF(AND('PO-Backlog2027'!B8&lt;&gt;"",'PO-Backlog2027'!E8&lt;&gt;""),'PO-Backlog2027'!H8,"")</f>
        <v/>
      </c>
      <c r="F327" t="str">
        <f>IF(AND('PO-Backlog2027'!B8&lt;&gt;"",'PO-Backlog2027'!E8&lt;&gt;""),'PO-Backlog2027'!F8,"")</f>
        <v/>
      </c>
      <c r="G327" t="str">
        <f>IF(AND('PO-Backlog2027'!B8&lt;&gt;"",'PO-Backlog2027'!E8&lt;&gt;""),'PO-Backlog2027'!G8,"")</f>
        <v/>
      </c>
      <c r="H327" t="str">
        <f>IF(AND('PO-Backlog2027'!B8&lt;&gt;"",'PO-Backlog2027'!E8&lt;&gt;""),"PO-Backlog2027","")</f>
        <v/>
      </c>
      <c r="I327" t="str">
        <f>IF(A327="Q12027",COUNTIF($A$2:$A327,"Q12027"),"")</f>
        <v/>
      </c>
      <c r="J327" t="str">
        <f>IF(A327="Q22027",COUNTIF($A$2:$A327,"Q22027"),"")</f>
        <v/>
      </c>
      <c r="K327" t="str">
        <f>IF(A327="Q32027",COUNTIF($A$2:$A327,"Q32027"),"")</f>
        <v/>
      </c>
      <c r="L327" t="str">
        <f>IF(A327="Q42027",COUNTIF($A$2:$A327,"Q42027"),"")</f>
        <v/>
      </c>
      <c r="M327" t="str">
        <f>IF(A327="Backlog",COUNTIF($A$2:$A327,"Backlog"),"")</f>
        <v/>
      </c>
    </row>
    <row r="328" spans="1:13">
      <c r="A328" t="str">
        <f>IF(AND('PO-Backlog2027'!B9&lt;&gt;"",'PO-Backlog2027'!E9&lt;&gt;""),'PO-Backlog2027'!E9,"")</f>
        <v/>
      </c>
      <c r="B328" t="str">
        <f>IF(AND('PO-Backlog2027'!B9&lt;&gt;"",'PO-Backlog2027'!E9&lt;&gt;""),'PO-Backlog2027'!B9,"")</f>
        <v/>
      </c>
      <c r="C328" t="str">
        <f>IF(AND('PO-Backlog2027'!B9&lt;&gt;"",'PO-Backlog2027'!E9&lt;&gt;""),'PO-Backlog2027'!C9,"")</f>
        <v/>
      </c>
      <c r="D328" t="str">
        <f>IF(AND('PO-Backlog2027'!B9&lt;&gt;"",'PO-Backlog2027'!E9&lt;&gt;""),'PO-Backlog2027'!D9,"")</f>
        <v/>
      </c>
      <c r="E328" t="str">
        <f>IF(AND('PO-Backlog2027'!B9&lt;&gt;"",'PO-Backlog2027'!E9&lt;&gt;""),'PO-Backlog2027'!H9,"")</f>
        <v/>
      </c>
      <c r="F328" t="str">
        <f>IF(AND('PO-Backlog2027'!B9&lt;&gt;"",'PO-Backlog2027'!E9&lt;&gt;""),'PO-Backlog2027'!F9,"")</f>
        <v/>
      </c>
      <c r="G328" t="str">
        <f>IF(AND('PO-Backlog2027'!B9&lt;&gt;"",'PO-Backlog2027'!E9&lt;&gt;""),'PO-Backlog2027'!G9,"")</f>
        <v/>
      </c>
      <c r="H328" t="str">
        <f>IF(AND('PO-Backlog2027'!B9&lt;&gt;"",'PO-Backlog2027'!E9&lt;&gt;""),"PO-Backlog2027","")</f>
        <v/>
      </c>
      <c r="I328" t="str">
        <f>IF(A328="Q12027",COUNTIF($A$2:$A328,"Q12027"),"")</f>
        <v/>
      </c>
      <c r="J328" t="str">
        <f>IF(A328="Q22027",COUNTIF($A$2:$A328,"Q22027"),"")</f>
        <v/>
      </c>
      <c r="K328" t="str">
        <f>IF(A328="Q32027",COUNTIF($A$2:$A328,"Q32027"),"")</f>
        <v/>
      </c>
      <c r="L328" t="str">
        <f>IF(A328="Q42027",COUNTIF($A$2:$A328,"Q42027"),"")</f>
        <v/>
      </c>
      <c r="M328" t="str">
        <f>IF(A328="Backlog",COUNTIF($A$2:$A328,"Backlog"),"")</f>
        <v/>
      </c>
    </row>
    <row r="329" spans="1:13">
      <c r="A329" t="str">
        <f>IF(AND('PO-Backlog2027'!B10&lt;&gt;"",'PO-Backlog2027'!E10&lt;&gt;""),'PO-Backlog2027'!E10,"")</f>
        <v/>
      </c>
      <c r="B329" t="str">
        <f>IF(AND('PO-Backlog2027'!B10&lt;&gt;"",'PO-Backlog2027'!E10&lt;&gt;""),'PO-Backlog2027'!B10,"")</f>
        <v/>
      </c>
      <c r="C329" t="str">
        <f>IF(AND('PO-Backlog2027'!B10&lt;&gt;"",'PO-Backlog2027'!E10&lt;&gt;""),'PO-Backlog2027'!C10,"")</f>
        <v/>
      </c>
      <c r="D329" t="str">
        <f>IF(AND('PO-Backlog2027'!B10&lt;&gt;"",'PO-Backlog2027'!E10&lt;&gt;""),'PO-Backlog2027'!D10,"")</f>
        <v/>
      </c>
      <c r="E329" t="str">
        <f>IF(AND('PO-Backlog2027'!B10&lt;&gt;"",'PO-Backlog2027'!E10&lt;&gt;""),'PO-Backlog2027'!H10,"")</f>
        <v/>
      </c>
      <c r="F329" t="str">
        <f>IF(AND('PO-Backlog2027'!B10&lt;&gt;"",'PO-Backlog2027'!E10&lt;&gt;""),'PO-Backlog2027'!F10,"")</f>
        <v/>
      </c>
      <c r="G329" t="str">
        <f>IF(AND('PO-Backlog2027'!B10&lt;&gt;"",'PO-Backlog2027'!E10&lt;&gt;""),'PO-Backlog2027'!G10,"")</f>
        <v/>
      </c>
      <c r="H329" t="str">
        <f>IF(AND('PO-Backlog2027'!B10&lt;&gt;"",'PO-Backlog2027'!E10&lt;&gt;""),"PO-Backlog2027","")</f>
        <v/>
      </c>
      <c r="I329" t="str">
        <f>IF(A329="Q12027",COUNTIF($A$2:$A329,"Q12027"),"")</f>
        <v/>
      </c>
      <c r="J329" t="str">
        <f>IF(A329="Q22027",COUNTIF($A$2:$A329,"Q22027"),"")</f>
        <v/>
      </c>
      <c r="K329" t="str">
        <f>IF(A329="Q32027",COUNTIF($A$2:$A329,"Q32027"),"")</f>
        <v/>
      </c>
      <c r="L329" t="str">
        <f>IF(A329="Q42027",COUNTIF($A$2:$A329,"Q42027"),"")</f>
        <v/>
      </c>
      <c r="M329" t="str">
        <f>IF(A329="Backlog",COUNTIF($A$2:$A329,"Backlog"),"")</f>
        <v/>
      </c>
    </row>
    <row r="330" spans="1:13">
      <c r="A330" t="str">
        <f>IF(AND('PO-Backlog2027'!B11&lt;&gt;"",'PO-Backlog2027'!E11&lt;&gt;""),'PO-Backlog2027'!E11,"")</f>
        <v/>
      </c>
      <c r="B330" t="str">
        <f>IF(AND('PO-Backlog2027'!B11&lt;&gt;"",'PO-Backlog2027'!E11&lt;&gt;""),'PO-Backlog2027'!B11,"")</f>
        <v/>
      </c>
      <c r="C330" t="str">
        <f>IF(AND('PO-Backlog2027'!B11&lt;&gt;"",'PO-Backlog2027'!E11&lt;&gt;""),'PO-Backlog2027'!C11,"")</f>
        <v/>
      </c>
      <c r="D330" t="str">
        <f>IF(AND('PO-Backlog2027'!B11&lt;&gt;"",'PO-Backlog2027'!E11&lt;&gt;""),'PO-Backlog2027'!D11,"")</f>
        <v/>
      </c>
      <c r="E330" t="str">
        <f>IF(AND('PO-Backlog2027'!B11&lt;&gt;"",'PO-Backlog2027'!E11&lt;&gt;""),'PO-Backlog2027'!H11,"")</f>
        <v/>
      </c>
      <c r="F330" t="str">
        <f>IF(AND('PO-Backlog2027'!B11&lt;&gt;"",'PO-Backlog2027'!E11&lt;&gt;""),'PO-Backlog2027'!F11,"")</f>
        <v/>
      </c>
      <c r="G330" t="str">
        <f>IF(AND('PO-Backlog2027'!B11&lt;&gt;"",'PO-Backlog2027'!E11&lt;&gt;""),'PO-Backlog2027'!G11,"")</f>
        <v/>
      </c>
      <c r="H330" t="str">
        <f>IF(AND('PO-Backlog2027'!B11&lt;&gt;"",'PO-Backlog2027'!E11&lt;&gt;""),"PO-Backlog2027","")</f>
        <v/>
      </c>
      <c r="I330" t="str">
        <f>IF(A330="Q12027",COUNTIF($A$2:$A330,"Q12027"),"")</f>
        <v/>
      </c>
      <c r="J330" t="str">
        <f>IF(A330="Q22027",COUNTIF($A$2:$A330,"Q22027"),"")</f>
        <v/>
      </c>
      <c r="K330" t="str">
        <f>IF(A330="Q32027",COUNTIF($A$2:$A330,"Q32027"),"")</f>
        <v/>
      </c>
      <c r="L330" t="str">
        <f>IF(A330="Q42027",COUNTIF($A$2:$A330,"Q42027"),"")</f>
        <v/>
      </c>
      <c r="M330" t="str">
        <f>IF(A330="Backlog",COUNTIF($A$2:$A330,"Backlog"),"")</f>
        <v/>
      </c>
    </row>
    <row r="331" spans="1:13">
      <c r="A331" t="str">
        <f>IF(AND('PO-Backlog2027'!B12&lt;&gt;"",'PO-Backlog2027'!E12&lt;&gt;""),'PO-Backlog2027'!E12,"")</f>
        <v/>
      </c>
      <c r="B331" t="str">
        <f>IF(AND('PO-Backlog2027'!B12&lt;&gt;"",'PO-Backlog2027'!E12&lt;&gt;""),'PO-Backlog2027'!B12,"")</f>
        <v/>
      </c>
      <c r="C331" t="str">
        <f>IF(AND('PO-Backlog2027'!B12&lt;&gt;"",'PO-Backlog2027'!E12&lt;&gt;""),'PO-Backlog2027'!C12,"")</f>
        <v/>
      </c>
      <c r="D331" t="str">
        <f>IF(AND('PO-Backlog2027'!B12&lt;&gt;"",'PO-Backlog2027'!E12&lt;&gt;""),'PO-Backlog2027'!D12,"")</f>
        <v/>
      </c>
      <c r="E331" t="str">
        <f>IF(AND('PO-Backlog2027'!B12&lt;&gt;"",'PO-Backlog2027'!E12&lt;&gt;""),'PO-Backlog2027'!H12,"")</f>
        <v/>
      </c>
      <c r="F331" t="str">
        <f>IF(AND('PO-Backlog2027'!B12&lt;&gt;"",'PO-Backlog2027'!E12&lt;&gt;""),'PO-Backlog2027'!F12,"")</f>
        <v/>
      </c>
      <c r="G331" t="str">
        <f>IF(AND('PO-Backlog2027'!B12&lt;&gt;"",'PO-Backlog2027'!E12&lt;&gt;""),'PO-Backlog2027'!G12,"")</f>
        <v/>
      </c>
      <c r="H331" t="str">
        <f>IF(AND('PO-Backlog2027'!B12&lt;&gt;"",'PO-Backlog2027'!E12&lt;&gt;""),"PO-Backlog2027","")</f>
        <v/>
      </c>
      <c r="I331" t="str">
        <f>IF(A331="Q12027",COUNTIF($A$2:$A331,"Q12027"),"")</f>
        <v/>
      </c>
      <c r="J331" t="str">
        <f>IF(A331="Q22027",COUNTIF($A$2:$A331,"Q22027"),"")</f>
        <v/>
      </c>
      <c r="K331" t="str">
        <f>IF(A331="Q32027",COUNTIF($A$2:$A331,"Q32027"),"")</f>
        <v/>
      </c>
      <c r="L331" t="str">
        <f>IF(A331="Q42027",COUNTIF($A$2:$A331,"Q42027"),"")</f>
        <v/>
      </c>
      <c r="M331" t="str">
        <f>IF(A331="Backlog",COUNTIF($A$2:$A331,"Backlog"),"")</f>
        <v/>
      </c>
    </row>
    <row r="332" spans="1:13">
      <c r="A332" t="str">
        <f>IF(AND('PO-Backlog2027'!B13&lt;&gt;"",'PO-Backlog2027'!E13&lt;&gt;""),'PO-Backlog2027'!E13,"")</f>
        <v/>
      </c>
      <c r="B332" t="str">
        <f>IF(AND('PO-Backlog2027'!B13&lt;&gt;"",'PO-Backlog2027'!E13&lt;&gt;""),'PO-Backlog2027'!B13,"")</f>
        <v/>
      </c>
      <c r="C332" t="str">
        <f>IF(AND('PO-Backlog2027'!B13&lt;&gt;"",'PO-Backlog2027'!E13&lt;&gt;""),'PO-Backlog2027'!C13,"")</f>
        <v/>
      </c>
      <c r="D332" t="str">
        <f>IF(AND('PO-Backlog2027'!B13&lt;&gt;"",'PO-Backlog2027'!E13&lt;&gt;""),'PO-Backlog2027'!D13,"")</f>
        <v/>
      </c>
      <c r="E332" t="str">
        <f>IF(AND('PO-Backlog2027'!B13&lt;&gt;"",'PO-Backlog2027'!E13&lt;&gt;""),'PO-Backlog2027'!H13,"")</f>
        <v/>
      </c>
      <c r="F332" t="str">
        <f>IF(AND('PO-Backlog2027'!B13&lt;&gt;"",'PO-Backlog2027'!E13&lt;&gt;""),'PO-Backlog2027'!F13,"")</f>
        <v/>
      </c>
      <c r="G332" t="str">
        <f>IF(AND('PO-Backlog2027'!B13&lt;&gt;"",'PO-Backlog2027'!E13&lt;&gt;""),'PO-Backlog2027'!G13,"")</f>
        <v/>
      </c>
      <c r="H332" t="str">
        <f>IF(AND('PO-Backlog2027'!B13&lt;&gt;"",'PO-Backlog2027'!E13&lt;&gt;""),"PO-Backlog2027","")</f>
        <v/>
      </c>
      <c r="I332" t="str">
        <f>IF(A332="Q12027",COUNTIF($A$2:$A332,"Q12027"),"")</f>
        <v/>
      </c>
      <c r="J332" t="str">
        <f>IF(A332="Q22027",COUNTIF($A$2:$A332,"Q22027"),"")</f>
        <v/>
      </c>
      <c r="K332" t="str">
        <f>IF(A332="Q32027",COUNTIF($A$2:$A332,"Q32027"),"")</f>
        <v/>
      </c>
      <c r="L332" t="str">
        <f>IF(A332="Q42027",COUNTIF($A$2:$A332,"Q42027"),"")</f>
        <v/>
      </c>
      <c r="M332" t="str">
        <f>IF(A332="Backlog",COUNTIF($A$2:$A332,"Backlog"),"")</f>
        <v/>
      </c>
    </row>
    <row r="333" spans="1:13">
      <c r="A333" t="str">
        <f>IF(AND('PO-Backlog2027'!B14&lt;&gt;"",'PO-Backlog2027'!E14&lt;&gt;""),'PO-Backlog2027'!E14,"")</f>
        <v/>
      </c>
      <c r="B333" t="str">
        <f>IF(AND('PO-Backlog2027'!B14&lt;&gt;"",'PO-Backlog2027'!E14&lt;&gt;""),'PO-Backlog2027'!B14,"")</f>
        <v/>
      </c>
      <c r="C333" t="str">
        <f>IF(AND('PO-Backlog2027'!B14&lt;&gt;"",'PO-Backlog2027'!E14&lt;&gt;""),'PO-Backlog2027'!C14,"")</f>
        <v/>
      </c>
      <c r="D333" t="str">
        <f>IF(AND('PO-Backlog2027'!B14&lt;&gt;"",'PO-Backlog2027'!E14&lt;&gt;""),'PO-Backlog2027'!D14,"")</f>
        <v/>
      </c>
      <c r="E333" t="str">
        <f>IF(AND('PO-Backlog2027'!B14&lt;&gt;"",'PO-Backlog2027'!E14&lt;&gt;""),'PO-Backlog2027'!H14,"")</f>
        <v/>
      </c>
      <c r="F333" t="str">
        <f>IF(AND('PO-Backlog2027'!B14&lt;&gt;"",'PO-Backlog2027'!E14&lt;&gt;""),'PO-Backlog2027'!F14,"")</f>
        <v/>
      </c>
      <c r="G333" t="str">
        <f>IF(AND('PO-Backlog2027'!B14&lt;&gt;"",'PO-Backlog2027'!E14&lt;&gt;""),'PO-Backlog2027'!G14,"")</f>
        <v/>
      </c>
      <c r="H333" t="str">
        <f>IF(AND('PO-Backlog2027'!B14&lt;&gt;"",'PO-Backlog2027'!E14&lt;&gt;""),"PO-Backlog2027","")</f>
        <v/>
      </c>
      <c r="I333" t="str">
        <f>IF(A333="Q12027",COUNTIF($A$2:$A333,"Q12027"),"")</f>
        <v/>
      </c>
      <c r="J333" t="str">
        <f>IF(A333="Q22027",COUNTIF($A$2:$A333,"Q22027"),"")</f>
        <v/>
      </c>
      <c r="K333" t="str">
        <f>IF(A333="Q32027",COUNTIF($A$2:$A333,"Q32027"),"")</f>
        <v/>
      </c>
      <c r="L333" t="str">
        <f>IF(A333="Q42027",COUNTIF($A$2:$A333,"Q42027"),"")</f>
        <v/>
      </c>
      <c r="M333" t="str">
        <f>IF(A333="Backlog",COUNTIF($A$2:$A333,"Backlog"),"")</f>
        <v/>
      </c>
    </row>
    <row r="334" spans="1:13">
      <c r="A334" t="str">
        <f>IF(AND('PO-Backlog2027'!B15&lt;&gt;"",'PO-Backlog2027'!E15&lt;&gt;""),'PO-Backlog2027'!E15,"")</f>
        <v/>
      </c>
      <c r="B334" t="str">
        <f>IF(AND('PO-Backlog2027'!B15&lt;&gt;"",'PO-Backlog2027'!E15&lt;&gt;""),'PO-Backlog2027'!B15,"")</f>
        <v/>
      </c>
      <c r="C334" t="str">
        <f>IF(AND('PO-Backlog2027'!B15&lt;&gt;"",'PO-Backlog2027'!E15&lt;&gt;""),'PO-Backlog2027'!C15,"")</f>
        <v/>
      </c>
      <c r="D334" t="str">
        <f>IF(AND('PO-Backlog2027'!B15&lt;&gt;"",'PO-Backlog2027'!E15&lt;&gt;""),'PO-Backlog2027'!D15,"")</f>
        <v/>
      </c>
      <c r="E334" t="str">
        <f>IF(AND('PO-Backlog2027'!B15&lt;&gt;"",'PO-Backlog2027'!E15&lt;&gt;""),'PO-Backlog2027'!H15,"")</f>
        <v/>
      </c>
      <c r="F334" t="str">
        <f>IF(AND('PO-Backlog2027'!B15&lt;&gt;"",'PO-Backlog2027'!E15&lt;&gt;""),'PO-Backlog2027'!F15,"")</f>
        <v/>
      </c>
      <c r="G334" t="str">
        <f>IF(AND('PO-Backlog2027'!B15&lt;&gt;"",'PO-Backlog2027'!E15&lt;&gt;""),'PO-Backlog2027'!G15,"")</f>
        <v/>
      </c>
      <c r="H334" t="str">
        <f>IF(AND('PO-Backlog2027'!B15&lt;&gt;"",'PO-Backlog2027'!E15&lt;&gt;""),"PO-Backlog2027","")</f>
        <v/>
      </c>
      <c r="I334" t="str">
        <f>IF(A334="Q12027",COUNTIF($A$2:$A334,"Q12027"),"")</f>
        <v/>
      </c>
      <c r="J334" t="str">
        <f>IF(A334="Q22027",COUNTIF($A$2:$A334,"Q22027"),"")</f>
        <v/>
      </c>
      <c r="K334" t="str">
        <f>IF(A334="Q32027",COUNTIF($A$2:$A334,"Q32027"),"")</f>
        <v/>
      </c>
      <c r="L334" t="str">
        <f>IF(A334="Q42027",COUNTIF($A$2:$A334,"Q42027"),"")</f>
        <v/>
      </c>
      <c r="M334" t="str">
        <f>IF(A334="Backlog",COUNTIF($A$2:$A334,"Backlog"),"")</f>
        <v/>
      </c>
    </row>
    <row r="335" spans="1:13">
      <c r="A335" t="str">
        <f>IF(AND('PO-Backlog2027'!B16&lt;&gt;"",'PO-Backlog2027'!E16&lt;&gt;""),'PO-Backlog2027'!E16,"")</f>
        <v/>
      </c>
      <c r="B335" t="str">
        <f>IF(AND('PO-Backlog2027'!B16&lt;&gt;"",'PO-Backlog2027'!E16&lt;&gt;""),'PO-Backlog2027'!B16,"")</f>
        <v/>
      </c>
      <c r="C335" t="str">
        <f>IF(AND('PO-Backlog2027'!B16&lt;&gt;"",'PO-Backlog2027'!E16&lt;&gt;""),'PO-Backlog2027'!C16,"")</f>
        <v/>
      </c>
      <c r="D335" t="str">
        <f>IF(AND('PO-Backlog2027'!B16&lt;&gt;"",'PO-Backlog2027'!E16&lt;&gt;""),'PO-Backlog2027'!D16,"")</f>
        <v/>
      </c>
      <c r="E335" t="str">
        <f>IF(AND('PO-Backlog2027'!B16&lt;&gt;"",'PO-Backlog2027'!E16&lt;&gt;""),'PO-Backlog2027'!H16,"")</f>
        <v/>
      </c>
      <c r="F335" t="str">
        <f>IF(AND('PO-Backlog2027'!B16&lt;&gt;"",'PO-Backlog2027'!E16&lt;&gt;""),'PO-Backlog2027'!F16,"")</f>
        <v/>
      </c>
      <c r="G335" t="str">
        <f>IF(AND('PO-Backlog2027'!B16&lt;&gt;"",'PO-Backlog2027'!E16&lt;&gt;""),'PO-Backlog2027'!G16,"")</f>
        <v/>
      </c>
      <c r="H335" t="str">
        <f>IF(AND('PO-Backlog2027'!B16&lt;&gt;"",'PO-Backlog2027'!E16&lt;&gt;""),"PO-Backlog2027","")</f>
        <v/>
      </c>
      <c r="I335" t="str">
        <f>IF(A335="Q12027",COUNTIF($A$2:$A335,"Q12027"),"")</f>
        <v/>
      </c>
      <c r="J335" t="str">
        <f>IF(A335="Q22027",COUNTIF($A$2:$A335,"Q22027"),"")</f>
        <v/>
      </c>
      <c r="K335" t="str">
        <f>IF(A335="Q32027",COUNTIF($A$2:$A335,"Q32027"),"")</f>
        <v/>
      </c>
      <c r="L335" t="str">
        <f>IF(A335="Q42027",COUNTIF($A$2:$A335,"Q42027"),"")</f>
        <v/>
      </c>
      <c r="M335" t="str">
        <f>IF(A335="Backlog",COUNTIF($A$2:$A335,"Backlog"),"")</f>
        <v/>
      </c>
    </row>
    <row r="336" spans="1:13">
      <c r="A336" t="str">
        <f>IF(AND('PO-Backlog2027'!B17&lt;&gt;"",'PO-Backlog2027'!E17&lt;&gt;""),'PO-Backlog2027'!E17,"")</f>
        <v/>
      </c>
      <c r="B336" t="str">
        <f>IF(AND('PO-Backlog2027'!B17&lt;&gt;"",'PO-Backlog2027'!E17&lt;&gt;""),'PO-Backlog2027'!B17,"")</f>
        <v/>
      </c>
      <c r="C336" t="str">
        <f>IF(AND('PO-Backlog2027'!B17&lt;&gt;"",'PO-Backlog2027'!E17&lt;&gt;""),'PO-Backlog2027'!C17,"")</f>
        <v/>
      </c>
      <c r="D336" t="str">
        <f>IF(AND('PO-Backlog2027'!B17&lt;&gt;"",'PO-Backlog2027'!E17&lt;&gt;""),'PO-Backlog2027'!D17,"")</f>
        <v/>
      </c>
      <c r="E336" t="str">
        <f>IF(AND('PO-Backlog2027'!B17&lt;&gt;"",'PO-Backlog2027'!E17&lt;&gt;""),'PO-Backlog2027'!H17,"")</f>
        <v/>
      </c>
      <c r="F336" t="str">
        <f>IF(AND('PO-Backlog2027'!B17&lt;&gt;"",'PO-Backlog2027'!E17&lt;&gt;""),'PO-Backlog2027'!F17,"")</f>
        <v/>
      </c>
      <c r="G336" t="str">
        <f>IF(AND('PO-Backlog2027'!B17&lt;&gt;"",'PO-Backlog2027'!E17&lt;&gt;""),'PO-Backlog2027'!G17,"")</f>
        <v/>
      </c>
      <c r="H336" t="str">
        <f>IF(AND('PO-Backlog2027'!B17&lt;&gt;"",'PO-Backlog2027'!E17&lt;&gt;""),"PO-Backlog2027","")</f>
        <v/>
      </c>
      <c r="I336" t="str">
        <f>IF(A336="Q12027",COUNTIF($A$2:$A336,"Q12027"),"")</f>
        <v/>
      </c>
      <c r="J336" t="str">
        <f>IF(A336="Q22027",COUNTIF($A$2:$A336,"Q22027"),"")</f>
        <v/>
      </c>
      <c r="K336" t="str">
        <f>IF(A336="Q32027",COUNTIF($A$2:$A336,"Q32027"),"")</f>
        <v/>
      </c>
      <c r="L336" t="str">
        <f>IF(A336="Q42027",COUNTIF($A$2:$A336,"Q42027"),"")</f>
        <v/>
      </c>
      <c r="M336" t="str">
        <f>IF(A336="Backlog",COUNTIF($A$2:$A336,"Backlog"),"")</f>
        <v/>
      </c>
    </row>
    <row r="337" spans="1:13">
      <c r="A337" t="str">
        <f>IF(AND('PO-Backlog2027'!B18&lt;&gt;"",'PO-Backlog2027'!E18&lt;&gt;""),'PO-Backlog2027'!E18,"")</f>
        <v/>
      </c>
      <c r="B337" t="str">
        <f>IF(AND('PO-Backlog2027'!B18&lt;&gt;"",'PO-Backlog2027'!E18&lt;&gt;""),'PO-Backlog2027'!B18,"")</f>
        <v/>
      </c>
      <c r="C337" t="str">
        <f>IF(AND('PO-Backlog2027'!B18&lt;&gt;"",'PO-Backlog2027'!E18&lt;&gt;""),'PO-Backlog2027'!C18,"")</f>
        <v/>
      </c>
      <c r="D337" t="str">
        <f>IF(AND('PO-Backlog2027'!B18&lt;&gt;"",'PO-Backlog2027'!E18&lt;&gt;""),'PO-Backlog2027'!D18,"")</f>
        <v/>
      </c>
      <c r="E337" t="str">
        <f>IF(AND('PO-Backlog2027'!B18&lt;&gt;"",'PO-Backlog2027'!E18&lt;&gt;""),'PO-Backlog2027'!H18,"")</f>
        <v/>
      </c>
      <c r="F337" t="str">
        <f>IF(AND('PO-Backlog2027'!B18&lt;&gt;"",'PO-Backlog2027'!E18&lt;&gt;""),'PO-Backlog2027'!F18,"")</f>
        <v/>
      </c>
      <c r="G337" t="str">
        <f>IF(AND('PO-Backlog2027'!B18&lt;&gt;"",'PO-Backlog2027'!E18&lt;&gt;""),'PO-Backlog2027'!G18,"")</f>
        <v/>
      </c>
      <c r="H337" t="str">
        <f>IF(AND('PO-Backlog2027'!B18&lt;&gt;"",'PO-Backlog2027'!E18&lt;&gt;""),"PO-Backlog2027","")</f>
        <v/>
      </c>
      <c r="I337" t="str">
        <f>IF(A337="Q12027",COUNTIF($A$2:$A337,"Q12027"),"")</f>
        <v/>
      </c>
      <c r="J337" t="str">
        <f>IF(A337="Q22027",COUNTIF($A$2:$A337,"Q22027"),"")</f>
        <v/>
      </c>
      <c r="K337" t="str">
        <f>IF(A337="Q32027",COUNTIF($A$2:$A337,"Q32027"),"")</f>
        <v/>
      </c>
      <c r="L337" t="str">
        <f>IF(A337="Q42027",COUNTIF($A$2:$A337,"Q42027"),"")</f>
        <v/>
      </c>
      <c r="M337" t="str">
        <f>IF(A337="Backlog",COUNTIF($A$2:$A337,"Backlog"),"")</f>
        <v/>
      </c>
    </row>
    <row r="338" spans="1:13">
      <c r="A338" t="str">
        <f>IF(AND('PO-Backlog2027'!B19&lt;&gt;"",'PO-Backlog2027'!E19&lt;&gt;""),'PO-Backlog2027'!E19,"")</f>
        <v/>
      </c>
      <c r="B338" t="str">
        <f>IF(AND('PO-Backlog2027'!B19&lt;&gt;"",'PO-Backlog2027'!E19&lt;&gt;""),'PO-Backlog2027'!B19,"")</f>
        <v/>
      </c>
      <c r="C338" t="str">
        <f>IF(AND('PO-Backlog2027'!B19&lt;&gt;"",'PO-Backlog2027'!E19&lt;&gt;""),'PO-Backlog2027'!C19,"")</f>
        <v/>
      </c>
      <c r="D338" t="str">
        <f>IF(AND('PO-Backlog2027'!B19&lt;&gt;"",'PO-Backlog2027'!E19&lt;&gt;""),'PO-Backlog2027'!D19,"")</f>
        <v/>
      </c>
      <c r="E338" t="str">
        <f>IF(AND('PO-Backlog2027'!B19&lt;&gt;"",'PO-Backlog2027'!E19&lt;&gt;""),'PO-Backlog2027'!H19,"")</f>
        <v/>
      </c>
      <c r="F338" t="str">
        <f>IF(AND('PO-Backlog2027'!B19&lt;&gt;"",'PO-Backlog2027'!E19&lt;&gt;""),'PO-Backlog2027'!F19,"")</f>
        <v/>
      </c>
      <c r="G338" t="str">
        <f>IF(AND('PO-Backlog2027'!B19&lt;&gt;"",'PO-Backlog2027'!E19&lt;&gt;""),'PO-Backlog2027'!G19,"")</f>
        <v/>
      </c>
      <c r="H338" t="str">
        <f>IF(AND('PO-Backlog2027'!B19&lt;&gt;"",'PO-Backlog2027'!E19&lt;&gt;""),"PO-Backlog2027","")</f>
        <v/>
      </c>
      <c r="I338" t="str">
        <f>IF(A338="Q12027",COUNTIF($A$2:$A338,"Q12027"),"")</f>
        <v/>
      </c>
      <c r="J338" t="str">
        <f>IF(A338="Q22027",COUNTIF($A$2:$A338,"Q22027"),"")</f>
        <v/>
      </c>
      <c r="K338" t="str">
        <f>IF(A338="Q32027",COUNTIF($A$2:$A338,"Q32027"),"")</f>
        <v/>
      </c>
      <c r="L338" t="str">
        <f>IF(A338="Q42027",COUNTIF($A$2:$A338,"Q42027"),"")</f>
        <v/>
      </c>
      <c r="M338" t="str">
        <f>IF(A338="Backlog",COUNTIF($A$2:$A338,"Backlog"),"")</f>
        <v/>
      </c>
    </row>
    <row r="339" spans="1:13">
      <c r="A339" t="str">
        <f>IF(AND('PO-Backlog2027'!B20&lt;&gt;"",'PO-Backlog2027'!E20&lt;&gt;""),'PO-Backlog2027'!E20,"")</f>
        <v/>
      </c>
      <c r="B339" t="str">
        <f>IF(AND('PO-Backlog2027'!B20&lt;&gt;"",'PO-Backlog2027'!E20&lt;&gt;""),'PO-Backlog2027'!B20,"")</f>
        <v/>
      </c>
      <c r="C339" t="str">
        <f>IF(AND('PO-Backlog2027'!B20&lt;&gt;"",'PO-Backlog2027'!E20&lt;&gt;""),'PO-Backlog2027'!C20,"")</f>
        <v/>
      </c>
      <c r="D339" t="str">
        <f>IF(AND('PO-Backlog2027'!B20&lt;&gt;"",'PO-Backlog2027'!E20&lt;&gt;""),'PO-Backlog2027'!D20,"")</f>
        <v/>
      </c>
      <c r="E339" t="str">
        <f>IF(AND('PO-Backlog2027'!B20&lt;&gt;"",'PO-Backlog2027'!E20&lt;&gt;""),'PO-Backlog2027'!H20,"")</f>
        <v/>
      </c>
      <c r="F339" t="str">
        <f>IF(AND('PO-Backlog2027'!B20&lt;&gt;"",'PO-Backlog2027'!E20&lt;&gt;""),'PO-Backlog2027'!F20,"")</f>
        <v/>
      </c>
      <c r="G339" t="str">
        <f>IF(AND('PO-Backlog2027'!B20&lt;&gt;"",'PO-Backlog2027'!E20&lt;&gt;""),'PO-Backlog2027'!G20,"")</f>
        <v/>
      </c>
      <c r="H339" t="str">
        <f>IF(AND('PO-Backlog2027'!B20&lt;&gt;"",'PO-Backlog2027'!E20&lt;&gt;""),"PO-Backlog2027","")</f>
        <v/>
      </c>
      <c r="I339" t="str">
        <f>IF(A339="Q12027",COUNTIF($A$2:$A339,"Q12027"),"")</f>
        <v/>
      </c>
      <c r="J339" t="str">
        <f>IF(A339="Q22027",COUNTIF($A$2:$A339,"Q22027"),"")</f>
        <v/>
      </c>
      <c r="K339" t="str">
        <f>IF(A339="Q32027",COUNTIF($A$2:$A339,"Q32027"),"")</f>
        <v/>
      </c>
      <c r="L339" t="str">
        <f>IF(A339="Q42027",COUNTIF($A$2:$A339,"Q42027"),"")</f>
        <v/>
      </c>
      <c r="M339" t="str">
        <f>IF(A339="Backlog",COUNTIF($A$2:$A339,"Backlog"),"")</f>
        <v/>
      </c>
    </row>
    <row r="340" spans="1:13">
      <c r="A340" t="str">
        <f>IF(AND('PO-Backlog2027'!B21&lt;&gt;"",'PO-Backlog2027'!E21&lt;&gt;""),'PO-Backlog2027'!E21,"")</f>
        <v/>
      </c>
      <c r="B340" t="str">
        <f>IF(AND('PO-Backlog2027'!B21&lt;&gt;"",'PO-Backlog2027'!E21&lt;&gt;""),'PO-Backlog2027'!B21,"")</f>
        <v/>
      </c>
      <c r="C340" t="str">
        <f>IF(AND('PO-Backlog2027'!B21&lt;&gt;"",'PO-Backlog2027'!E21&lt;&gt;""),'PO-Backlog2027'!C21,"")</f>
        <v/>
      </c>
      <c r="D340" t="str">
        <f>IF(AND('PO-Backlog2027'!B21&lt;&gt;"",'PO-Backlog2027'!E21&lt;&gt;""),'PO-Backlog2027'!D21,"")</f>
        <v/>
      </c>
      <c r="E340" t="str">
        <f>IF(AND('PO-Backlog2027'!B21&lt;&gt;"",'PO-Backlog2027'!E21&lt;&gt;""),'PO-Backlog2027'!H21,"")</f>
        <v/>
      </c>
      <c r="F340" t="str">
        <f>IF(AND('PO-Backlog2027'!B21&lt;&gt;"",'PO-Backlog2027'!E21&lt;&gt;""),'PO-Backlog2027'!F21,"")</f>
        <v/>
      </c>
      <c r="G340" t="str">
        <f>IF(AND('PO-Backlog2027'!B21&lt;&gt;"",'PO-Backlog2027'!E21&lt;&gt;""),'PO-Backlog2027'!G21,"")</f>
        <v/>
      </c>
      <c r="H340" t="str">
        <f>IF(AND('PO-Backlog2027'!B21&lt;&gt;"",'PO-Backlog2027'!E21&lt;&gt;""),"PO-Backlog2027","")</f>
        <v/>
      </c>
      <c r="I340" t="str">
        <f>IF(A340="Q12027",COUNTIF($A$2:$A340,"Q12027"),"")</f>
        <v/>
      </c>
      <c r="J340" t="str">
        <f>IF(A340="Q22027",COUNTIF($A$2:$A340,"Q22027"),"")</f>
        <v/>
      </c>
      <c r="K340" t="str">
        <f>IF(A340="Q32027",COUNTIF($A$2:$A340,"Q32027"),"")</f>
        <v/>
      </c>
      <c r="L340" t="str">
        <f>IF(A340="Q42027",COUNTIF($A$2:$A340,"Q42027"),"")</f>
        <v/>
      </c>
      <c r="M340" t="str">
        <f>IF(A340="Backlog",COUNTIF($A$2:$A340,"Backlog"),"")</f>
        <v/>
      </c>
    </row>
    <row r="341" spans="1:13">
      <c r="A341" t="str">
        <f>IF(AND('PO-Backlog2027'!B22&lt;&gt;"",'PO-Backlog2027'!E22&lt;&gt;""),'PO-Backlog2027'!E22,"")</f>
        <v/>
      </c>
      <c r="B341" t="str">
        <f>IF(AND('PO-Backlog2027'!B22&lt;&gt;"",'PO-Backlog2027'!E22&lt;&gt;""),'PO-Backlog2027'!B22,"")</f>
        <v/>
      </c>
      <c r="C341" t="str">
        <f>IF(AND('PO-Backlog2027'!B22&lt;&gt;"",'PO-Backlog2027'!E22&lt;&gt;""),'PO-Backlog2027'!C22,"")</f>
        <v/>
      </c>
      <c r="D341" t="str">
        <f>IF(AND('PO-Backlog2027'!B22&lt;&gt;"",'PO-Backlog2027'!E22&lt;&gt;""),'PO-Backlog2027'!D22,"")</f>
        <v/>
      </c>
      <c r="E341" t="str">
        <f>IF(AND('PO-Backlog2027'!B22&lt;&gt;"",'PO-Backlog2027'!E22&lt;&gt;""),'PO-Backlog2027'!H22,"")</f>
        <v/>
      </c>
      <c r="F341" t="str">
        <f>IF(AND('PO-Backlog2027'!B22&lt;&gt;"",'PO-Backlog2027'!E22&lt;&gt;""),'PO-Backlog2027'!F22,"")</f>
        <v/>
      </c>
      <c r="G341" t="str">
        <f>IF(AND('PO-Backlog2027'!B22&lt;&gt;"",'PO-Backlog2027'!E22&lt;&gt;""),'PO-Backlog2027'!G22,"")</f>
        <v/>
      </c>
      <c r="H341" t="str">
        <f>IF(AND('PO-Backlog2027'!B22&lt;&gt;"",'PO-Backlog2027'!E22&lt;&gt;""),"PO-Backlog2027","")</f>
        <v/>
      </c>
      <c r="I341" t="str">
        <f>IF(A341="Q12027",COUNTIF($A$2:$A341,"Q12027"),"")</f>
        <v/>
      </c>
      <c r="J341" t="str">
        <f>IF(A341="Q22027",COUNTIF($A$2:$A341,"Q22027"),"")</f>
        <v/>
      </c>
      <c r="K341" t="str">
        <f>IF(A341="Q32027",COUNTIF($A$2:$A341,"Q32027"),"")</f>
        <v/>
      </c>
      <c r="L341" t="str">
        <f>IF(A341="Q42027",COUNTIF($A$2:$A341,"Q42027"),"")</f>
        <v/>
      </c>
      <c r="M341" t="str">
        <f>IF(A341="Backlog",COUNTIF($A$2:$A341,"Backlog"),"")</f>
        <v/>
      </c>
    </row>
    <row r="342" spans="1:13">
      <c r="A342" t="str">
        <f>IF(AND('PO-Backlog2027'!B23&lt;&gt;"",'PO-Backlog2027'!E23&lt;&gt;""),'PO-Backlog2027'!E23,"")</f>
        <v/>
      </c>
      <c r="B342" t="str">
        <f>IF(AND('PO-Backlog2027'!B23&lt;&gt;"",'PO-Backlog2027'!E23&lt;&gt;""),'PO-Backlog2027'!B23,"")</f>
        <v/>
      </c>
      <c r="C342" t="str">
        <f>IF(AND('PO-Backlog2027'!B23&lt;&gt;"",'PO-Backlog2027'!E23&lt;&gt;""),'PO-Backlog2027'!C23,"")</f>
        <v/>
      </c>
      <c r="D342" t="str">
        <f>IF(AND('PO-Backlog2027'!B23&lt;&gt;"",'PO-Backlog2027'!E23&lt;&gt;""),'PO-Backlog2027'!D23,"")</f>
        <v/>
      </c>
      <c r="E342" t="str">
        <f>IF(AND('PO-Backlog2027'!B23&lt;&gt;"",'PO-Backlog2027'!E23&lt;&gt;""),'PO-Backlog2027'!H23,"")</f>
        <v/>
      </c>
      <c r="F342" t="str">
        <f>IF(AND('PO-Backlog2027'!B23&lt;&gt;"",'PO-Backlog2027'!E23&lt;&gt;""),'PO-Backlog2027'!F23,"")</f>
        <v/>
      </c>
      <c r="G342" t="str">
        <f>IF(AND('PO-Backlog2027'!B23&lt;&gt;"",'PO-Backlog2027'!E23&lt;&gt;""),'PO-Backlog2027'!G23,"")</f>
        <v/>
      </c>
      <c r="H342" t="str">
        <f>IF(AND('PO-Backlog2027'!B23&lt;&gt;"",'PO-Backlog2027'!E23&lt;&gt;""),"PO-Backlog2027","")</f>
        <v/>
      </c>
      <c r="I342" t="str">
        <f>IF(A342="Q12027",COUNTIF($A$2:$A342,"Q12027"),"")</f>
        <v/>
      </c>
      <c r="J342" t="str">
        <f>IF(A342="Q22027",COUNTIF($A$2:$A342,"Q22027"),"")</f>
        <v/>
      </c>
      <c r="K342" t="str">
        <f>IF(A342="Q32027",COUNTIF($A$2:$A342,"Q32027"),"")</f>
        <v/>
      </c>
      <c r="L342" t="str">
        <f>IF(A342="Q42027",COUNTIF($A$2:$A342,"Q42027"),"")</f>
        <v/>
      </c>
      <c r="M342" t="str">
        <f>IF(A342="Backlog",COUNTIF($A$2:$A342,"Backlog"),"")</f>
        <v/>
      </c>
    </row>
    <row r="343" spans="1:13">
      <c r="A343" t="str">
        <f>IF(AND('PO-Backlog2027'!B24&lt;&gt;"",'PO-Backlog2027'!E24&lt;&gt;""),'PO-Backlog2027'!E24,"")</f>
        <v/>
      </c>
      <c r="B343" t="str">
        <f>IF(AND('PO-Backlog2027'!B24&lt;&gt;"",'PO-Backlog2027'!E24&lt;&gt;""),'PO-Backlog2027'!B24,"")</f>
        <v/>
      </c>
      <c r="C343" t="str">
        <f>IF(AND('PO-Backlog2027'!B24&lt;&gt;"",'PO-Backlog2027'!E24&lt;&gt;""),'PO-Backlog2027'!C24,"")</f>
        <v/>
      </c>
      <c r="D343" t="str">
        <f>IF(AND('PO-Backlog2027'!B24&lt;&gt;"",'PO-Backlog2027'!E24&lt;&gt;""),'PO-Backlog2027'!D24,"")</f>
        <v/>
      </c>
      <c r="E343" t="str">
        <f>IF(AND('PO-Backlog2027'!B24&lt;&gt;"",'PO-Backlog2027'!E24&lt;&gt;""),'PO-Backlog2027'!H24,"")</f>
        <v/>
      </c>
      <c r="F343" t="str">
        <f>IF(AND('PO-Backlog2027'!B24&lt;&gt;"",'PO-Backlog2027'!E24&lt;&gt;""),'PO-Backlog2027'!F24,"")</f>
        <v/>
      </c>
      <c r="G343" t="str">
        <f>IF(AND('PO-Backlog2027'!B24&lt;&gt;"",'PO-Backlog2027'!E24&lt;&gt;""),'PO-Backlog2027'!G24,"")</f>
        <v/>
      </c>
      <c r="H343" t="str">
        <f>IF(AND('PO-Backlog2027'!B24&lt;&gt;"",'PO-Backlog2027'!E24&lt;&gt;""),"PO-Backlog2027","")</f>
        <v/>
      </c>
      <c r="I343" t="str">
        <f>IF(A343="Q12027",COUNTIF($A$2:$A343,"Q12027"),"")</f>
        <v/>
      </c>
      <c r="J343" t="str">
        <f>IF(A343="Q22027",COUNTIF($A$2:$A343,"Q22027"),"")</f>
        <v/>
      </c>
      <c r="K343" t="str">
        <f>IF(A343="Q32027",COUNTIF($A$2:$A343,"Q32027"),"")</f>
        <v/>
      </c>
      <c r="L343" t="str">
        <f>IF(A343="Q42027",COUNTIF($A$2:$A343,"Q42027"),"")</f>
        <v/>
      </c>
      <c r="M343" t="str">
        <f>IF(A343="Backlog",COUNTIF($A$2:$A343,"Backlog"),"")</f>
        <v/>
      </c>
    </row>
    <row r="344" spans="1:13">
      <c r="A344" t="str">
        <f>IF(AND('PO-Backlog2027'!B25&lt;&gt;"",'PO-Backlog2027'!E25&lt;&gt;""),'PO-Backlog2027'!E25,"")</f>
        <v/>
      </c>
      <c r="B344" t="str">
        <f>IF(AND('PO-Backlog2027'!B25&lt;&gt;"",'PO-Backlog2027'!E25&lt;&gt;""),'PO-Backlog2027'!B25,"")</f>
        <v/>
      </c>
      <c r="C344" t="str">
        <f>IF(AND('PO-Backlog2027'!B25&lt;&gt;"",'PO-Backlog2027'!E25&lt;&gt;""),'PO-Backlog2027'!C25,"")</f>
        <v/>
      </c>
      <c r="D344" t="str">
        <f>IF(AND('PO-Backlog2027'!B25&lt;&gt;"",'PO-Backlog2027'!E25&lt;&gt;""),'PO-Backlog2027'!D25,"")</f>
        <v/>
      </c>
      <c r="E344" t="str">
        <f>IF(AND('PO-Backlog2027'!B25&lt;&gt;"",'PO-Backlog2027'!E25&lt;&gt;""),'PO-Backlog2027'!H25,"")</f>
        <v/>
      </c>
      <c r="F344" t="str">
        <f>IF(AND('PO-Backlog2027'!B25&lt;&gt;"",'PO-Backlog2027'!E25&lt;&gt;""),'PO-Backlog2027'!F25,"")</f>
        <v/>
      </c>
      <c r="G344" t="str">
        <f>IF(AND('PO-Backlog2027'!B25&lt;&gt;"",'PO-Backlog2027'!E25&lt;&gt;""),'PO-Backlog2027'!G25,"")</f>
        <v/>
      </c>
      <c r="H344" t="str">
        <f>IF(AND('PO-Backlog2027'!B25&lt;&gt;"",'PO-Backlog2027'!E25&lt;&gt;""),"PO-Backlog2027","")</f>
        <v/>
      </c>
      <c r="I344" t="str">
        <f>IF(A344="Q12027",COUNTIF($A$2:$A344,"Q12027"),"")</f>
        <v/>
      </c>
      <c r="J344" t="str">
        <f>IF(A344="Q22027",COUNTIF($A$2:$A344,"Q22027"),"")</f>
        <v/>
      </c>
      <c r="K344" t="str">
        <f>IF(A344="Q32027",COUNTIF($A$2:$A344,"Q32027"),"")</f>
        <v/>
      </c>
      <c r="L344" t="str">
        <f>IF(A344="Q42027",COUNTIF($A$2:$A344,"Q42027"),"")</f>
        <v/>
      </c>
      <c r="M344" t="str">
        <f>IF(A344="Backlog",COUNTIF($A$2:$A344,"Backlog"),"")</f>
        <v/>
      </c>
    </row>
    <row r="345" spans="1:13">
      <c r="A345" t="str">
        <f>IF(AND('PO-Backlog2027'!B26&lt;&gt;"",'PO-Backlog2027'!E26&lt;&gt;""),'PO-Backlog2027'!E26,"")</f>
        <v/>
      </c>
      <c r="B345" t="str">
        <f>IF(AND('PO-Backlog2027'!B26&lt;&gt;"",'PO-Backlog2027'!E26&lt;&gt;""),'PO-Backlog2027'!B26,"")</f>
        <v/>
      </c>
      <c r="C345" t="str">
        <f>IF(AND('PO-Backlog2027'!B26&lt;&gt;"",'PO-Backlog2027'!E26&lt;&gt;""),'PO-Backlog2027'!C26,"")</f>
        <v/>
      </c>
      <c r="D345" t="str">
        <f>IF(AND('PO-Backlog2027'!B26&lt;&gt;"",'PO-Backlog2027'!E26&lt;&gt;""),'PO-Backlog2027'!D26,"")</f>
        <v/>
      </c>
      <c r="E345" t="str">
        <f>IF(AND('PO-Backlog2027'!B26&lt;&gt;"",'PO-Backlog2027'!E26&lt;&gt;""),'PO-Backlog2027'!H26,"")</f>
        <v/>
      </c>
      <c r="F345" t="str">
        <f>IF(AND('PO-Backlog2027'!B26&lt;&gt;"",'PO-Backlog2027'!E26&lt;&gt;""),'PO-Backlog2027'!F26,"")</f>
        <v/>
      </c>
      <c r="G345" t="str">
        <f>IF(AND('PO-Backlog2027'!B26&lt;&gt;"",'PO-Backlog2027'!E26&lt;&gt;""),'PO-Backlog2027'!G26,"")</f>
        <v/>
      </c>
      <c r="H345" t="str">
        <f>IF(AND('PO-Backlog2027'!B26&lt;&gt;"",'PO-Backlog2027'!E26&lt;&gt;""),"PO-Backlog2027","")</f>
        <v/>
      </c>
      <c r="I345" t="str">
        <f>IF(A345="Q12027",COUNTIF($A$2:$A345,"Q12027"),"")</f>
        <v/>
      </c>
      <c r="J345" t="str">
        <f>IF(A345="Q22027",COUNTIF($A$2:$A345,"Q22027"),"")</f>
        <v/>
      </c>
      <c r="K345" t="str">
        <f>IF(A345="Q32027",COUNTIF($A$2:$A345,"Q32027"),"")</f>
        <v/>
      </c>
      <c r="L345" t="str">
        <f>IF(A345="Q42027",COUNTIF($A$2:$A345,"Q42027"),"")</f>
        <v/>
      </c>
      <c r="M345" t="str">
        <f>IF(A345="Backlog",COUNTIF($A$2:$A345,"Backlog"),"")</f>
        <v/>
      </c>
    </row>
    <row r="346" spans="1:13">
      <c r="A346" t="str">
        <f>IF(AND('PO-Backlog2027'!B27&lt;&gt;"",'PO-Backlog2027'!E27&lt;&gt;""),'PO-Backlog2027'!E27,"")</f>
        <v/>
      </c>
      <c r="B346" t="str">
        <f>IF(AND('PO-Backlog2027'!B27&lt;&gt;"",'PO-Backlog2027'!E27&lt;&gt;""),'PO-Backlog2027'!B27,"")</f>
        <v/>
      </c>
      <c r="C346" t="str">
        <f>IF(AND('PO-Backlog2027'!B27&lt;&gt;"",'PO-Backlog2027'!E27&lt;&gt;""),'PO-Backlog2027'!C27,"")</f>
        <v/>
      </c>
      <c r="D346" t="str">
        <f>IF(AND('PO-Backlog2027'!B27&lt;&gt;"",'PO-Backlog2027'!E27&lt;&gt;""),'PO-Backlog2027'!D27,"")</f>
        <v/>
      </c>
      <c r="E346" t="str">
        <f>IF(AND('PO-Backlog2027'!B27&lt;&gt;"",'PO-Backlog2027'!E27&lt;&gt;""),'PO-Backlog2027'!H27,"")</f>
        <v/>
      </c>
      <c r="F346" t="str">
        <f>IF(AND('PO-Backlog2027'!B27&lt;&gt;"",'PO-Backlog2027'!E27&lt;&gt;""),'PO-Backlog2027'!F27,"")</f>
        <v/>
      </c>
      <c r="G346" t="str">
        <f>IF(AND('PO-Backlog2027'!B27&lt;&gt;"",'PO-Backlog2027'!E27&lt;&gt;""),'PO-Backlog2027'!G27,"")</f>
        <v/>
      </c>
      <c r="H346" t="str">
        <f>IF(AND('PO-Backlog2027'!B27&lt;&gt;"",'PO-Backlog2027'!E27&lt;&gt;""),"PO-Backlog2027","")</f>
        <v/>
      </c>
      <c r="I346" t="str">
        <f>IF(A346="Q12027",COUNTIF($A$2:$A346,"Q12027"),"")</f>
        <v/>
      </c>
      <c r="J346" t="str">
        <f>IF(A346="Q22027",COUNTIF($A$2:$A346,"Q22027"),"")</f>
        <v/>
      </c>
      <c r="K346" t="str">
        <f>IF(A346="Q32027",COUNTIF($A$2:$A346,"Q32027"),"")</f>
        <v/>
      </c>
      <c r="L346" t="str">
        <f>IF(A346="Q42027",COUNTIF($A$2:$A346,"Q42027"),"")</f>
        <v/>
      </c>
      <c r="M346" t="str">
        <f>IF(A346="Backlog",COUNTIF($A$2:$A346,"Backlog"),"")</f>
        <v/>
      </c>
    </row>
    <row r="347" spans="1:13">
      <c r="A347" t="str">
        <f>IF(AND('PO-Backlog2027'!B28&lt;&gt;"",'PO-Backlog2027'!E28&lt;&gt;""),'PO-Backlog2027'!E28,"")</f>
        <v/>
      </c>
      <c r="B347" t="str">
        <f>IF(AND('PO-Backlog2027'!B28&lt;&gt;"",'PO-Backlog2027'!E28&lt;&gt;""),'PO-Backlog2027'!B28,"")</f>
        <v/>
      </c>
      <c r="C347" t="str">
        <f>IF(AND('PO-Backlog2027'!B28&lt;&gt;"",'PO-Backlog2027'!E28&lt;&gt;""),'PO-Backlog2027'!C28,"")</f>
        <v/>
      </c>
      <c r="D347" t="str">
        <f>IF(AND('PO-Backlog2027'!B28&lt;&gt;"",'PO-Backlog2027'!E28&lt;&gt;""),'PO-Backlog2027'!D28,"")</f>
        <v/>
      </c>
      <c r="E347" t="str">
        <f>IF(AND('PO-Backlog2027'!B28&lt;&gt;"",'PO-Backlog2027'!E28&lt;&gt;""),'PO-Backlog2027'!H28,"")</f>
        <v/>
      </c>
      <c r="F347" t="str">
        <f>IF(AND('PO-Backlog2027'!B28&lt;&gt;"",'PO-Backlog2027'!E28&lt;&gt;""),'PO-Backlog2027'!F28,"")</f>
        <v/>
      </c>
      <c r="G347" t="str">
        <f>IF(AND('PO-Backlog2027'!B28&lt;&gt;"",'PO-Backlog2027'!E28&lt;&gt;""),'PO-Backlog2027'!G28,"")</f>
        <v/>
      </c>
      <c r="H347" t="str">
        <f>IF(AND('PO-Backlog2027'!B28&lt;&gt;"",'PO-Backlog2027'!E28&lt;&gt;""),"PO-Backlog2027","")</f>
        <v/>
      </c>
      <c r="I347" t="str">
        <f>IF(A347="Q12027",COUNTIF($A$2:$A347,"Q12027"),"")</f>
        <v/>
      </c>
      <c r="J347" t="str">
        <f>IF(A347="Q22027",COUNTIF($A$2:$A347,"Q22027"),"")</f>
        <v/>
      </c>
      <c r="K347" t="str">
        <f>IF(A347="Q32027",COUNTIF($A$2:$A347,"Q32027"),"")</f>
        <v/>
      </c>
      <c r="L347" t="str">
        <f>IF(A347="Q42027",COUNTIF($A$2:$A347,"Q42027"),"")</f>
        <v/>
      </c>
      <c r="M347" t="str">
        <f>IF(A347="Backlog",COUNTIF($A$2:$A347,"Backlog"),"")</f>
        <v/>
      </c>
    </row>
    <row r="348" spans="1:13">
      <c r="A348" t="str">
        <f>IF(AND('PO-Backlog2027'!B29&lt;&gt;"",'PO-Backlog2027'!E29&lt;&gt;""),'PO-Backlog2027'!E29,"")</f>
        <v/>
      </c>
      <c r="B348" t="str">
        <f>IF(AND('PO-Backlog2027'!B29&lt;&gt;"",'PO-Backlog2027'!E29&lt;&gt;""),'PO-Backlog2027'!B29,"")</f>
        <v/>
      </c>
      <c r="C348" t="str">
        <f>IF(AND('PO-Backlog2027'!B29&lt;&gt;"",'PO-Backlog2027'!E29&lt;&gt;""),'PO-Backlog2027'!C29,"")</f>
        <v/>
      </c>
      <c r="D348" t="str">
        <f>IF(AND('PO-Backlog2027'!B29&lt;&gt;"",'PO-Backlog2027'!E29&lt;&gt;""),'PO-Backlog2027'!D29,"")</f>
        <v/>
      </c>
      <c r="E348" t="str">
        <f>IF(AND('PO-Backlog2027'!B29&lt;&gt;"",'PO-Backlog2027'!E29&lt;&gt;""),'PO-Backlog2027'!H29,"")</f>
        <v/>
      </c>
      <c r="F348" t="str">
        <f>IF(AND('PO-Backlog2027'!B29&lt;&gt;"",'PO-Backlog2027'!E29&lt;&gt;""),'PO-Backlog2027'!F29,"")</f>
        <v/>
      </c>
      <c r="G348" t="str">
        <f>IF(AND('PO-Backlog2027'!B29&lt;&gt;"",'PO-Backlog2027'!E29&lt;&gt;""),'PO-Backlog2027'!G29,"")</f>
        <v/>
      </c>
      <c r="H348" t="str">
        <f>IF(AND('PO-Backlog2027'!B29&lt;&gt;"",'PO-Backlog2027'!E29&lt;&gt;""),"PO-Backlog2027","")</f>
        <v/>
      </c>
      <c r="I348" t="str">
        <f>IF(A348="Q12027",COUNTIF($A$2:$A348,"Q12027"),"")</f>
        <v/>
      </c>
      <c r="J348" t="str">
        <f>IF(A348="Q22027",COUNTIF($A$2:$A348,"Q22027"),"")</f>
        <v/>
      </c>
      <c r="K348" t="str">
        <f>IF(A348="Q32027",COUNTIF($A$2:$A348,"Q32027"),"")</f>
        <v/>
      </c>
      <c r="L348" t="str">
        <f>IF(A348="Q42027",COUNTIF($A$2:$A348,"Q42027"),"")</f>
        <v/>
      </c>
      <c r="M348" t="str">
        <f>IF(A348="Backlog",COUNTIF($A$2:$A348,"Backlog"),"")</f>
        <v/>
      </c>
    </row>
    <row r="349" spans="1:13">
      <c r="A349" t="str">
        <f>IF(AND('PO-Backlog2027'!B30&lt;&gt;"",'PO-Backlog2027'!E30&lt;&gt;""),'PO-Backlog2027'!E30,"")</f>
        <v/>
      </c>
      <c r="B349" t="str">
        <f>IF(AND('PO-Backlog2027'!B30&lt;&gt;"",'PO-Backlog2027'!E30&lt;&gt;""),'PO-Backlog2027'!B30,"")</f>
        <v/>
      </c>
      <c r="C349" t="str">
        <f>IF(AND('PO-Backlog2027'!B30&lt;&gt;"",'PO-Backlog2027'!E30&lt;&gt;""),'PO-Backlog2027'!C30,"")</f>
        <v/>
      </c>
      <c r="D349" t="str">
        <f>IF(AND('PO-Backlog2027'!B30&lt;&gt;"",'PO-Backlog2027'!E30&lt;&gt;""),'PO-Backlog2027'!D30,"")</f>
        <v/>
      </c>
      <c r="E349" t="str">
        <f>IF(AND('PO-Backlog2027'!B30&lt;&gt;"",'PO-Backlog2027'!E30&lt;&gt;""),'PO-Backlog2027'!H30,"")</f>
        <v/>
      </c>
      <c r="F349" t="str">
        <f>IF(AND('PO-Backlog2027'!B30&lt;&gt;"",'PO-Backlog2027'!E30&lt;&gt;""),'PO-Backlog2027'!F30,"")</f>
        <v/>
      </c>
      <c r="G349" t="str">
        <f>IF(AND('PO-Backlog2027'!B30&lt;&gt;"",'PO-Backlog2027'!E30&lt;&gt;""),'PO-Backlog2027'!G30,"")</f>
        <v/>
      </c>
      <c r="H349" t="str">
        <f>IF(AND('PO-Backlog2027'!B30&lt;&gt;"",'PO-Backlog2027'!E30&lt;&gt;""),"PO-Backlog2027","")</f>
        <v/>
      </c>
      <c r="I349" t="str">
        <f>IF(A349="Q12027",COUNTIF($A$2:$A349,"Q12027"),"")</f>
        <v/>
      </c>
      <c r="J349" t="str">
        <f>IF(A349="Q22027",COUNTIF($A$2:$A349,"Q22027"),"")</f>
        <v/>
      </c>
      <c r="K349" t="str">
        <f>IF(A349="Q32027",COUNTIF($A$2:$A349,"Q32027"),"")</f>
        <v/>
      </c>
      <c r="L349" t="str">
        <f>IF(A349="Q42027",COUNTIF($A$2:$A349,"Q42027"),"")</f>
        <v/>
      </c>
      <c r="M349" t="str">
        <f>IF(A349="Backlog",COUNTIF($A$2:$A349,"Backlog"),"")</f>
        <v/>
      </c>
    </row>
    <row r="350" spans="1:13">
      <c r="A350" t="str">
        <f>IF(AND('PO-Backlog2027'!B31&lt;&gt;"",'PO-Backlog2027'!E31&lt;&gt;""),'PO-Backlog2027'!E31,"")</f>
        <v/>
      </c>
      <c r="B350" t="str">
        <f>IF(AND('PO-Backlog2027'!B31&lt;&gt;"",'PO-Backlog2027'!E31&lt;&gt;""),'PO-Backlog2027'!B31,"")</f>
        <v/>
      </c>
      <c r="C350" t="str">
        <f>IF(AND('PO-Backlog2027'!B31&lt;&gt;"",'PO-Backlog2027'!E31&lt;&gt;""),'PO-Backlog2027'!C31,"")</f>
        <v/>
      </c>
      <c r="D350" t="str">
        <f>IF(AND('PO-Backlog2027'!B31&lt;&gt;"",'PO-Backlog2027'!E31&lt;&gt;""),'PO-Backlog2027'!D31,"")</f>
        <v/>
      </c>
      <c r="E350" t="str">
        <f>IF(AND('PO-Backlog2027'!B31&lt;&gt;"",'PO-Backlog2027'!E31&lt;&gt;""),'PO-Backlog2027'!H31,"")</f>
        <v/>
      </c>
      <c r="F350" t="str">
        <f>IF(AND('PO-Backlog2027'!B31&lt;&gt;"",'PO-Backlog2027'!E31&lt;&gt;""),'PO-Backlog2027'!F31,"")</f>
        <v/>
      </c>
      <c r="G350" t="str">
        <f>IF(AND('PO-Backlog2027'!B31&lt;&gt;"",'PO-Backlog2027'!E31&lt;&gt;""),'PO-Backlog2027'!G31,"")</f>
        <v/>
      </c>
      <c r="H350" t="str">
        <f>IF(AND('PO-Backlog2027'!B31&lt;&gt;"",'PO-Backlog2027'!E31&lt;&gt;""),"PO-Backlog2027","")</f>
        <v/>
      </c>
      <c r="I350" t="str">
        <f>IF(A350="Q12027",COUNTIF($A$2:$A350,"Q12027"),"")</f>
        <v/>
      </c>
      <c r="J350" t="str">
        <f>IF(A350="Q22027",COUNTIF($A$2:$A350,"Q22027"),"")</f>
        <v/>
      </c>
      <c r="K350" t="str">
        <f>IF(A350="Q32027",COUNTIF($A$2:$A350,"Q32027"),"")</f>
        <v/>
      </c>
      <c r="L350" t="str">
        <f>IF(A350="Q42027",COUNTIF($A$2:$A350,"Q42027"),"")</f>
        <v/>
      </c>
      <c r="M350" t="str">
        <f>IF(A350="Backlog",COUNTIF($A$2:$A350,"Backlog"),"")</f>
        <v/>
      </c>
    </row>
    <row r="351" spans="1:13">
      <c r="A351" t="str">
        <f>IF(AND('PO-Backlog2027'!B32&lt;&gt;"",'PO-Backlog2027'!E32&lt;&gt;""),'PO-Backlog2027'!E32,"")</f>
        <v/>
      </c>
      <c r="B351" t="str">
        <f>IF(AND('PO-Backlog2027'!B32&lt;&gt;"",'PO-Backlog2027'!E32&lt;&gt;""),'PO-Backlog2027'!B32,"")</f>
        <v/>
      </c>
      <c r="C351" t="str">
        <f>IF(AND('PO-Backlog2027'!B32&lt;&gt;"",'PO-Backlog2027'!E32&lt;&gt;""),'PO-Backlog2027'!C32,"")</f>
        <v/>
      </c>
      <c r="D351" t="str">
        <f>IF(AND('PO-Backlog2027'!B32&lt;&gt;"",'PO-Backlog2027'!E32&lt;&gt;""),'PO-Backlog2027'!D32,"")</f>
        <v/>
      </c>
      <c r="E351" t="str">
        <f>IF(AND('PO-Backlog2027'!B32&lt;&gt;"",'PO-Backlog2027'!E32&lt;&gt;""),'PO-Backlog2027'!H32,"")</f>
        <v/>
      </c>
      <c r="F351" t="str">
        <f>IF(AND('PO-Backlog2027'!B32&lt;&gt;"",'PO-Backlog2027'!E32&lt;&gt;""),'PO-Backlog2027'!F32,"")</f>
        <v/>
      </c>
      <c r="G351" t="str">
        <f>IF(AND('PO-Backlog2027'!B32&lt;&gt;"",'PO-Backlog2027'!E32&lt;&gt;""),'PO-Backlog2027'!G32,"")</f>
        <v/>
      </c>
      <c r="H351" t="str">
        <f>IF(AND('PO-Backlog2027'!B32&lt;&gt;"",'PO-Backlog2027'!E32&lt;&gt;""),"PO-Backlog2027","")</f>
        <v/>
      </c>
      <c r="I351" t="str">
        <f>IF(A351="Q12027",COUNTIF($A$2:$A351,"Q12027"),"")</f>
        <v/>
      </c>
      <c r="J351" t="str">
        <f>IF(A351="Q22027",COUNTIF($A$2:$A351,"Q22027"),"")</f>
        <v/>
      </c>
      <c r="K351" t="str">
        <f>IF(A351="Q32027",COUNTIF($A$2:$A351,"Q32027"),"")</f>
        <v/>
      </c>
      <c r="L351" t="str">
        <f>IF(A351="Q42027",COUNTIF($A$2:$A351,"Q42027"),"")</f>
        <v/>
      </c>
      <c r="M351" t="str">
        <f>IF(A351="Backlog",COUNTIF($A$2:$A351,"Backlog"),"")</f>
        <v/>
      </c>
    </row>
    <row r="352" spans="1:13">
      <c r="A352" t="str">
        <f>IF(AND('PO-Backlog2027'!B33&lt;&gt;"",'PO-Backlog2027'!E33&lt;&gt;""),'PO-Backlog2027'!E33,"")</f>
        <v/>
      </c>
      <c r="B352" t="str">
        <f>IF(AND('PO-Backlog2027'!B33&lt;&gt;"",'PO-Backlog2027'!E33&lt;&gt;""),'PO-Backlog2027'!B33,"")</f>
        <v/>
      </c>
      <c r="C352" t="str">
        <f>IF(AND('PO-Backlog2027'!B33&lt;&gt;"",'PO-Backlog2027'!E33&lt;&gt;""),'PO-Backlog2027'!C33,"")</f>
        <v/>
      </c>
      <c r="D352" t="str">
        <f>IF(AND('PO-Backlog2027'!B33&lt;&gt;"",'PO-Backlog2027'!E33&lt;&gt;""),'PO-Backlog2027'!D33,"")</f>
        <v/>
      </c>
      <c r="E352" t="str">
        <f>IF(AND('PO-Backlog2027'!B33&lt;&gt;"",'PO-Backlog2027'!E33&lt;&gt;""),'PO-Backlog2027'!H33,"")</f>
        <v/>
      </c>
      <c r="F352" t="str">
        <f>IF(AND('PO-Backlog2027'!B33&lt;&gt;"",'PO-Backlog2027'!E33&lt;&gt;""),'PO-Backlog2027'!F33,"")</f>
        <v/>
      </c>
      <c r="G352" t="str">
        <f>IF(AND('PO-Backlog2027'!B33&lt;&gt;"",'PO-Backlog2027'!E33&lt;&gt;""),'PO-Backlog2027'!G33,"")</f>
        <v/>
      </c>
      <c r="H352" t="str">
        <f>IF(AND('PO-Backlog2027'!B33&lt;&gt;"",'PO-Backlog2027'!E33&lt;&gt;""),"PO-Backlog2027","")</f>
        <v/>
      </c>
      <c r="I352" t="str">
        <f>IF(A352="Q12027",COUNTIF($A$2:$A352,"Q12027"),"")</f>
        <v/>
      </c>
      <c r="J352" t="str">
        <f>IF(A352="Q22027",COUNTIF($A$2:$A352,"Q22027"),"")</f>
        <v/>
      </c>
      <c r="K352" t="str">
        <f>IF(A352="Q32027",COUNTIF($A$2:$A352,"Q32027"),"")</f>
        <v/>
      </c>
      <c r="L352" t="str">
        <f>IF(A352="Q42027",COUNTIF($A$2:$A352,"Q42027"),"")</f>
        <v/>
      </c>
      <c r="M352" t="str">
        <f>IF(A352="Backlog",COUNTIF($A$2:$A352,"Backlog"),"")</f>
        <v/>
      </c>
    </row>
    <row r="353" spans="1:13">
      <c r="A353" t="str">
        <f>IF(AND('PO-Backlog2027'!B34&lt;&gt;"",'PO-Backlog2027'!E34&lt;&gt;""),'PO-Backlog2027'!E34,"")</f>
        <v/>
      </c>
      <c r="B353" t="str">
        <f>IF(AND('PO-Backlog2027'!B34&lt;&gt;"",'PO-Backlog2027'!E34&lt;&gt;""),'PO-Backlog2027'!B34,"")</f>
        <v/>
      </c>
      <c r="C353" t="str">
        <f>IF(AND('PO-Backlog2027'!B34&lt;&gt;"",'PO-Backlog2027'!E34&lt;&gt;""),'PO-Backlog2027'!C34,"")</f>
        <v/>
      </c>
      <c r="D353" t="str">
        <f>IF(AND('PO-Backlog2027'!B34&lt;&gt;"",'PO-Backlog2027'!E34&lt;&gt;""),'PO-Backlog2027'!D34,"")</f>
        <v/>
      </c>
      <c r="E353" t="str">
        <f>IF(AND('PO-Backlog2027'!B34&lt;&gt;"",'PO-Backlog2027'!E34&lt;&gt;""),'PO-Backlog2027'!H34,"")</f>
        <v/>
      </c>
      <c r="F353" t="str">
        <f>IF(AND('PO-Backlog2027'!B34&lt;&gt;"",'PO-Backlog2027'!E34&lt;&gt;""),'PO-Backlog2027'!F34,"")</f>
        <v/>
      </c>
      <c r="G353" t="str">
        <f>IF(AND('PO-Backlog2027'!B34&lt;&gt;"",'PO-Backlog2027'!E34&lt;&gt;""),'PO-Backlog2027'!G34,"")</f>
        <v/>
      </c>
      <c r="H353" t="str">
        <f>IF(AND('PO-Backlog2027'!B34&lt;&gt;"",'PO-Backlog2027'!E34&lt;&gt;""),"PO-Backlog2027","")</f>
        <v/>
      </c>
      <c r="I353" t="str">
        <f>IF(A353="Q12027",COUNTIF($A$2:$A353,"Q12027"),"")</f>
        <v/>
      </c>
      <c r="J353" t="str">
        <f>IF(A353="Q22027",COUNTIF($A$2:$A353,"Q22027"),"")</f>
        <v/>
      </c>
      <c r="K353" t="str">
        <f>IF(A353="Q32027",COUNTIF($A$2:$A353,"Q32027"),"")</f>
        <v/>
      </c>
      <c r="L353" t="str">
        <f>IF(A353="Q42027",COUNTIF($A$2:$A353,"Q42027"),"")</f>
        <v/>
      </c>
      <c r="M353" t="str">
        <f>IF(A353="Backlog",COUNTIF($A$2:$A353,"Backlog"),"")</f>
        <v/>
      </c>
    </row>
    <row r="354" spans="1:13">
      <c r="A354" t="str">
        <f>IF(AND('PO-Backlog2027'!B35&lt;&gt;"",'PO-Backlog2027'!E35&lt;&gt;""),'PO-Backlog2027'!E35,"")</f>
        <v/>
      </c>
      <c r="B354" t="str">
        <f>IF(AND('PO-Backlog2027'!B35&lt;&gt;"",'PO-Backlog2027'!E35&lt;&gt;""),'PO-Backlog2027'!B35,"")</f>
        <v/>
      </c>
      <c r="C354" t="str">
        <f>IF(AND('PO-Backlog2027'!B35&lt;&gt;"",'PO-Backlog2027'!E35&lt;&gt;""),'PO-Backlog2027'!C35,"")</f>
        <v/>
      </c>
      <c r="D354" t="str">
        <f>IF(AND('PO-Backlog2027'!B35&lt;&gt;"",'PO-Backlog2027'!E35&lt;&gt;""),'PO-Backlog2027'!D35,"")</f>
        <v/>
      </c>
      <c r="E354" t="str">
        <f>IF(AND('PO-Backlog2027'!B35&lt;&gt;"",'PO-Backlog2027'!E35&lt;&gt;""),'PO-Backlog2027'!H35,"")</f>
        <v/>
      </c>
      <c r="F354" t="str">
        <f>IF(AND('PO-Backlog2027'!B35&lt;&gt;"",'PO-Backlog2027'!E35&lt;&gt;""),'PO-Backlog2027'!F35,"")</f>
        <v/>
      </c>
      <c r="G354" t="str">
        <f>IF(AND('PO-Backlog2027'!B35&lt;&gt;"",'PO-Backlog2027'!E35&lt;&gt;""),'PO-Backlog2027'!G35,"")</f>
        <v/>
      </c>
      <c r="H354" t="str">
        <f>IF(AND('PO-Backlog2027'!B35&lt;&gt;"",'PO-Backlog2027'!E35&lt;&gt;""),"PO-Backlog2027","")</f>
        <v/>
      </c>
      <c r="I354" t="str">
        <f>IF(A354="Q12027",COUNTIF($A$2:$A354,"Q12027"),"")</f>
        <v/>
      </c>
      <c r="J354" t="str">
        <f>IF(A354="Q22027",COUNTIF($A$2:$A354,"Q22027"),"")</f>
        <v/>
      </c>
      <c r="K354" t="str">
        <f>IF(A354="Q32027",COUNTIF($A$2:$A354,"Q32027"),"")</f>
        <v/>
      </c>
      <c r="L354" t="str">
        <f>IF(A354="Q42027",COUNTIF($A$2:$A354,"Q42027"),"")</f>
        <v/>
      </c>
      <c r="M354" t="str">
        <f>IF(A354="Backlog",COUNTIF($A$2:$A354,"Backlog"),"")</f>
        <v/>
      </c>
    </row>
    <row r="355" spans="1:13">
      <c r="A355" t="str">
        <f>IF(AND('PO-Backlog2027'!B36&lt;&gt;"",'PO-Backlog2027'!E36&lt;&gt;""),'PO-Backlog2027'!E36,"")</f>
        <v/>
      </c>
      <c r="B355" t="str">
        <f>IF(AND('PO-Backlog2027'!B36&lt;&gt;"",'PO-Backlog2027'!E36&lt;&gt;""),'PO-Backlog2027'!B36,"")</f>
        <v/>
      </c>
      <c r="C355" t="str">
        <f>IF(AND('PO-Backlog2027'!B36&lt;&gt;"",'PO-Backlog2027'!E36&lt;&gt;""),'PO-Backlog2027'!C36,"")</f>
        <v/>
      </c>
      <c r="D355" t="str">
        <f>IF(AND('PO-Backlog2027'!B36&lt;&gt;"",'PO-Backlog2027'!E36&lt;&gt;""),'PO-Backlog2027'!D36,"")</f>
        <v/>
      </c>
      <c r="E355" t="str">
        <f>IF(AND('PO-Backlog2027'!B36&lt;&gt;"",'PO-Backlog2027'!E36&lt;&gt;""),'PO-Backlog2027'!H36,"")</f>
        <v/>
      </c>
      <c r="F355" t="str">
        <f>IF(AND('PO-Backlog2027'!B36&lt;&gt;"",'PO-Backlog2027'!E36&lt;&gt;""),'PO-Backlog2027'!F36,"")</f>
        <v/>
      </c>
      <c r="G355" t="str">
        <f>IF(AND('PO-Backlog2027'!B36&lt;&gt;"",'PO-Backlog2027'!E36&lt;&gt;""),'PO-Backlog2027'!G36,"")</f>
        <v/>
      </c>
      <c r="H355" t="str">
        <f>IF(AND('PO-Backlog2027'!B36&lt;&gt;"",'PO-Backlog2027'!E36&lt;&gt;""),"PO-Backlog2027","")</f>
        <v/>
      </c>
      <c r="I355" t="str">
        <f>IF(A355="Q12027",COUNTIF($A$2:$A355,"Q12027"),"")</f>
        <v/>
      </c>
      <c r="J355" t="str">
        <f>IF(A355="Q22027",COUNTIF($A$2:$A355,"Q22027"),"")</f>
        <v/>
      </c>
      <c r="K355" t="str">
        <f>IF(A355="Q32027",COUNTIF($A$2:$A355,"Q32027"),"")</f>
        <v/>
      </c>
      <c r="L355" t="str">
        <f>IF(A355="Q42027",COUNTIF($A$2:$A355,"Q42027"),"")</f>
        <v/>
      </c>
      <c r="M355" t="str">
        <f>IF(A355="Backlog",COUNTIF($A$2:$A355,"Backlog"),"")</f>
        <v/>
      </c>
    </row>
    <row r="356" spans="1:13">
      <c r="A356" t="str">
        <f>IF(AND('PO-Backlog2027'!B37&lt;&gt;"",'PO-Backlog2027'!E37&lt;&gt;""),'PO-Backlog2027'!E37,"")</f>
        <v/>
      </c>
      <c r="B356" t="str">
        <f>IF(AND('PO-Backlog2027'!B37&lt;&gt;"",'PO-Backlog2027'!E37&lt;&gt;""),'PO-Backlog2027'!B37,"")</f>
        <v/>
      </c>
      <c r="C356" t="str">
        <f>IF(AND('PO-Backlog2027'!B37&lt;&gt;"",'PO-Backlog2027'!E37&lt;&gt;""),'PO-Backlog2027'!C37,"")</f>
        <v/>
      </c>
      <c r="D356" t="str">
        <f>IF(AND('PO-Backlog2027'!B37&lt;&gt;"",'PO-Backlog2027'!E37&lt;&gt;""),'PO-Backlog2027'!D37,"")</f>
        <v/>
      </c>
      <c r="E356" t="str">
        <f>IF(AND('PO-Backlog2027'!B37&lt;&gt;"",'PO-Backlog2027'!E37&lt;&gt;""),'PO-Backlog2027'!H37,"")</f>
        <v/>
      </c>
      <c r="F356" t="str">
        <f>IF(AND('PO-Backlog2027'!B37&lt;&gt;"",'PO-Backlog2027'!E37&lt;&gt;""),'PO-Backlog2027'!F37,"")</f>
        <v/>
      </c>
      <c r="G356" t="str">
        <f>IF(AND('PO-Backlog2027'!B37&lt;&gt;"",'PO-Backlog2027'!E37&lt;&gt;""),'PO-Backlog2027'!G37,"")</f>
        <v/>
      </c>
      <c r="H356" t="str">
        <f>IF(AND('PO-Backlog2027'!B37&lt;&gt;"",'PO-Backlog2027'!E37&lt;&gt;""),"PO-Backlog2027","")</f>
        <v/>
      </c>
      <c r="I356" t="str">
        <f>IF(A356="Q12027",COUNTIF($A$2:$A356,"Q12027"),"")</f>
        <v/>
      </c>
      <c r="J356" t="str">
        <f>IF(A356="Q22027",COUNTIF($A$2:$A356,"Q22027"),"")</f>
        <v/>
      </c>
      <c r="K356" t="str">
        <f>IF(A356="Q32027",COUNTIF($A$2:$A356,"Q32027"),"")</f>
        <v/>
      </c>
      <c r="L356" t="str">
        <f>IF(A356="Q42027",COUNTIF($A$2:$A356,"Q42027"),"")</f>
        <v/>
      </c>
      <c r="M356" t="str">
        <f>IF(A356="Backlog",COUNTIF($A$2:$A356,"Backlog"),"")</f>
        <v/>
      </c>
    </row>
    <row r="357" spans="1:13">
      <c r="A357" t="str">
        <f>IF(AND('PO-Backlog2027'!B38&lt;&gt;"",'PO-Backlog2027'!E38&lt;&gt;""),'PO-Backlog2027'!E38,"")</f>
        <v/>
      </c>
      <c r="B357" t="str">
        <f>IF(AND('PO-Backlog2027'!B38&lt;&gt;"",'PO-Backlog2027'!E38&lt;&gt;""),'PO-Backlog2027'!B38,"")</f>
        <v/>
      </c>
      <c r="C357" t="str">
        <f>IF(AND('PO-Backlog2027'!B38&lt;&gt;"",'PO-Backlog2027'!E38&lt;&gt;""),'PO-Backlog2027'!C38,"")</f>
        <v/>
      </c>
      <c r="D357" t="str">
        <f>IF(AND('PO-Backlog2027'!B38&lt;&gt;"",'PO-Backlog2027'!E38&lt;&gt;""),'PO-Backlog2027'!D38,"")</f>
        <v/>
      </c>
      <c r="E357" t="str">
        <f>IF(AND('PO-Backlog2027'!B38&lt;&gt;"",'PO-Backlog2027'!E38&lt;&gt;""),'PO-Backlog2027'!H38,"")</f>
        <v/>
      </c>
      <c r="F357" t="str">
        <f>IF(AND('PO-Backlog2027'!B38&lt;&gt;"",'PO-Backlog2027'!E38&lt;&gt;""),'PO-Backlog2027'!F38,"")</f>
        <v/>
      </c>
      <c r="G357" t="str">
        <f>IF(AND('PO-Backlog2027'!B38&lt;&gt;"",'PO-Backlog2027'!E38&lt;&gt;""),'PO-Backlog2027'!G38,"")</f>
        <v/>
      </c>
      <c r="H357" t="str">
        <f>IF(AND('PO-Backlog2027'!B38&lt;&gt;"",'PO-Backlog2027'!E38&lt;&gt;""),"PO-Backlog2027","")</f>
        <v/>
      </c>
      <c r="I357" t="str">
        <f>IF(A357="Q12027",COUNTIF($A$2:$A357,"Q12027"),"")</f>
        <v/>
      </c>
      <c r="J357" t="str">
        <f>IF(A357="Q22027",COUNTIF($A$2:$A357,"Q22027"),"")</f>
        <v/>
      </c>
      <c r="K357" t="str">
        <f>IF(A357="Q32027",COUNTIF($A$2:$A357,"Q32027"),"")</f>
        <v/>
      </c>
      <c r="L357" t="str">
        <f>IF(A357="Q42027",COUNTIF($A$2:$A357,"Q42027"),"")</f>
        <v/>
      </c>
      <c r="M357" t="str">
        <f>IF(A357="Backlog",COUNTIF($A$2:$A357,"Backlog"),"")</f>
        <v/>
      </c>
    </row>
    <row r="358" spans="1:13">
      <c r="A358" t="str">
        <f>IF(AND('PO-Backlog2027'!B39&lt;&gt;"",'PO-Backlog2027'!E39&lt;&gt;""),'PO-Backlog2027'!E39,"")</f>
        <v/>
      </c>
      <c r="B358" t="str">
        <f>IF(AND('PO-Backlog2027'!B39&lt;&gt;"",'PO-Backlog2027'!E39&lt;&gt;""),'PO-Backlog2027'!B39,"")</f>
        <v/>
      </c>
      <c r="C358" t="str">
        <f>IF(AND('PO-Backlog2027'!B39&lt;&gt;"",'PO-Backlog2027'!E39&lt;&gt;""),'PO-Backlog2027'!C39,"")</f>
        <v/>
      </c>
      <c r="D358" t="str">
        <f>IF(AND('PO-Backlog2027'!B39&lt;&gt;"",'PO-Backlog2027'!E39&lt;&gt;""),'PO-Backlog2027'!D39,"")</f>
        <v/>
      </c>
      <c r="E358" t="str">
        <f>IF(AND('PO-Backlog2027'!B39&lt;&gt;"",'PO-Backlog2027'!E39&lt;&gt;""),'PO-Backlog2027'!H39,"")</f>
        <v/>
      </c>
      <c r="F358" t="str">
        <f>IF(AND('PO-Backlog2027'!B39&lt;&gt;"",'PO-Backlog2027'!E39&lt;&gt;""),'PO-Backlog2027'!F39,"")</f>
        <v/>
      </c>
      <c r="G358" t="str">
        <f>IF(AND('PO-Backlog2027'!B39&lt;&gt;"",'PO-Backlog2027'!E39&lt;&gt;""),'PO-Backlog2027'!G39,"")</f>
        <v/>
      </c>
      <c r="H358" t="str">
        <f>IF(AND('PO-Backlog2027'!B39&lt;&gt;"",'PO-Backlog2027'!E39&lt;&gt;""),"PO-Backlog2027","")</f>
        <v/>
      </c>
      <c r="I358" t="str">
        <f>IF(A358="Q12027",COUNTIF($A$2:$A358,"Q12027"),"")</f>
        <v/>
      </c>
      <c r="J358" t="str">
        <f>IF(A358="Q22027",COUNTIF($A$2:$A358,"Q22027"),"")</f>
        <v/>
      </c>
      <c r="K358" t="str">
        <f>IF(A358="Q32027",COUNTIF($A$2:$A358,"Q32027"),"")</f>
        <v/>
      </c>
      <c r="L358" t="str">
        <f>IF(A358="Q42027",COUNTIF($A$2:$A358,"Q42027"),"")</f>
        <v/>
      </c>
      <c r="M358" t="str">
        <f>IF(A358="Backlog",COUNTIF($A$2:$A358,"Backlog"),"")</f>
        <v/>
      </c>
    </row>
    <row r="359" spans="1:13">
      <c r="A359" t="str">
        <f>IF(AND('PO-Backlog2027'!B40&lt;&gt;"",'PO-Backlog2027'!E40&lt;&gt;""),'PO-Backlog2027'!E40,"")</f>
        <v/>
      </c>
      <c r="B359" t="str">
        <f>IF(AND('PO-Backlog2027'!B40&lt;&gt;"",'PO-Backlog2027'!E40&lt;&gt;""),'PO-Backlog2027'!B40,"")</f>
        <v/>
      </c>
      <c r="C359" t="str">
        <f>IF(AND('PO-Backlog2027'!B40&lt;&gt;"",'PO-Backlog2027'!E40&lt;&gt;""),'PO-Backlog2027'!C40,"")</f>
        <v/>
      </c>
      <c r="D359" t="str">
        <f>IF(AND('PO-Backlog2027'!B40&lt;&gt;"",'PO-Backlog2027'!E40&lt;&gt;""),'PO-Backlog2027'!D40,"")</f>
        <v/>
      </c>
      <c r="E359" t="str">
        <f>IF(AND('PO-Backlog2027'!B40&lt;&gt;"",'PO-Backlog2027'!E40&lt;&gt;""),'PO-Backlog2027'!H40,"")</f>
        <v/>
      </c>
      <c r="F359" t="str">
        <f>IF(AND('PO-Backlog2027'!B40&lt;&gt;"",'PO-Backlog2027'!E40&lt;&gt;""),'PO-Backlog2027'!F40,"")</f>
        <v/>
      </c>
      <c r="G359" t="str">
        <f>IF(AND('PO-Backlog2027'!B40&lt;&gt;"",'PO-Backlog2027'!E40&lt;&gt;""),'PO-Backlog2027'!G40,"")</f>
        <v/>
      </c>
      <c r="H359" t="str">
        <f>IF(AND('PO-Backlog2027'!B40&lt;&gt;"",'PO-Backlog2027'!E40&lt;&gt;""),"PO-Backlog2027","")</f>
        <v/>
      </c>
      <c r="I359" t="str">
        <f>IF(A359="Q12027",COUNTIF($A$2:$A359,"Q12027"),"")</f>
        <v/>
      </c>
      <c r="J359" t="str">
        <f>IF(A359="Q22027",COUNTIF($A$2:$A359,"Q22027"),"")</f>
        <v/>
      </c>
      <c r="K359" t="str">
        <f>IF(A359="Q32027",COUNTIF($A$2:$A359,"Q32027"),"")</f>
        <v/>
      </c>
      <c r="L359" t="str">
        <f>IF(A359="Q42027",COUNTIF($A$2:$A359,"Q42027"),"")</f>
        <v/>
      </c>
      <c r="M359" t="str">
        <f>IF(A359="Backlog",COUNTIF($A$2:$A359,"Backlog"),"")</f>
        <v/>
      </c>
    </row>
    <row r="360" spans="1:13">
      <c r="A360" t="str">
        <f>IF(AND('PO-Backlog2027'!B41&lt;&gt;"",'PO-Backlog2027'!E41&lt;&gt;""),'PO-Backlog2027'!E41,"")</f>
        <v/>
      </c>
      <c r="B360" t="str">
        <f>IF(AND('PO-Backlog2027'!B41&lt;&gt;"",'PO-Backlog2027'!E41&lt;&gt;""),'PO-Backlog2027'!B41,"")</f>
        <v/>
      </c>
      <c r="C360" t="str">
        <f>IF(AND('PO-Backlog2027'!B41&lt;&gt;"",'PO-Backlog2027'!E41&lt;&gt;""),'PO-Backlog2027'!C41,"")</f>
        <v/>
      </c>
      <c r="D360" t="str">
        <f>IF(AND('PO-Backlog2027'!B41&lt;&gt;"",'PO-Backlog2027'!E41&lt;&gt;""),'PO-Backlog2027'!D41,"")</f>
        <v/>
      </c>
      <c r="E360" t="str">
        <f>IF(AND('PO-Backlog2027'!B41&lt;&gt;"",'PO-Backlog2027'!E41&lt;&gt;""),'PO-Backlog2027'!H41,"")</f>
        <v/>
      </c>
      <c r="F360" t="str">
        <f>IF(AND('PO-Backlog2027'!B41&lt;&gt;"",'PO-Backlog2027'!E41&lt;&gt;""),'PO-Backlog2027'!F41,"")</f>
        <v/>
      </c>
      <c r="G360" t="str">
        <f>IF(AND('PO-Backlog2027'!B41&lt;&gt;"",'PO-Backlog2027'!E41&lt;&gt;""),'PO-Backlog2027'!G41,"")</f>
        <v/>
      </c>
      <c r="H360" t="str">
        <f>IF(AND('PO-Backlog2027'!B41&lt;&gt;"",'PO-Backlog2027'!E41&lt;&gt;""),"PO-Backlog2027","")</f>
        <v/>
      </c>
      <c r="I360" t="str">
        <f>IF(A360="Q12027",COUNTIF($A$2:$A360,"Q12027"),"")</f>
        <v/>
      </c>
      <c r="J360" t="str">
        <f>IF(A360="Q22027",COUNTIF($A$2:$A360,"Q22027"),"")</f>
        <v/>
      </c>
      <c r="K360" t="str">
        <f>IF(A360="Q32027",COUNTIF($A$2:$A360,"Q32027"),"")</f>
        <v/>
      </c>
      <c r="L360" t="str">
        <f>IF(A360="Q42027",COUNTIF($A$2:$A360,"Q42027"),"")</f>
        <v/>
      </c>
      <c r="M360" t="str">
        <f>IF(A360="Backlog",COUNTIF($A$2:$A360,"Backlog"),"")</f>
        <v/>
      </c>
    </row>
    <row r="361" spans="1:13">
      <c r="A361" t="str">
        <f>IF(AND('PO-Backlog2027'!B42&lt;&gt;"",'PO-Backlog2027'!E42&lt;&gt;""),'PO-Backlog2027'!E42,"")</f>
        <v/>
      </c>
      <c r="B361" t="str">
        <f>IF(AND('PO-Backlog2027'!B42&lt;&gt;"",'PO-Backlog2027'!E42&lt;&gt;""),'PO-Backlog2027'!B42,"")</f>
        <v/>
      </c>
      <c r="C361" t="str">
        <f>IF(AND('PO-Backlog2027'!B42&lt;&gt;"",'PO-Backlog2027'!E42&lt;&gt;""),'PO-Backlog2027'!C42,"")</f>
        <v/>
      </c>
      <c r="D361" t="str">
        <f>IF(AND('PO-Backlog2027'!B42&lt;&gt;"",'PO-Backlog2027'!E42&lt;&gt;""),'PO-Backlog2027'!D42,"")</f>
        <v/>
      </c>
      <c r="E361" t="str">
        <f>IF(AND('PO-Backlog2027'!B42&lt;&gt;"",'PO-Backlog2027'!E42&lt;&gt;""),'PO-Backlog2027'!H42,"")</f>
        <v/>
      </c>
      <c r="F361" t="str">
        <f>IF(AND('PO-Backlog2027'!B42&lt;&gt;"",'PO-Backlog2027'!E42&lt;&gt;""),'PO-Backlog2027'!F42,"")</f>
        <v/>
      </c>
      <c r="G361" t="str">
        <f>IF(AND('PO-Backlog2027'!B42&lt;&gt;"",'PO-Backlog2027'!E42&lt;&gt;""),'PO-Backlog2027'!G42,"")</f>
        <v/>
      </c>
      <c r="H361" t="str">
        <f>IF(AND('PO-Backlog2027'!B42&lt;&gt;"",'PO-Backlog2027'!E42&lt;&gt;""),"PO-Backlog2027","")</f>
        <v/>
      </c>
      <c r="I361" t="str">
        <f>IF(A361="Q12027",COUNTIF($A$2:$A361,"Q12027"),"")</f>
        <v/>
      </c>
      <c r="J361" t="str">
        <f>IF(A361="Q22027",COUNTIF($A$2:$A361,"Q22027"),"")</f>
        <v/>
      </c>
      <c r="K361" t="str">
        <f>IF(A361="Q32027",COUNTIF($A$2:$A361,"Q32027"),"")</f>
        <v/>
      </c>
      <c r="L361" t="str">
        <f>IF(A361="Q42027",COUNTIF($A$2:$A361,"Q42027"),"")</f>
        <v/>
      </c>
      <c r="M361" t="str">
        <f>IF(A361="Backlog",COUNTIF($A$2:$A361,"Backlog"),"")</f>
        <v/>
      </c>
    </row>
    <row r="362" spans="1:13">
      <c r="A362" t="str">
        <f>IF(AND('PO-Backlog2027'!B43&lt;&gt;"",'PO-Backlog2027'!E43&lt;&gt;""),'PO-Backlog2027'!E43,"")</f>
        <v/>
      </c>
      <c r="B362" t="str">
        <f>IF(AND('PO-Backlog2027'!B43&lt;&gt;"",'PO-Backlog2027'!E43&lt;&gt;""),'PO-Backlog2027'!B43,"")</f>
        <v/>
      </c>
      <c r="C362" t="str">
        <f>IF(AND('PO-Backlog2027'!B43&lt;&gt;"",'PO-Backlog2027'!E43&lt;&gt;""),'PO-Backlog2027'!C43,"")</f>
        <v/>
      </c>
      <c r="D362" t="str">
        <f>IF(AND('PO-Backlog2027'!B43&lt;&gt;"",'PO-Backlog2027'!E43&lt;&gt;""),'PO-Backlog2027'!D43,"")</f>
        <v/>
      </c>
      <c r="E362" t="str">
        <f>IF(AND('PO-Backlog2027'!B43&lt;&gt;"",'PO-Backlog2027'!E43&lt;&gt;""),'PO-Backlog2027'!H43,"")</f>
        <v/>
      </c>
      <c r="F362" t="str">
        <f>IF(AND('PO-Backlog2027'!B43&lt;&gt;"",'PO-Backlog2027'!E43&lt;&gt;""),'PO-Backlog2027'!F43,"")</f>
        <v/>
      </c>
      <c r="G362" t="str">
        <f>IF(AND('PO-Backlog2027'!B43&lt;&gt;"",'PO-Backlog2027'!E43&lt;&gt;""),'PO-Backlog2027'!G43,"")</f>
        <v/>
      </c>
      <c r="H362" t="str">
        <f>IF(AND('PO-Backlog2027'!B43&lt;&gt;"",'PO-Backlog2027'!E43&lt;&gt;""),"PO-Backlog2027","")</f>
        <v/>
      </c>
      <c r="I362" t="str">
        <f>IF(A362="Q12027",COUNTIF($A$2:$A362,"Q12027"),"")</f>
        <v/>
      </c>
      <c r="J362" t="str">
        <f>IF(A362="Q22027",COUNTIF($A$2:$A362,"Q22027"),"")</f>
        <v/>
      </c>
      <c r="K362" t="str">
        <f>IF(A362="Q32027",COUNTIF($A$2:$A362,"Q32027"),"")</f>
        <v/>
      </c>
      <c r="L362" t="str">
        <f>IF(A362="Q42027",COUNTIF($A$2:$A362,"Q42027"),"")</f>
        <v/>
      </c>
      <c r="M362" t="str">
        <f>IF(A362="Backlog",COUNTIF($A$2:$A362,"Backlog"),"")</f>
        <v/>
      </c>
    </row>
    <row r="363" spans="1:13">
      <c r="A363" t="str">
        <f>IF(AND('PO-Backlog2027'!B44&lt;&gt;"",'PO-Backlog2027'!E44&lt;&gt;""),'PO-Backlog2027'!E44,"")</f>
        <v/>
      </c>
      <c r="B363" t="str">
        <f>IF(AND('PO-Backlog2027'!B44&lt;&gt;"",'PO-Backlog2027'!E44&lt;&gt;""),'PO-Backlog2027'!B44,"")</f>
        <v/>
      </c>
      <c r="C363" t="str">
        <f>IF(AND('PO-Backlog2027'!B44&lt;&gt;"",'PO-Backlog2027'!E44&lt;&gt;""),'PO-Backlog2027'!C44,"")</f>
        <v/>
      </c>
      <c r="D363" t="str">
        <f>IF(AND('PO-Backlog2027'!B44&lt;&gt;"",'PO-Backlog2027'!E44&lt;&gt;""),'PO-Backlog2027'!D44,"")</f>
        <v/>
      </c>
      <c r="E363" t="str">
        <f>IF(AND('PO-Backlog2027'!B44&lt;&gt;"",'PO-Backlog2027'!E44&lt;&gt;""),'PO-Backlog2027'!H44,"")</f>
        <v/>
      </c>
      <c r="F363" t="str">
        <f>IF(AND('PO-Backlog2027'!B44&lt;&gt;"",'PO-Backlog2027'!E44&lt;&gt;""),'PO-Backlog2027'!F44,"")</f>
        <v/>
      </c>
      <c r="G363" t="str">
        <f>IF(AND('PO-Backlog2027'!B44&lt;&gt;"",'PO-Backlog2027'!E44&lt;&gt;""),'PO-Backlog2027'!G44,"")</f>
        <v/>
      </c>
      <c r="H363" t="str">
        <f>IF(AND('PO-Backlog2027'!B44&lt;&gt;"",'PO-Backlog2027'!E44&lt;&gt;""),"PO-Backlog2027","")</f>
        <v/>
      </c>
      <c r="I363" t="str">
        <f>IF(A363="Q12027",COUNTIF($A$2:$A363,"Q12027"),"")</f>
        <v/>
      </c>
      <c r="J363" t="str">
        <f>IF(A363="Q22027",COUNTIF($A$2:$A363,"Q22027"),"")</f>
        <v/>
      </c>
      <c r="K363" t="str">
        <f>IF(A363="Q32027",COUNTIF($A$2:$A363,"Q32027"),"")</f>
        <v/>
      </c>
      <c r="L363" t="str">
        <f>IF(A363="Q42027",COUNTIF($A$2:$A363,"Q42027"),"")</f>
        <v/>
      </c>
      <c r="M363" t="str">
        <f>IF(A363="Backlog",COUNTIF($A$2:$A363,"Backlog"),"")</f>
        <v/>
      </c>
    </row>
    <row r="364" spans="1:13">
      <c r="A364" t="str">
        <f>IF(AND('PO-Backlog2027'!B45&lt;&gt;"",'PO-Backlog2027'!E45&lt;&gt;""),'PO-Backlog2027'!E45,"")</f>
        <v/>
      </c>
      <c r="B364" t="str">
        <f>IF(AND('PO-Backlog2027'!B45&lt;&gt;"",'PO-Backlog2027'!E45&lt;&gt;""),'PO-Backlog2027'!B45,"")</f>
        <v/>
      </c>
      <c r="C364" t="str">
        <f>IF(AND('PO-Backlog2027'!B45&lt;&gt;"",'PO-Backlog2027'!E45&lt;&gt;""),'PO-Backlog2027'!C45,"")</f>
        <v/>
      </c>
      <c r="D364" t="str">
        <f>IF(AND('PO-Backlog2027'!B45&lt;&gt;"",'PO-Backlog2027'!E45&lt;&gt;""),'PO-Backlog2027'!D45,"")</f>
        <v/>
      </c>
      <c r="E364" t="str">
        <f>IF(AND('PO-Backlog2027'!B45&lt;&gt;"",'PO-Backlog2027'!E45&lt;&gt;""),'PO-Backlog2027'!H45,"")</f>
        <v/>
      </c>
      <c r="F364" t="str">
        <f>IF(AND('PO-Backlog2027'!B45&lt;&gt;"",'PO-Backlog2027'!E45&lt;&gt;""),'PO-Backlog2027'!F45,"")</f>
        <v/>
      </c>
      <c r="G364" t="str">
        <f>IF(AND('PO-Backlog2027'!B45&lt;&gt;"",'PO-Backlog2027'!E45&lt;&gt;""),'PO-Backlog2027'!G45,"")</f>
        <v/>
      </c>
      <c r="H364" t="str">
        <f>IF(AND('PO-Backlog2027'!B45&lt;&gt;"",'PO-Backlog2027'!E45&lt;&gt;""),"PO-Backlog2027","")</f>
        <v/>
      </c>
      <c r="I364" t="str">
        <f>IF(A364="Q12027",COUNTIF($A$2:$A364,"Q12027"),"")</f>
        <v/>
      </c>
      <c r="J364" t="str">
        <f>IF(A364="Q22027",COUNTIF($A$2:$A364,"Q22027"),"")</f>
        <v/>
      </c>
      <c r="K364" t="str">
        <f>IF(A364="Q32027",COUNTIF($A$2:$A364,"Q32027"),"")</f>
        <v/>
      </c>
      <c r="L364" t="str">
        <f>IF(A364="Q42027",COUNTIF($A$2:$A364,"Q42027"),"")</f>
        <v/>
      </c>
      <c r="M364" t="str">
        <f>IF(A364="Backlog",COUNTIF($A$2:$A364,"Backlog"),"")</f>
        <v/>
      </c>
    </row>
    <row r="365" spans="1:13">
      <c r="A365" t="str">
        <f>IF(AND('PO-Backlog2027'!B46&lt;&gt;"",'PO-Backlog2027'!E46&lt;&gt;""),'PO-Backlog2027'!E46,"")</f>
        <v/>
      </c>
      <c r="B365" t="str">
        <f>IF(AND('PO-Backlog2027'!B46&lt;&gt;"",'PO-Backlog2027'!E46&lt;&gt;""),'PO-Backlog2027'!B46,"")</f>
        <v/>
      </c>
      <c r="C365" t="str">
        <f>IF(AND('PO-Backlog2027'!B46&lt;&gt;"",'PO-Backlog2027'!E46&lt;&gt;""),'PO-Backlog2027'!C46,"")</f>
        <v/>
      </c>
      <c r="D365" t="str">
        <f>IF(AND('PO-Backlog2027'!B46&lt;&gt;"",'PO-Backlog2027'!E46&lt;&gt;""),'PO-Backlog2027'!D46,"")</f>
        <v/>
      </c>
      <c r="E365" t="str">
        <f>IF(AND('PO-Backlog2027'!B46&lt;&gt;"",'PO-Backlog2027'!E46&lt;&gt;""),'PO-Backlog2027'!H46,"")</f>
        <v/>
      </c>
      <c r="F365" t="str">
        <f>IF(AND('PO-Backlog2027'!B46&lt;&gt;"",'PO-Backlog2027'!E46&lt;&gt;""),'PO-Backlog2027'!F46,"")</f>
        <v/>
      </c>
      <c r="G365" t="str">
        <f>IF(AND('PO-Backlog2027'!B46&lt;&gt;"",'PO-Backlog2027'!E46&lt;&gt;""),'PO-Backlog2027'!G46,"")</f>
        <v/>
      </c>
      <c r="H365" t="str">
        <f>IF(AND('PO-Backlog2027'!B46&lt;&gt;"",'PO-Backlog2027'!E46&lt;&gt;""),"PO-Backlog2027","")</f>
        <v/>
      </c>
      <c r="I365" t="str">
        <f>IF(A365="Q12027",COUNTIF($A$2:$A365,"Q12027"),"")</f>
        <v/>
      </c>
      <c r="J365" t="str">
        <f>IF(A365="Q22027",COUNTIF($A$2:$A365,"Q22027"),"")</f>
        <v/>
      </c>
      <c r="K365" t="str">
        <f>IF(A365="Q32027",COUNTIF($A$2:$A365,"Q32027"),"")</f>
        <v/>
      </c>
      <c r="L365" t="str">
        <f>IF(A365="Q42027",COUNTIF($A$2:$A365,"Q42027"),"")</f>
        <v/>
      </c>
      <c r="M365" t="str">
        <f>IF(A365="Backlog",COUNTIF($A$2:$A365,"Backlog"),"")</f>
        <v/>
      </c>
    </row>
    <row r="366" spans="1:13">
      <c r="A366" t="str">
        <f>IF(AND('PO-Backlog2027'!B47&lt;&gt;"",'PO-Backlog2027'!E47&lt;&gt;""),'PO-Backlog2027'!E47,"")</f>
        <v/>
      </c>
      <c r="B366" t="str">
        <f>IF(AND('PO-Backlog2027'!B47&lt;&gt;"",'PO-Backlog2027'!E47&lt;&gt;""),'PO-Backlog2027'!B47,"")</f>
        <v/>
      </c>
      <c r="C366" t="str">
        <f>IF(AND('PO-Backlog2027'!B47&lt;&gt;"",'PO-Backlog2027'!E47&lt;&gt;""),'PO-Backlog2027'!C47,"")</f>
        <v/>
      </c>
      <c r="D366" t="str">
        <f>IF(AND('PO-Backlog2027'!B47&lt;&gt;"",'PO-Backlog2027'!E47&lt;&gt;""),'PO-Backlog2027'!D47,"")</f>
        <v/>
      </c>
      <c r="E366" t="str">
        <f>IF(AND('PO-Backlog2027'!B47&lt;&gt;"",'PO-Backlog2027'!E47&lt;&gt;""),'PO-Backlog2027'!H47,"")</f>
        <v/>
      </c>
      <c r="F366" t="str">
        <f>IF(AND('PO-Backlog2027'!B47&lt;&gt;"",'PO-Backlog2027'!E47&lt;&gt;""),'PO-Backlog2027'!F47,"")</f>
        <v/>
      </c>
      <c r="G366" t="str">
        <f>IF(AND('PO-Backlog2027'!B47&lt;&gt;"",'PO-Backlog2027'!E47&lt;&gt;""),'PO-Backlog2027'!G47,"")</f>
        <v/>
      </c>
      <c r="H366" t="str">
        <f>IF(AND('PO-Backlog2027'!B47&lt;&gt;"",'PO-Backlog2027'!E47&lt;&gt;""),"PO-Backlog2027","")</f>
        <v/>
      </c>
      <c r="I366" t="str">
        <f>IF(A366="Q12027",COUNTIF($A$2:$A366,"Q12027"),"")</f>
        <v/>
      </c>
      <c r="J366" t="str">
        <f>IF(A366="Q22027",COUNTIF($A$2:$A366,"Q22027"),"")</f>
        <v/>
      </c>
      <c r="K366" t="str">
        <f>IF(A366="Q32027",COUNTIF($A$2:$A366,"Q32027"),"")</f>
        <v/>
      </c>
      <c r="L366" t="str">
        <f>IF(A366="Q42027",COUNTIF($A$2:$A366,"Q42027"),"")</f>
        <v/>
      </c>
      <c r="M366" t="str">
        <f>IF(A366="Backlog",COUNTIF($A$2:$A366,"Backlog"),"")</f>
        <v/>
      </c>
    </row>
    <row r="367" spans="1:13">
      <c r="A367" t="str">
        <f>IF(AND('PO-Backlog2027'!B48&lt;&gt;"",'PO-Backlog2027'!E48&lt;&gt;""),'PO-Backlog2027'!E48,"")</f>
        <v/>
      </c>
      <c r="B367" t="str">
        <f>IF(AND('PO-Backlog2027'!B48&lt;&gt;"",'PO-Backlog2027'!E48&lt;&gt;""),'PO-Backlog2027'!B48,"")</f>
        <v/>
      </c>
      <c r="C367" t="str">
        <f>IF(AND('PO-Backlog2027'!B48&lt;&gt;"",'PO-Backlog2027'!E48&lt;&gt;""),'PO-Backlog2027'!C48,"")</f>
        <v/>
      </c>
      <c r="D367" t="str">
        <f>IF(AND('PO-Backlog2027'!B48&lt;&gt;"",'PO-Backlog2027'!E48&lt;&gt;""),'PO-Backlog2027'!D48,"")</f>
        <v/>
      </c>
      <c r="E367" t="str">
        <f>IF(AND('PO-Backlog2027'!B48&lt;&gt;"",'PO-Backlog2027'!E48&lt;&gt;""),'PO-Backlog2027'!H48,"")</f>
        <v/>
      </c>
      <c r="F367" t="str">
        <f>IF(AND('PO-Backlog2027'!B48&lt;&gt;"",'PO-Backlog2027'!E48&lt;&gt;""),'PO-Backlog2027'!F48,"")</f>
        <v/>
      </c>
      <c r="G367" t="str">
        <f>IF(AND('PO-Backlog2027'!B48&lt;&gt;"",'PO-Backlog2027'!E48&lt;&gt;""),'PO-Backlog2027'!G48,"")</f>
        <v/>
      </c>
      <c r="H367" t="str">
        <f>IF(AND('PO-Backlog2027'!B48&lt;&gt;"",'PO-Backlog2027'!E48&lt;&gt;""),"PO-Backlog2027","")</f>
        <v/>
      </c>
      <c r="I367" t="str">
        <f>IF(A367="Q12027",COUNTIF($A$2:$A367,"Q12027"),"")</f>
        <v/>
      </c>
      <c r="J367" t="str">
        <f>IF(A367="Q22027",COUNTIF($A$2:$A367,"Q22027"),"")</f>
        <v/>
      </c>
      <c r="K367" t="str">
        <f>IF(A367="Q32027",COUNTIF($A$2:$A367,"Q32027"),"")</f>
        <v/>
      </c>
      <c r="L367" t="str">
        <f>IF(A367="Q42027",COUNTIF($A$2:$A367,"Q42027"),"")</f>
        <v/>
      </c>
      <c r="M367" t="str">
        <f>IF(A367="Backlog",COUNTIF($A$2:$A367,"Backlog"),"")</f>
        <v/>
      </c>
    </row>
    <row r="368" spans="1:13">
      <c r="A368" t="str">
        <f>IF(AND('PO-Backlog2027'!B49&lt;&gt;"",'PO-Backlog2027'!E49&lt;&gt;""),'PO-Backlog2027'!E49,"")</f>
        <v/>
      </c>
      <c r="B368" t="str">
        <f>IF(AND('PO-Backlog2027'!B49&lt;&gt;"",'PO-Backlog2027'!E49&lt;&gt;""),'PO-Backlog2027'!B49,"")</f>
        <v/>
      </c>
      <c r="C368" t="str">
        <f>IF(AND('PO-Backlog2027'!B49&lt;&gt;"",'PO-Backlog2027'!E49&lt;&gt;""),'PO-Backlog2027'!C49,"")</f>
        <v/>
      </c>
      <c r="D368" t="str">
        <f>IF(AND('PO-Backlog2027'!B49&lt;&gt;"",'PO-Backlog2027'!E49&lt;&gt;""),'PO-Backlog2027'!D49,"")</f>
        <v/>
      </c>
      <c r="E368" t="str">
        <f>IF(AND('PO-Backlog2027'!B49&lt;&gt;"",'PO-Backlog2027'!E49&lt;&gt;""),'PO-Backlog2027'!H49,"")</f>
        <v/>
      </c>
      <c r="F368" t="str">
        <f>IF(AND('PO-Backlog2027'!B49&lt;&gt;"",'PO-Backlog2027'!E49&lt;&gt;""),'PO-Backlog2027'!F49,"")</f>
        <v/>
      </c>
      <c r="G368" t="str">
        <f>IF(AND('PO-Backlog2027'!B49&lt;&gt;"",'PO-Backlog2027'!E49&lt;&gt;""),'PO-Backlog2027'!G49,"")</f>
        <v/>
      </c>
      <c r="H368" t="str">
        <f>IF(AND('PO-Backlog2027'!B49&lt;&gt;"",'PO-Backlog2027'!E49&lt;&gt;""),"PO-Backlog2027","")</f>
        <v/>
      </c>
      <c r="I368" t="str">
        <f>IF(A368="Q12027",COUNTIF($A$2:$A368,"Q12027"),"")</f>
        <v/>
      </c>
      <c r="J368" t="str">
        <f>IF(A368="Q22027",COUNTIF($A$2:$A368,"Q22027"),"")</f>
        <v/>
      </c>
      <c r="K368" t="str">
        <f>IF(A368="Q32027",COUNTIF($A$2:$A368,"Q32027"),"")</f>
        <v/>
      </c>
      <c r="L368" t="str">
        <f>IF(A368="Q42027",COUNTIF($A$2:$A368,"Q42027"),"")</f>
        <v/>
      </c>
      <c r="M368" t="str">
        <f>IF(A368="Backlog",COUNTIF($A$2:$A368,"Backlog"),"")</f>
        <v/>
      </c>
    </row>
    <row r="369" spans="1:13">
      <c r="A369" t="str">
        <f>IF(AND('PO-Backlog2027'!B50&lt;&gt;"",'PO-Backlog2027'!E50&lt;&gt;""),'PO-Backlog2027'!E50,"")</f>
        <v/>
      </c>
      <c r="B369" t="str">
        <f>IF(AND('PO-Backlog2027'!B50&lt;&gt;"",'PO-Backlog2027'!E50&lt;&gt;""),'PO-Backlog2027'!B50,"")</f>
        <v/>
      </c>
      <c r="C369" t="str">
        <f>IF(AND('PO-Backlog2027'!B50&lt;&gt;"",'PO-Backlog2027'!E50&lt;&gt;""),'PO-Backlog2027'!C50,"")</f>
        <v/>
      </c>
      <c r="D369" t="str">
        <f>IF(AND('PO-Backlog2027'!B50&lt;&gt;"",'PO-Backlog2027'!E50&lt;&gt;""),'PO-Backlog2027'!D50,"")</f>
        <v/>
      </c>
      <c r="E369" t="str">
        <f>IF(AND('PO-Backlog2027'!B50&lt;&gt;"",'PO-Backlog2027'!E50&lt;&gt;""),'PO-Backlog2027'!H50,"")</f>
        <v/>
      </c>
      <c r="F369" t="str">
        <f>IF(AND('PO-Backlog2027'!B50&lt;&gt;"",'PO-Backlog2027'!E50&lt;&gt;""),'PO-Backlog2027'!F50,"")</f>
        <v/>
      </c>
      <c r="G369" t="str">
        <f>IF(AND('PO-Backlog2027'!B50&lt;&gt;"",'PO-Backlog2027'!E50&lt;&gt;""),'PO-Backlog2027'!G50,"")</f>
        <v/>
      </c>
      <c r="H369" t="str">
        <f>IF(AND('PO-Backlog2027'!B50&lt;&gt;"",'PO-Backlog2027'!E50&lt;&gt;""),"PO-Backlog2027","")</f>
        <v/>
      </c>
      <c r="I369" t="str">
        <f>IF(A369="Q12027",COUNTIF($A$2:$A369,"Q12027"),"")</f>
        <v/>
      </c>
      <c r="J369" t="str">
        <f>IF(A369="Q22027",COUNTIF($A$2:$A369,"Q22027"),"")</f>
        <v/>
      </c>
      <c r="K369" t="str">
        <f>IF(A369="Q32027",COUNTIF($A$2:$A369,"Q32027"),"")</f>
        <v/>
      </c>
      <c r="L369" t="str">
        <f>IF(A369="Q42027",COUNTIF($A$2:$A369,"Q42027"),"")</f>
        <v/>
      </c>
      <c r="M369" t="str">
        <f>IF(A369="Backlog",COUNTIF($A$2:$A369,"Backlog"),"")</f>
        <v/>
      </c>
    </row>
    <row r="370" spans="1:13">
      <c r="A370" t="str">
        <f>IF(AND('PO-Backlog2027'!B51&lt;&gt;"",'PO-Backlog2027'!E51&lt;&gt;""),'PO-Backlog2027'!E51,"")</f>
        <v/>
      </c>
      <c r="B370" t="str">
        <f>IF(AND('PO-Backlog2027'!B51&lt;&gt;"",'PO-Backlog2027'!E51&lt;&gt;""),'PO-Backlog2027'!B51,"")</f>
        <v/>
      </c>
      <c r="C370" t="str">
        <f>IF(AND('PO-Backlog2027'!B51&lt;&gt;"",'PO-Backlog2027'!E51&lt;&gt;""),'PO-Backlog2027'!C51,"")</f>
        <v/>
      </c>
      <c r="D370" t="str">
        <f>IF(AND('PO-Backlog2027'!B51&lt;&gt;"",'PO-Backlog2027'!E51&lt;&gt;""),'PO-Backlog2027'!D51,"")</f>
        <v/>
      </c>
      <c r="E370" t="str">
        <f>IF(AND('PO-Backlog2027'!B51&lt;&gt;"",'PO-Backlog2027'!E51&lt;&gt;""),'PO-Backlog2027'!H51,"")</f>
        <v/>
      </c>
      <c r="F370" t="str">
        <f>IF(AND('PO-Backlog2027'!B51&lt;&gt;"",'PO-Backlog2027'!E51&lt;&gt;""),'PO-Backlog2027'!F51,"")</f>
        <v/>
      </c>
      <c r="G370" t="str">
        <f>IF(AND('PO-Backlog2027'!B51&lt;&gt;"",'PO-Backlog2027'!E51&lt;&gt;""),'PO-Backlog2027'!G51,"")</f>
        <v/>
      </c>
      <c r="H370" t="str">
        <f>IF(AND('PO-Backlog2027'!B51&lt;&gt;"",'PO-Backlog2027'!E51&lt;&gt;""),"PO-Backlog2027","")</f>
        <v/>
      </c>
      <c r="I370" t="str">
        <f>IF(A370="Q12027",COUNTIF($A$2:$A370,"Q12027"),"")</f>
        <v/>
      </c>
      <c r="J370" t="str">
        <f>IF(A370="Q22027",COUNTIF($A$2:$A370,"Q22027"),"")</f>
        <v/>
      </c>
      <c r="K370" t="str">
        <f>IF(A370="Q32027",COUNTIF($A$2:$A370,"Q32027"),"")</f>
        <v/>
      </c>
      <c r="L370" t="str">
        <f>IF(A370="Q42027",COUNTIF($A$2:$A370,"Q42027"),"")</f>
        <v/>
      </c>
      <c r="M370" t="str">
        <f>IF(A370="Backlog",COUNTIF($A$2:$A370,"Backlog"),"")</f>
        <v/>
      </c>
    </row>
    <row r="371" spans="1:13">
      <c r="A371" t="str">
        <f>IF(AND('PO-Backlog2027'!B52&lt;&gt;"",'PO-Backlog2027'!E52&lt;&gt;""),'PO-Backlog2027'!E52,"")</f>
        <v/>
      </c>
      <c r="B371" t="str">
        <f>IF(AND('PO-Backlog2027'!B52&lt;&gt;"",'PO-Backlog2027'!E52&lt;&gt;""),'PO-Backlog2027'!B52,"")</f>
        <v/>
      </c>
      <c r="C371" t="str">
        <f>IF(AND('PO-Backlog2027'!B52&lt;&gt;"",'PO-Backlog2027'!E52&lt;&gt;""),'PO-Backlog2027'!C52,"")</f>
        <v/>
      </c>
      <c r="D371" t="str">
        <f>IF(AND('PO-Backlog2027'!B52&lt;&gt;"",'PO-Backlog2027'!E52&lt;&gt;""),'PO-Backlog2027'!D52,"")</f>
        <v/>
      </c>
      <c r="E371" t="str">
        <f>IF(AND('PO-Backlog2027'!B52&lt;&gt;"",'PO-Backlog2027'!E52&lt;&gt;""),'PO-Backlog2027'!H52,"")</f>
        <v/>
      </c>
      <c r="F371" t="str">
        <f>IF(AND('PO-Backlog2027'!B52&lt;&gt;"",'PO-Backlog2027'!E52&lt;&gt;""),'PO-Backlog2027'!F52,"")</f>
        <v/>
      </c>
      <c r="G371" t="str">
        <f>IF(AND('PO-Backlog2027'!B52&lt;&gt;"",'PO-Backlog2027'!E52&lt;&gt;""),'PO-Backlog2027'!G52,"")</f>
        <v/>
      </c>
      <c r="H371" t="str">
        <f>IF(AND('PO-Backlog2027'!B52&lt;&gt;"",'PO-Backlog2027'!E52&lt;&gt;""),"PO-Backlog2027","")</f>
        <v/>
      </c>
      <c r="I371" t="str">
        <f>IF(A371="Q12027",COUNTIF($A$2:$A371,"Q12027"),"")</f>
        <v/>
      </c>
      <c r="J371" t="str">
        <f>IF(A371="Q22027",COUNTIF($A$2:$A371,"Q22027"),"")</f>
        <v/>
      </c>
      <c r="K371" t="str">
        <f>IF(A371="Q32027",COUNTIF($A$2:$A371,"Q32027"),"")</f>
        <v/>
      </c>
      <c r="L371" t="str">
        <f>IF(A371="Q42027",COUNTIF($A$2:$A371,"Q42027"),"")</f>
        <v/>
      </c>
      <c r="M371" t="str">
        <f>IF(A371="Backlog",COUNTIF($A$2:$A371,"Backlog"),"")</f>
        <v/>
      </c>
    </row>
    <row r="372" spans="1:13">
      <c r="A372" t="str">
        <f>IF(AND('PO-Backlog2027'!B53&lt;&gt;"",'PO-Backlog2027'!E53&lt;&gt;""),'PO-Backlog2027'!E53,"")</f>
        <v/>
      </c>
      <c r="B372" t="str">
        <f>IF(AND('PO-Backlog2027'!B53&lt;&gt;"",'PO-Backlog2027'!E53&lt;&gt;""),'PO-Backlog2027'!B53,"")</f>
        <v/>
      </c>
      <c r="C372" t="str">
        <f>IF(AND('PO-Backlog2027'!B53&lt;&gt;"",'PO-Backlog2027'!E53&lt;&gt;""),'PO-Backlog2027'!C53,"")</f>
        <v/>
      </c>
      <c r="D372" t="str">
        <f>IF(AND('PO-Backlog2027'!B53&lt;&gt;"",'PO-Backlog2027'!E53&lt;&gt;""),'PO-Backlog2027'!D53,"")</f>
        <v/>
      </c>
      <c r="E372" t="str">
        <f>IF(AND('PO-Backlog2027'!B53&lt;&gt;"",'PO-Backlog2027'!E53&lt;&gt;""),'PO-Backlog2027'!H53,"")</f>
        <v/>
      </c>
      <c r="F372" t="str">
        <f>IF(AND('PO-Backlog2027'!B53&lt;&gt;"",'PO-Backlog2027'!E53&lt;&gt;""),'PO-Backlog2027'!F53,"")</f>
        <v/>
      </c>
      <c r="G372" t="str">
        <f>IF(AND('PO-Backlog2027'!B53&lt;&gt;"",'PO-Backlog2027'!E53&lt;&gt;""),'PO-Backlog2027'!G53,"")</f>
        <v/>
      </c>
      <c r="H372" t="str">
        <f>IF(AND('PO-Backlog2027'!B53&lt;&gt;"",'PO-Backlog2027'!E53&lt;&gt;""),"PO-Backlog2027","")</f>
        <v/>
      </c>
      <c r="I372" t="str">
        <f>IF(A372="Q12027",COUNTIF($A$2:$A372,"Q12027"),"")</f>
        <v/>
      </c>
      <c r="J372" t="str">
        <f>IF(A372="Q22027",COUNTIF($A$2:$A372,"Q22027"),"")</f>
        <v/>
      </c>
      <c r="K372" t="str">
        <f>IF(A372="Q32027",COUNTIF($A$2:$A372,"Q32027"),"")</f>
        <v/>
      </c>
      <c r="L372" t="str">
        <f>IF(A372="Q42027",COUNTIF($A$2:$A372,"Q42027"),"")</f>
        <v/>
      </c>
      <c r="M372" t="str">
        <f>IF(A372="Backlog",COUNTIF($A$2:$A372,"Backlog"),"")</f>
        <v/>
      </c>
    </row>
    <row r="373" spans="1:13">
      <c r="A373" t="str">
        <f>IF(AND('PO-Backlog2027'!B54&lt;&gt;"",'PO-Backlog2027'!E54&lt;&gt;""),'PO-Backlog2027'!E54,"")</f>
        <v/>
      </c>
      <c r="B373" t="str">
        <f>IF(AND('PO-Backlog2027'!B54&lt;&gt;"",'PO-Backlog2027'!E54&lt;&gt;""),'PO-Backlog2027'!B54,"")</f>
        <v/>
      </c>
      <c r="C373" t="str">
        <f>IF(AND('PO-Backlog2027'!B54&lt;&gt;"",'PO-Backlog2027'!E54&lt;&gt;""),'PO-Backlog2027'!C54,"")</f>
        <v/>
      </c>
      <c r="D373" t="str">
        <f>IF(AND('PO-Backlog2027'!B54&lt;&gt;"",'PO-Backlog2027'!E54&lt;&gt;""),'PO-Backlog2027'!D54,"")</f>
        <v/>
      </c>
      <c r="E373" t="str">
        <f>IF(AND('PO-Backlog2027'!B54&lt;&gt;"",'PO-Backlog2027'!E54&lt;&gt;""),'PO-Backlog2027'!H54,"")</f>
        <v/>
      </c>
      <c r="F373" t="str">
        <f>IF(AND('PO-Backlog2027'!B54&lt;&gt;"",'PO-Backlog2027'!E54&lt;&gt;""),'PO-Backlog2027'!F54,"")</f>
        <v/>
      </c>
      <c r="G373" t="str">
        <f>IF(AND('PO-Backlog2027'!B54&lt;&gt;"",'PO-Backlog2027'!E54&lt;&gt;""),'PO-Backlog2027'!G54,"")</f>
        <v/>
      </c>
      <c r="H373" t="str">
        <f>IF(AND('PO-Backlog2027'!B54&lt;&gt;"",'PO-Backlog2027'!E54&lt;&gt;""),"PO-Backlog2027","")</f>
        <v/>
      </c>
      <c r="I373" t="str">
        <f>IF(A373="Q12027",COUNTIF($A$2:$A373,"Q12027"),"")</f>
        <v/>
      </c>
      <c r="J373" t="str">
        <f>IF(A373="Q22027",COUNTIF($A$2:$A373,"Q22027"),"")</f>
        <v/>
      </c>
      <c r="K373" t="str">
        <f>IF(A373="Q32027",COUNTIF($A$2:$A373,"Q32027"),"")</f>
        <v/>
      </c>
      <c r="L373" t="str">
        <f>IF(A373="Q42027",COUNTIF($A$2:$A373,"Q42027"),"")</f>
        <v/>
      </c>
      <c r="M373" t="str">
        <f>IF(A373="Backlog",COUNTIF($A$2:$A373,"Backlog"),"")</f>
        <v/>
      </c>
    </row>
    <row r="374" spans="1:13">
      <c r="A374" t="str">
        <f>IF(AND('PO-Backlog2027'!B55&lt;&gt;"",'PO-Backlog2027'!E55&lt;&gt;""),'PO-Backlog2027'!E55,"")</f>
        <v/>
      </c>
      <c r="B374" t="str">
        <f>IF(AND('PO-Backlog2027'!B55&lt;&gt;"",'PO-Backlog2027'!E55&lt;&gt;""),'PO-Backlog2027'!B55,"")</f>
        <v/>
      </c>
      <c r="C374" t="str">
        <f>IF(AND('PO-Backlog2027'!B55&lt;&gt;"",'PO-Backlog2027'!E55&lt;&gt;""),'PO-Backlog2027'!C55,"")</f>
        <v/>
      </c>
      <c r="D374" t="str">
        <f>IF(AND('PO-Backlog2027'!B55&lt;&gt;"",'PO-Backlog2027'!E55&lt;&gt;""),'PO-Backlog2027'!D55,"")</f>
        <v/>
      </c>
      <c r="E374" t="str">
        <f>IF(AND('PO-Backlog2027'!B55&lt;&gt;"",'PO-Backlog2027'!E55&lt;&gt;""),'PO-Backlog2027'!H55,"")</f>
        <v/>
      </c>
      <c r="F374" t="str">
        <f>IF(AND('PO-Backlog2027'!B55&lt;&gt;"",'PO-Backlog2027'!E55&lt;&gt;""),'PO-Backlog2027'!F55,"")</f>
        <v/>
      </c>
      <c r="G374" t="str">
        <f>IF(AND('PO-Backlog2027'!B55&lt;&gt;"",'PO-Backlog2027'!E55&lt;&gt;""),'PO-Backlog2027'!G55,"")</f>
        <v/>
      </c>
      <c r="H374" t="str">
        <f>IF(AND('PO-Backlog2027'!B55&lt;&gt;"",'PO-Backlog2027'!E55&lt;&gt;""),"PO-Backlog2027","")</f>
        <v/>
      </c>
      <c r="I374" t="str">
        <f>IF(A374="Q12027",COUNTIF($A$2:$A374,"Q12027"),"")</f>
        <v/>
      </c>
      <c r="J374" t="str">
        <f>IF(A374="Q22027",COUNTIF($A$2:$A374,"Q22027"),"")</f>
        <v/>
      </c>
      <c r="K374" t="str">
        <f>IF(A374="Q32027",COUNTIF($A$2:$A374,"Q32027"),"")</f>
        <v/>
      </c>
      <c r="L374" t="str">
        <f>IF(A374="Q42027",COUNTIF($A$2:$A374,"Q42027"),"")</f>
        <v/>
      </c>
      <c r="M374" t="str">
        <f>IF(A374="Backlog",COUNTIF($A$2:$A374,"Backlog"),"")</f>
        <v/>
      </c>
    </row>
    <row r="375" spans="1:13">
      <c r="A375" t="str">
        <f>IF(AND('PO-Backlog2027'!B56&lt;&gt;"",'PO-Backlog2027'!E56&lt;&gt;""),'PO-Backlog2027'!E56,"")</f>
        <v/>
      </c>
      <c r="B375" t="str">
        <f>IF(AND('PO-Backlog2027'!B56&lt;&gt;"",'PO-Backlog2027'!E56&lt;&gt;""),'PO-Backlog2027'!B56,"")</f>
        <v/>
      </c>
      <c r="C375" t="str">
        <f>IF(AND('PO-Backlog2027'!B56&lt;&gt;"",'PO-Backlog2027'!E56&lt;&gt;""),'PO-Backlog2027'!C56,"")</f>
        <v/>
      </c>
      <c r="D375" t="str">
        <f>IF(AND('PO-Backlog2027'!B56&lt;&gt;"",'PO-Backlog2027'!E56&lt;&gt;""),'PO-Backlog2027'!D56,"")</f>
        <v/>
      </c>
      <c r="E375" t="str">
        <f>IF(AND('PO-Backlog2027'!B56&lt;&gt;"",'PO-Backlog2027'!E56&lt;&gt;""),'PO-Backlog2027'!H56,"")</f>
        <v/>
      </c>
      <c r="F375" t="str">
        <f>IF(AND('PO-Backlog2027'!B56&lt;&gt;"",'PO-Backlog2027'!E56&lt;&gt;""),'PO-Backlog2027'!F56,"")</f>
        <v/>
      </c>
      <c r="G375" t="str">
        <f>IF(AND('PO-Backlog2027'!B56&lt;&gt;"",'PO-Backlog2027'!E56&lt;&gt;""),'PO-Backlog2027'!G56,"")</f>
        <v/>
      </c>
      <c r="H375" t="str">
        <f>IF(AND('PO-Backlog2027'!B56&lt;&gt;"",'PO-Backlog2027'!E56&lt;&gt;""),"PO-Backlog2027","")</f>
        <v/>
      </c>
      <c r="I375" t="str">
        <f>IF(A375="Q12027",COUNTIF($A$2:$A375,"Q12027"),"")</f>
        <v/>
      </c>
      <c r="J375" t="str">
        <f>IF(A375="Q22027",COUNTIF($A$2:$A375,"Q22027"),"")</f>
        <v/>
      </c>
      <c r="K375" t="str">
        <f>IF(A375="Q32027",COUNTIF($A$2:$A375,"Q32027"),"")</f>
        <v/>
      </c>
      <c r="L375" t="str">
        <f>IF(A375="Q42027",COUNTIF($A$2:$A375,"Q42027"),"")</f>
        <v/>
      </c>
      <c r="M375" t="str">
        <f>IF(A375="Backlog",COUNTIF($A$2:$A375,"Backlog"),"")</f>
        <v/>
      </c>
    </row>
    <row r="376" spans="1:13">
      <c r="A376" t="str">
        <f>IF(AND('PO-Backlog2027'!B57&lt;&gt;"",'PO-Backlog2027'!E57&lt;&gt;""),'PO-Backlog2027'!E57,"")</f>
        <v/>
      </c>
      <c r="B376" t="str">
        <f>IF(AND('PO-Backlog2027'!B57&lt;&gt;"",'PO-Backlog2027'!E57&lt;&gt;""),'PO-Backlog2027'!B57,"")</f>
        <v/>
      </c>
      <c r="C376" t="str">
        <f>IF(AND('PO-Backlog2027'!B57&lt;&gt;"",'PO-Backlog2027'!E57&lt;&gt;""),'PO-Backlog2027'!C57,"")</f>
        <v/>
      </c>
      <c r="D376" t="str">
        <f>IF(AND('PO-Backlog2027'!B57&lt;&gt;"",'PO-Backlog2027'!E57&lt;&gt;""),'PO-Backlog2027'!D57,"")</f>
        <v/>
      </c>
      <c r="E376" t="str">
        <f>IF(AND('PO-Backlog2027'!B57&lt;&gt;"",'PO-Backlog2027'!E57&lt;&gt;""),'PO-Backlog2027'!H57,"")</f>
        <v/>
      </c>
      <c r="F376" t="str">
        <f>IF(AND('PO-Backlog2027'!B57&lt;&gt;"",'PO-Backlog2027'!E57&lt;&gt;""),'PO-Backlog2027'!F57,"")</f>
        <v/>
      </c>
      <c r="G376" t="str">
        <f>IF(AND('PO-Backlog2027'!B57&lt;&gt;"",'PO-Backlog2027'!E57&lt;&gt;""),'PO-Backlog2027'!G57,"")</f>
        <v/>
      </c>
      <c r="H376" t="str">
        <f>IF(AND('PO-Backlog2027'!B57&lt;&gt;"",'PO-Backlog2027'!E57&lt;&gt;""),"PO-Backlog2027","")</f>
        <v/>
      </c>
      <c r="I376" t="str">
        <f>IF(A376="Q12027",COUNTIF($A$2:$A376,"Q12027"),"")</f>
        <v/>
      </c>
      <c r="J376" t="str">
        <f>IF(A376="Q22027",COUNTIF($A$2:$A376,"Q22027"),"")</f>
        <v/>
      </c>
      <c r="K376" t="str">
        <f>IF(A376="Q32027",COUNTIF($A$2:$A376,"Q32027"),"")</f>
        <v/>
      </c>
      <c r="L376" t="str">
        <f>IF(A376="Q42027",COUNTIF($A$2:$A376,"Q42027"),"")</f>
        <v/>
      </c>
      <c r="M376" t="str">
        <f>IF(A376="Backlog",COUNTIF($A$2:$A376,"Backlog"),"")</f>
        <v/>
      </c>
    </row>
    <row r="377" spans="1:13">
      <c r="A377" t="str">
        <f>IF(AND('PO-Backlog2027'!B58&lt;&gt;"",'PO-Backlog2027'!E58&lt;&gt;""),'PO-Backlog2027'!E58,"")</f>
        <v/>
      </c>
      <c r="B377" t="str">
        <f>IF(AND('PO-Backlog2027'!B58&lt;&gt;"",'PO-Backlog2027'!E58&lt;&gt;""),'PO-Backlog2027'!B58,"")</f>
        <v/>
      </c>
      <c r="C377" t="str">
        <f>IF(AND('PO-Backlog2027'!B58&lt;&gt;"",'PO-Backlog2027'!E58&lt;&gt;""),'PO-Backlog2027'!C58,"")</f>
        <v/>
      </c>
      <c r="D377" t="str">
        <f>IF(AND('PO-Backlog2027'!B58&lt;&gt;"",'PO-Backlog2027'!E58&lt;&gt;""),'PO-Backlog2027'!D58,"")</f>
        <v/>
      </c>
      <c r="E377" t="str">
        <f>IF(AND('PO-Backlog2027'!B58&lt;&gt;"",'PO-Backlog2027'!E58&lt;&gt;""),'PO-Backlog2027'!H58,"")</f>
        <v/>
      </c>
      <c r="F377" t="str">
        <f>IF(AND('PO-Backlog2027'!B58&lt;&gt;"",'PO-Backlog2027'!E58&lt;&gt;""),'PO-Backlog2027'!F58,"")</f>
        <v/>
      </c>
      <c r="G377" t="str">
        <f>IF(AND('PO-Backlog2027'!B58&lt;&gt;"",'PO-Backlog2027'!E58&lt;&gt;""),'PO-Backlog2027'!G58,"")</f>
        <v/>
      </c>
      <c r="H377" t="str">
        <f>IF(AND('PO-Backlog2027'!B58&lt;&gt;"",'PO-Backlog2027'!E58&lt;&gt;""),"PO-Backlog2027","")</f>
        <v/>
      </c>
      <c r="I377" t="str">
        <f>IF(A377="Q12027",COUNTIF($A$2:$A377,"Q12027"),"")</f>
        <v/>
      </c>
      <c r="J377" t="str">
        <f>IF(A377="Q22027",COUNTIF($A$2:$A377,"Q22027"),"")</f>
        <v/>
      </c>
      <c r="K377" t="str">
        <f>IF(A377="Q32027",COUNTIF($A$2:$A377,"Q32027"),"")</f>
        <v/>
      </c>
      <c r="L377" t="str">
        <f>IF(A377="Q42027",COUNTIF($A$2:$A377,"Q42027"),"")</f>
        <v/>
      </c>
      <c r="M377" t="str">
        <f>IF(A377="Backlog",COUNTIF($A$2:$A377,"Backlog"),"")</f>
        <v/>
      </c>
    </row>
    <row r="378" spans="1:13">
      <c r="A378" t="str">
        <f>IF(AND('PO-Backlog2027'!B59&lt;&gt;"",'PO-Backlog2027'!E59&lt;&gt;""),'PO-Backlog2027'!E59,"")</f>
        <v/>
      </c>
      <c r="B378" t="str">
        <f>IF(AND('PO-Backlog2027'!B59&lt;&gt;"",'PO-Backlog2027'!E59&lt;&gt;""),'PO-Backlog2027'!B59,"")</f>
        <v/>
      </c>
      <c r="C378" t="str">
        <f>IF(AND('PO-Backlog2027'!B59&lt;&gt;"",'PO-Backlog2027'!E59&lt;&gt;""),'PO-Backlog2027'!C59,"")</f>
        <v/>
      </c>
      <c r="D378" t="str">
        <f>IF(AND('PO-Backlog2027'!B59&lt;&gt;"",'PO-Backlog2027'!E59&lt;&gt;""),'PO-Backlog2027'!D59,"")</f>
        <v/>
      </c>
      <c r="E378" t="str">
        <f>IF(AND('PO-Backlog2027'!B59&lt;&gt;"",'PO-Backlog2027'!E59&lt;&gt;""),'PO-Backlog2027'!H59,"")</f>
        <v/>
      </c>
      <c r="F378" t="str">
        <f>IF(AND('PO-Backlog2027'!B59&lt;&gt;"",'PO-Backlog2027'!E59&lt;&gt;""),'PO-Backlog2027'!F59,"")</f>
        <v/>
      </c>
      <c r="G378" t="str">
        <f>IF(AND('PO-Backlog2027'!B59&lt;&gt;"",'PO-Backlog2027'!E59&lt;&gt;""),'PO-Backlog2027'!G59,"")</f>
        <v/>
      </c>
      <c r="H378" t="str">
        <f>IF(AND('PO-Backlog2027'!B59&lt;&gt;"",'PO-Backlog2027'!E59&lt;&gt;""),"PO-Backlog2027","")</f>
        <v/>
      </c>
      <c r="I378" t="str">
        <f>IF(A378="Q12027",COUNTIF($A$2:$A378,"Q12027"),"")</f>
        <v/>
      </c>
      <c r="J378" t="str">
        <f>IF(A378="Q22027",COUNTIF($A$2:$A378,"Q22027"),"")</f>
        <v/>
      </c>
      <c r="K378" t="str">
        <f>IF(A378="Q32027",COUNTIF($A$2:$A378,"Q32027"),"")</f>
        <v/>
      </c>
      <c r="L378" t="str">
        <f>IF(A378="Q42027",COUNTIF($A$2:$A378,"Q42027"),"")</f>
        <v/>
      </c>
      <c r="M378" t="str">
        <f>IF(A378="Backlog",COUNTIF($A$2:$A378,"Backlog"),"")</f>
        <v/>
      </c>
    </row>
    <row r="379" spans="1:13">
      <c r="A379" t="str">
        <f>IF(AND('PO-Backlog2027'!B60&lt;&gt;"",'PO-Backlog2027'!E60&lt;&gt;""),'PO-Backlog2027'!E60,"")</f>
        <v/>
      </c>
      <c r="B379" t="str">
        <f>IF(AND('PO-Backlog2027'!B60&lt;&gt;"",'PO-Backlog2027'!E60&lt;&gt;""),'PO-Backlog2027'!B60,"")</f>
        <v/>
      </c>
      <c r="C379" t="str">
        <f>IF(AND('PO-Backlog2027'!B60&lt;&gt;"",'PO-Backlog2027'!E60&lt;&gt;""),'PO-Backlog2027'!C60,"")</f>
        <v/>
      </c>
      <c r="D379" t="str">
        <f>IF(AND('PO-Backlog2027'!B60&lt;&gt;"",'PO-Backlog2027'!E60&lt;&gt;""),'PO-Backlog2027'!D60,"")</f>
        <v/>
      </c>
      <c r="E379" t="str">
        <f>IF(AND('PO-Backlog2027'!B60&lt;&gt;"",'PO-Backlog2027'!E60&lt;&gt;""),'PO-Backlog2027'!H60,"")</f>
        <v/>
      </c>
      <c r="F379" t="str">
        <f>IF(AND('PO-Backlog2027'!B60&lt;&gt;"",'PO-Backlog2027'!E60&lt;&gt;""),'PO-Backlog2027'!F60,"")</f>
        <v/>
      </c>
      <c r="G379" t="str">
        <f>IF(AND('PO-Backlog2027'!B60&lt;&gt;"",'PO-Backlog2027'!E60&lt;&gt;""),'PO-Backlog2027'!G60,"")</f>
        <v/>
      </c>
      <c r="H379" t="str">
        <f>IF(AND('PO-Backlog2027'!B60&lt;&gt;"",'PO-Backlog2027'!E60&lt;&gt;""),"PO-Backlog2027","")</f>
        <v/>
      </c>
      <c r="I379" t="str">
        <f>IF(A379="Q12027",COUNTIF($A$2:$A379,"Q12027"),"")</f>
        <v/>
      </c>
      <c r="J379" t="str">
        <f>IF(A379="Q22027",COUNTIF($A$2:$A379,"Q22027"),"")</f>
        <v/>
      </c>
      <c r="K379" t="str">
        <f>IF(A379="Q32027",COUNTIF($A$2:$A379,"Q32027"),"")</f>
        <v/>
      </c>
      <c r="L379" t="str">
        <f>IF(A379="Q42027",COUNTIF($A$2:$A379,"Q42027"),"")</f>
        <v/>
      </c>
      <c r="M379" t="str">
        <f>IF(A379="Backlog",COUNTIF($A$2:$A379,"Backlog"),"")</f>
        <v/>
      </c>
    </row>
    <row r="380" spans="1:13">
      <c r="A380" t="str">
        <f>IF(AND('PO-Backlog2027'!B61&lt;&gt;"",'PO-Backlog2027'!E61&lt;&gt;""),'PO-Backlog2027'!E61,"")</f>
        <v/>
      </c>
      <c r="B380" t="str">
        <f>IF(AND('PO-Backlog2027'!B61&lt;&gt;"",'PO-Backlog2027'!E61&lt;&gt;""),'PO-Backlog2027'!B61,"")</f>
        <v/>
      </c>
      <c r="C380" t="str">
        <f>IF(AND('PO-Backlog2027'!B61&lt;&gt;"",'PO-Backlog2027'!E61&lt;&gt;""),'PO-Backlog2027'!C61,"")</f>
        <v/>
      </c>
      <c r="D380" t="str">
        <f>IF(AND('PO-Backlog2027'!B61&lt;&gt;"",'PO-Backlog2027'!E61&lt;&gt;""),'PO-Backlog2027'!D61,"")</f>
        <v/>
      </c>
      <c r="E380" t="str">
        <f>IF(AND('PO-Backlog2027'!B61&lt;&gt;"",'PO-Backlog2027'!E61&lt;&gt;""),'PO-Backlog2027'!H61,"")</f>
        <v/>
      </c>
      <c r="F380" t="str">
        <f>IF(AND('PO-Backlog2027'!B61&lt;&gt;"",'PO-Backlog2027'!E61&lt;&gt;""),'PO-Backlog2027'!F61,"")</f>
        <v/>
      </c>
      <c r="G380" t="str">
        <f>IF(AND('PO-Backlog2027'!B61&lt;&gt;"",'PO-Backlog2027'!E61&lt;&gt;""),'PO-Backlog2027'!G61,"")</f>
        <v/>
      </c>
      <c r="H380" t="str">
        <f>IF(AND('PO-Backlog2027'!B61&lt;&gt;"",'PO-Backlog2027'!E61&lt;&gt;""),"PO-Backlog2027","")</f>
        <v/>
      </c>
      <c r="I380" t="str">
        <f>IF(A380="Q12027",COUNTIF($A$2:$A380,"Q12027"),"")</f>
        <v/>
      </c>
      <c r="J380" t="str">
        <f>IF(A380="Q22027",COUNTIF($A$2:$A380,"Q22027"),"")</f>
        <v/>
      </c>
      <c r="K380" t="str">
        <f>IF(A380="Q32027",COUNTIF($A$2:$A380,"Q32027"),"")</f>
        <v/>
      </c>
      <c r="L380" t="str">
        <f>IF(A380="Q42027",COUNTIF($A$2:$A380,"Q42027"),"")</f>
        <v/>
      </c>
      <c r="M380" t="str">
        <f>IF(A380="Backlog",COUNTIF($A$2:$A380,"Backlog"),"")</f>
        <v/>
      </c>
    </row>
    <row r="381" spans="1:13">
      <c r="A381" t="str">
        <f>IF(AND('PO-Backlog2027'!B62&lt;&gt;"",'PO-Backlog2027'!E62&lt;&gt;""),'PO-Backlog2027'!E62,"")</f>
        <v/>
      </c>
      <c r="B381" t="str">
        <f>IF(AND('PO-Backlog2027'!B62&lt;&gt;"",'PO-Backlog2027'!E62&lt;&gt;""),'PO-Backlog2027'!B62,"")</f>
        <v/>
      </c>
      <c r="C381" t="str">
        <f>IF(AND('PO-Backlog2027'!B62&lt;&gt;"",'PO-Backlog2027'!E62&lt;&gt;""),'PO-Backlog2027'!C62,"")</f>
        <v/>
      </c>
      <c r="D381" t="str">
        <f>IF(AND('PO-Backlog2027'!B62&lt;&gt;"",'PO-Backlog2027'!E62&lt;&gt;""),'PO-Backlog2027'!D62,"")</f>
        <v/>
      </c>
      <c r="E381" t="str">
        <f>IF(AND('PO-Backlog2027'!B62&lt;&gt;"",'PO-Backlog2027'!E62&lt;&gt;""),'PO-Backlog2027'!H62,"")</f>
        <v/>
      </c>
      <c r="F381" t="str">
        <f>IF(AND('PO-Backlog2027'!B62&lt;&gt;"",'PO-Backlog2027'!E62&lt;&gt;""),'PO-Backlog2027'!F62,"")</f>
        <v/>
      </c>
      <c r="G381" t="str">
        <f>IF(AND('PO-Backlog2027'!B62&lt;&gt;"",'PO-Backlog2027'!E62&lt;&gt;""),'PO-Backlog2027'!G62,"")</f>
        <v/>
      </c>
      <c r="H381" t="str">
        <f>IF(AND('PO-Backlog2027'!B62&lt;&gt;"",'PO-Backlog2027'!E62&lt;&gt;""),"PO-Backlog2027","")</f>
        <v/>
      </c>
      <c r="I381" t="str">
        <f>IF(A381="Q12027",COUNTIF($A$2:$A381,"Q12027"),"")</f>
        <v/>
      </c>
      <c r="J381" t="str">
        <f>IF(A381="Q22027",COUNTIF($A$2:$A381,"Q22027"),"")</f>
        <v/>
      </c>
      <c r="K381" t="str">
        <f>IF(A381="Q32027",COUNTIF($A$2:$A381,"Q32027"),"")</f>
        <v/>
      </c>
      <c r="L381" t="str">
        <f>IF(A381="Q42027",COUNTIF($A$2:$A381,"Q42027"),"")</f>
        <v/>
      </c>
      <c r="M381" t="str">
        <f>IF(A381="Backlog",COUNTIF($A$2:$A381,"Backlog"),"")</f>
        <v/>
      </c>
    </row>
    <row r="382" spans="1:13">
      <c r="A382" t="str">
        <f>IF(AND('PO-Backlog2027'!B63&lt;&gt;"",'PO-Backlog2027'!E63&lt;&gt;""),'PO-Backlog2027'!E63,"")</f>
        <v/>
      </c>
      <c r="B382" t="str">
        <f>IF(AND('PO-Backlog2027'!B63&lt;&gt;"",'PO-Backlog2027'!E63&lt;&gt;""),'PO-Backlog2027'!B63,"")</f>
        <v/>
      </c>
      <c r="C382" t="str">
        <f>IF(AND('PO-Backlog2027'!B63&lt;&gt;"",'PO-Backlog2027'!E63&lt;&gt;""),'PO-Backlog2027'!C63,"")</f>
        <v/>
      </c>
      <c r="D382" t="str">
        <f>IF(AND('PO-Backlog2027'!B63&lt;&gt;"",'PO-Backlog2027'!E63&lt;&gt;""),'PO-Backlog2027'!D63,"")</f>
        <v/>
      </c>
      <c r="E382" t="str">
        <f>IF(AND('PO-Backlog2027'!B63&lt;&gt;"",'PO-Backlog2027'!E63&lt;&gt;""),'PO-Backlog2027'!H63,"")</f>
        <v/>
      </c>
      <c r="F382" t="str">
        <f>IF(AND('PO-Backlog2027'!B63&lt;&gt;"",'PO-Backlog2027'!E63&lt;&gt;""),'PO-Backlog2027'!F63,"")</f>
        <v/>
      </c>
      <c r="G382" t="str">
        <f>IF(AND('PO-Backlog2027'!B63&lt;&gt;"",'PO-Backlog2027'!E63&lt;&gt;""),'PO-Backlog2027'!G63,"")</f>
        <v/>
      </c>
      <c r="H382" t="str">
        <f>IF(AND('PO-Backlog2027'!B63&lt;&gt;"",'PO-Backlog2027'!E63&lt;&gt;""),"PO-Backlog2027","")</f>
        <v/>
      </c>
      <c r="I382" t="str">
        <f>IF(A382="Q12027",COUNTIF($A$2:$A382,"Q12027"),"")</f>
        <v/>
      </c>
      <c r="J382" t="str">
        <f>IF(A382="Q22027",COUNTIF($A$2:$A382,"Q22027"),"")</f>
        <v/>
      </c>
      <c r="K382" t="str">
        <f>IF(A382="Q32027",COUNTIF($A$2:$A382,"Q32027"),"")</f>
        <v/>
      </c>
      <c r="L382" t="str">
        <f>IF(A382="Q42027",COUNTIF($A$2:$A382,"Q42027"),"")</f>
        <v/>
      </c>
      <c r="M382" t="str">
        <f>IF(A382="Backlog",COUNTIF($A$2:$A382,"Backlog"),"")</f>
        <v/>
      </c>
    </row>
    <row r="383" spans="1:13">
      <c r="A383" t="str">
        <f>IF(AND('PO-Backlog2027'!B64&lt;&gt;"",'PO-Backlog2027'!E64&lt;&gt;""),'PO-Backlog2027'!E64,"")</f>
        <v/>
      </c>
      <c r="B383" t="str">
        <f>IF(AND('PO-Backlog2027'!B64&lt;&gt;"",'PO-Backlog2027'!E64&lt;&gt;""),'PO-Backlog2027'!B64,"")</f>
        <v/>
      </c>
      <c r="C383" t="str">
        <f>IF(AND('PO-Backlog2027'!B64&lt;&gt;"",'PO-Backlog2027'!E64&lt;&gt;""),'PO-Backlog2027'!C64,"")</f>
        <v/>
      </c>
      <c r="D383" t="str">
        <f>IF(AND('PO-Backlog2027'!B64&lt;&gt;"",'PO-Backlog2027'!E64&lt;&gt;""),'PO-Backlog2027'!D64,"")</f>
        <v/>
      </c>
      <c r="E383" t="str">
        <f>IF(AND('PO-Backlog2027'!B64&lt;&gt;"",'PO-Backlog2027'!E64&lt;&gt;""),'PO-Backlog2027'!H64,"")</f>
        <v/>
      </c>
      <c r="F383" t="str">
        <f>IF(AND('PO-Backlog2027'!B64&lt;&gt;"",'PO-Backlog2027'!E64&lt;&gt;""),'PO-Backlog2027'!F64,"")</f>
        <v/>
      </c>
      <c r="G383" t="str">
        <f>IF(AND('PO-Backlog2027'!B64&lt;&gt;"",'PO-Backlog2027'!E64&lt;&gt;""),'PO-Backlog2027'!G64,"")</f>
        <v/>
      </c>
      <c r="H383" t="str">
        <f>IF(AND('PO-Backlog2027'!B64&lt;&gt;"",'PO-Backlog2027'!E64&lt;&gt;""),"PO-Backlog2027","")</f>
        <v/>
      </c>
      <c r="I383" t="str">
        <f>IF(A383="Q12027",COUNTIF($A$2:$A383,"Q12027"),"")</f>
        <v/>
      </c>
      <c r="J383" t="str">
        <f>IF(A383="Q22027",COUNTIF($A$2:$A383,"Q22027"),"")</f>
        <v/>
      </c>
      <c r="K383" t="str">
        <f>IF(A383="Q32027",COUNTIF($A$2:$A383,"Q32027"),"")</f>
        <v/>
      </c>
      <c r="L383" t="str">
        <f>IF(A383="Q42027",COUNTIF($A$2:$A383,"Q42027"),"")</f>
        <v/>
      </c>
      <c r="M383" t="str">
        <f>IF(A383="Backlog",COUNTIF($A$2:$A383,"Backlog"),"")</f>
        <v/>
      </c>
    </row>
    <row r="384" spans="1:13">
      <c r="A384" t="str">
        <f>IF(AND('PO-Backlog2027'!B65&lt;&gt;"",'PO-Backlog2027'!E65&lt;&gt;""),'PO-Backlog2027'!E65,"")</f>
        <v/>
      </c>
      <c r="B384" t="str">
        <f>IF(AND('PO-Backlog2027'!B65&lt;&gt;"",'PO-Backlog2027'!E65&lt;&gt;""),'PO-Backlog2027'!B65,"")</f>
        <v/>
      </c>
      <c r="C384" t="str">
        <f>IF(AND('PO-Backlog2027'!B65&lt;&gt;"",'PO-Backlog2027'!E65&lt;&gt;""),'PO-Backlog2027'!C65,"")</f>
        <v/>
      </c>
      <c r="D384" t="str">
        <f>IF(AND('PO-Backlog2027'!B65&lt;&gt;"",'PO-Backlog2027'!E65&lt;&gt;""),'PO-Backlog2027'!D65,"")</f>
        <v/>
      </c>
      <c r="E384" t="str">
        <f>IF(AND('PO-Backlog2027'!B65&lt;&gt;"",'PO-Backlog2027'!E65&lt;&gt;""),'PO-Backlog2027'!H65,"")</f>
        <v/>
      </c>
      <c r="F384" t="str">
        <f>IF(AND('PO-Backlog2027'!B65&lt;&gt;"",'PO-Backlog2027'!E65&lt;&gt;""),'PO-Backlog2027'!F65,"")</f>
        <v/>
      </c>
      <c r="G384" t="str">
        <f>IF(AND('PO-Backlog2027'!B65&lt;&gt;"",'PO-Backlog2027'!E65&lt;&gt;""),'PO-Backlog2027'!G65,"")</f>
        <v/>
      </c>
      <c r="H384" t="str">
        <f>IF(AND('PO-Backlog2027'!B65&lt;&gt;"",'PO-Backlog2027'!E65&lt;&gt;""),"PO-Backlog2027","")</f>
        <v/>
      </c>
      <c r="I384" t="str">
        <f>IF(A384="Q12027",COUNTIF($A$2:$A384,"Q12027"),"")</f>
        <v/>
      </c>
      <c r="J384" t="str">
        <f>IF(A384="Q22027",COUNTIF($A$2:$A384,"Q22027"),"")</f>
        <v/>
      </c>
      <c r="K384" t="str">
        <f>IF(A384="Q32027",COUNTIF($A$2:$A384,"Q32027"),"")</f>
        <v/>
      </c>
      <c r="L384" t="str">
        <f>IF(A384="Q42027",COUNTIF($A$2:$A384,"Q42027"),"")</f>
        <v/>
      </c>
      <c r="M384" t="str">
        <f>IF(A384="Backlog",COUNTIF($A$2:$A384,"Backlog"),"")</f>
        <v/>
      </c>
    </row>
    <row r="385" spans="1:13">
      <c r="A385" t="str">
        <f>IF(AND('PO-Backlog2027'!B66&lt;&gt;"",'PO-Backlog2027'!E66&lt;&gt;""),'PO-Backlog2027'!E66,"")</f>
        <v/>
      </c>
      <c r="B385" t="str">
        <f>IF(AND('PO-Backlog2027'!B66&lt;&gt;"",'PO-Backlog2027'!E66&lt;&gt;""),'PO-Backlog2027'!B66,"")</f>
        <v/>
      </c>
      <c r="C385" t="str">
        <f>IF(AND('PO-Backlog2027'!B66&lt;&gt;"",'PO-Backlog2027'!E66&lt;&gt;""),'PO-Backlog2027'!C66,"")</f>
        <v/>
      </c>
      <c r="D385" t="str">
        <f>IF(AND('PO-Backlog2027'!B66&lt;&gt;"",'PO-Backlog2027'!E66&lt;&gt;""),'PO-Backlog2027'!D66,"")</f>
        <v/>
      </c>
      <c r="E385" t="str">
        <f>IF(AND('PO-Backlog2027'!B66&lt;&gt;"",'PO-Backlog2027'!E66&lt;&gt;""),'PO-Backlog2027'!H66,"")</f>
        <v/>
      </c>
      <c r="F385" t="str">
        <f>IF(AND('PO-Backlog2027'!B66&lt;&gt;"",'PO-Backlog2027'!E66&lt;&gt;""),'PO-Backlog2027'!F66,"")</f>
        <v/>
      </c>
      <c r="G385" t="str">
        <f>IF(AND('PO-Backlog2027'!B66&lt;&gt;"",'PO-Backlog2027'!E66&lt;&gt;""),'PO-Backlog2027'!G66,"")</f>
        <v/>
      </c>
      <c r="H385" t="str">
        <f>IF(AND('PO-Backlog2027'!B66&lt;&gt;"",'PO-Backlog2027'!E66&lt;&gt;""),"PO-Backlog2027","")</f>
        <v/>
      </c>
      <c r="I385" t="str">
        <f>IF(A385="Q12027",COUNTIF($A$2:$A385,"Q12027"),"")</f>
        <v/>
      </c>
      <c r="J385" t="str">
        <f>IF(A385="Q22027",COUNTIF($A$2:$A385,"Q22027"),"")</f>
        <v/>
      </c>
      <c r="K385" t="str">
        <f>IF(A385="Q32027",COUNTIF($A$2:$A385,"Q32027"),"")</f>
        <v/>
      </c>
      <c r="L385" t="str">
        <f>IF(A385="Q42027",COUNTIF($A$2:$A385,"Q42027"),"")</f>
        <v/>
      </c>
      <c r="M385" t="str">
        <f>IF(A385="Backlog",COUNTIF($A$2:$A385,"Backlog"),"")</f>
        <v/>
      </c>
    </row>
    <row r="386" spans="1:13">
      <c r="A386" t="str">
        <f>IF(AND('PO-Backlog2027'!B67&lt;&gt;"",'PO-Backlog2027'!E67&lt;&gt;""),'PO-Backlog2027'!E67,"")</f>
        <v/>
      </c>
      <c r="B386" t="str">
        <f>IF(AND('PO-Backlog2027'!B67&lt;&gt;"",'PO-Backlog2027'!E67&lt;&gt;""),'PO-Backlog2027'!B67,"")</f>
        <v/>
      </c>
      <c r="C386" t="str">
        <f>IF(AND('PO-Backlog2027'!B67&lt;&gt;"",'PO-Backlog2027'!E67&lt;&gt;""),'PO-Backlog2027'!C67,"")</f>
        <v/>
      </c>
      <c r="D386" t="str">
        <f>IF(AND('PO-Backlog2027'!B67&lt;&gt;"",'PO-Backlog2027'!E67&lt;&gt;""),'PO-Backlog2027'!D67,"")</f>
        <v/>
      </c>
      <c r="E386" t="str">
        <f>IF(AND('PO-Backlog2027'!B67&lt;&gt;"",'PO-Backlog2027'!E67&lt;&gt;""),'PO-Backlog2027'!H67,"")</f>
        <v/>
      </c>
      <c r="F386" t="str">
        <f>IF(AND('PO-Backlog2027'!B67&lt;&gt;"",'PO-Backlog2027'!E67&lt;&gt;""),'PO-Backlog2027'!F67,"")</f>
        <v/>
      </c>
      <c r="G386" t="str">
        <f>IF(AND('PO-Backlog2027'!B67&lt;&gt;"",'PO-Backlog2027'!E67&lt;&gt;""),'PO-Backlog2027'!G67,"")</f>
        <v/>
      </c>
      <c r="H386" t="str">
        <f>IF(AND('PO-Backlog2027'!B67&lt;&gt;"",'PO-Backlog2027'!E67&lt;&gt;""),"PO-Backlog2027","")</f>
        <v/>
      </c>
      <c r="I386" t="str">
        <f>IF(A386="Q12027",COUNTIF($A$2:$A386,"Q12027"),"")</f>
        <v/>
      </c>
      <c r="J386" t="str">
        <f>IF(A386="Q22027",COUNTIF($A$2:$A386,"Q22027"),"")</f>
        <v/>
      </c>
      <c r="K386" t="str">
        <f>IF(A386="Q32027",COUNTIF($A$2:$A386,"Q32027"),"")</f>
        <v/>
      </c>
      <c r="L386" t="str">
        <f>IF(A386="Q42027",COUNTIF($A$2:$A386,"Q42027"),"")</f>
        <v/>
      </c>
      <c r="M386" t="str">
        <f>IF(A386="Backlog",COUNTIF($A$2:$A386,"Backlog"),"")</f>
        <v/>
      </c>
    </row>
    <row r="387" spans="1:13">
      <c r="A387" t="str">
        <f>IF(AND('PO-Backlog2027'!B68&lt;&gt;"",'PO-Backlog2027'!E68&lt;&gt;""),'PO-Backlog2027'!E68,"")</f>
        <v/>
      </c>
      <c r="B387" t="str">
        <f>IF(AND('PO-Backlog2027'!B68&lt;&gt;"",'PO-Backlog2027'!E68&lt;&gt;""),'PO-Backlog2027'!B68,"")</f>
        <v/>
      </c>
      <c r="C387" t="str">
        <f>IF(AND('PO-Backlog2027'!B68&lt;&gt;"",'PO-Backlog2027'!E68&lt;&gt;""),'PO-Backlog2027'!C68,"")</f>
        <v/>
      </c>
      <c r="D387" t="str">
        <f>IF(AND('PO-Backlog2027'!B68&lt;&gt;"",'PO-Backlog2027'!E68&lt;&gt;""),'PO-Backlog2027'!D68,"")</f>
        <v/>
      </c>
      <c r="E387" t="str">
        <f>IF(AND('PO-Backlog2027'!B68&lt;&gt;"",'PO-Backlog2027'!E68&lt;&gt;""),'PO-Backlog2027'!H68,"")</f>
        <v/>
      </c>
      <c r="F387" t="str">
        <f>IF(AND('PO-Backlog2027'!B68&lt;&gt;"",'PO-Backlog2027'!E68&lt;&gt;""),'PO-Backlog2027'!F68,"")</f>
        <v/>
      </c>
      <c r="G387" t="str">
        <f>IF(AND('PO-Backlog2027'!B68&lt;&gt;"",'PO-Backlog2027'!E68&lt;&gt;""),'PO-Backlog2027'!G68,"")</f>
        <v/>
      </c>
      <c r="H387" t="str">
        <f>IF(AND('PO-Backlog2027'!B68&lt;&gt;"",'PO-Backlog2027'!E68&lt;&gt;""),"PO-Backlog2027","")</f>
        <v/>
      </c>
      <c r="I387" t="str">
        <f>IF(A387="Q12027",COUNTIF($A$2:$A387,"Q12027"),"")</f>
        <v/>
      </c>
      <c r="J387" t="str">
        <f>IF(A387="Q22027",COUNTIF($A$2:$A387,"Q22027"),"")</f>
        <v/>
      </c>
      <c r="K387" t="str">
        <f>IF(A387="Q32027",COUNTIF($A$2:$A387,"Q32027"),"")</f>
        <v/>
      </c>
      <c r="L387" t="str">
        <f>IF(A387="Q42027",COUNTIF($A$2:$A387,"Q42027"),"")</f>
        <v/>
      </c>
      <c r="M387" t="str">
        <f>IF(A387="Backlog",COUNTIF($A$2:$A387,"Backlog"),"")</f>
        <v/>
      </c>
    </row>
    <row r="388" spans="1:13">
      <c r="A388" t="str">
        <f>IF(AND('PO-Backlog2027'!B69&lt;&gt;"",'PO-Backlog2027'!E69&lt;&gt;""),'PO-Backlog2027'!E69,"")</f>
        <v/>
      </c>
      <c r="B388" t="str">
        <f>IF(AND('PO-Backlog2027'!B69&lt;&gt;"",'PO-Backlog2027'!E69&lt;&gt;""),'PO-Backlog2027'!B69,"")</f>
        <v/>
      </c>
      <c r="C388" t="str">
        <f>IF(AND('PO-Backlog2027'!B69&lt;&gt;"",'PO-Backlog2027'!E69&lt;&gt;""),'PO-Backlog2027'!C69,"")</f>
        <v/>
      </c>
      <c r="D388" t="str">
        <f>IF(AND('PO-Backlog2027'!B69&lt;&gt;"",'PO-Backlog2027'!E69&lt;&gt;""),'PO-Backlog2027'!D69,"")</f>
        <v/>
      </c>
      <c r="E388" t="str">
        <f>IF(AND('PO-Backlog2027'!B69&lt;&gt;"",'PO-Backlog2027'!E69&lt;&gt;""),'PO-Backlog2027'!H69,"")</f>
        <v/>
      </c>
      <c r="F388" t="str">
        <f>IF(AND('PO-Backlog2027'!B69&lt;&gt;"",'PO-Backlog2027'!E69&lt;&gt;""),'PO-Backlog2027'!F69,"")</f>
        <v/>
      </c>
      <c r="G388" t="str">
        <f>IF(AND('PO-Backlog2027'!B69&lt;&gt;"",'PO-Backlog2027'!E69&lt;&gt;""),'PO-Backlog2027'!G69,"")</f>
        <v/>
      </c>
      <c r="H388" t="str">
        <f>IF(AND('PO-Backlog2027'!B69&lt;&gt;"",'PO-Backlog2027'!E69&lt;&gt;""),"PO-Backlog2027","")</f>
        <v/>
      </c>
      <c r="I388" t="str">
        <f>IF(A388="Q12027",COUNTIF($A$2:$A388,"Q12027"),"")</f>
        <v/>
      </c>
      <c r="J388" t="str">
        <f>IF(A388="Q22027",COUNTIF($A$2:$A388,"Q22027"),"")</f>
        <v/>
      </c>
      <c r="K388" t="str">
        <f>IF(A388="Q32027",COUNTIF($A$2:$A388,"Q32027"),"")</f>
        <v/>
      </c>
      <c r="L388" t="str">
        <f>IF(A388="Q42027",COUNTIF($A$2:$A388,"Q42027"),"")</f>
        <v/>
      </c>
      <c r="M388" t="str">
        <f>IF(A388="Backlog",COUNTIF($A$2:$A388,"Backlog"),"")</f>
        <v/>
      </c>
    </row>
    <row r="389" spans="1:13">
      <c r="A389" t="str">
        <f>IF(AND('PO-Backlog2027'!B70&lt;&gt;"",'PO-Backlog2027'!E70&lt;&gt;""),'PO-Backlog2027'!E70,"")</f>
        <v/>
      </c>
      <c r="B389" t="str">
        <f>IF(AND('PO-Backlog2027'!B70&lt;&gt;"",'PO-Backlog2027'!E70&lt;&gt;""),'PO-Backlog2027'!B70,"")</f>
        <v/>
      </c>
      <c r="C389" t="str">
        <f>IF(AND('PO-Backlog2027'!B70&lt;&gt;"",'PO-Backlog2027'!E70&lt;&gt;""),'PO-Backlog2027'!C70,"")</f>
        <v/>
      </c>
      <c r="D389" t="str">
        <f>IF(AND('PO-Backlog2027'!B70&lt;&gt;"",'PO-Backlog2027'!E70&lt;&gt;""),'PO-Backlog2027'!D70,"")</f>
        <v/>
      </c>
      <c r="E389" t="str">
        <f>IF(AND('PO-Backlog2027'!B70&lt;&gt;"",'PO-Backlog2027'!E70&lt;&gt;""),'PO-Backlog2027'!H70,"")</f>
        <v/>
      </c>
      <c r="F389" t="str">
        <f>IF(AND('PO-Backlog2027'!B70&lt;&gt;"",'PO-Backlog2027'!E70&lt;&gt;""),'PO-Backlog2027'!F70,"")</f>
        <v/>
      </c>
      <c r="G389" t="str">
        <f>IF(AND('PO-Backlog2027'!B70&lt;&gt;"",'PO-Backlog2027'!E70&lt;&gt;""),'PO-Backlog2027'!G70,"")</f>
        <v/>
      </c>
      <c r="H389" t="str">
        <f>IF(AND('PO-Backlog2027'!B70&lt;&gt;"",'PO-Backlog2027'!E70&lt;&gt;""),"PO-Backlog2027","")</f>
        <v/>
      </c>
      <c r="I389" t="str">
        <f>IF(A389="Q12027",COUNTIF($A$2:$A389,"Q12027"),"")</f>
        <v/>
      </c>
      <c r="J389" t="str">
        <f>IF(A389="Q22027",COUNTIF($A$2:$A389,"Q22027"),"")</f>
        <v/>
      </c>
      <c r="K389" t="str">
        <f>IF(A389="Q32027",COUNTIF($A$2:$A389,"Q32027"),"")</f>
        <v/>
      </c>
      <c r="L389" t="str">
        <f>IF(A389="Q42027",COUNTIF($A$2:$A389,"Q42027"),"")</f>
        <v/>
      </c>
      <c r="M389" t="str">
        <f>IF(A389="Backlog",COUNTIF($A$2:$A389,"Backlog"),"")</f>
        <v/>
      </c>
    </row>
    <row r="390" spans="1:13">
      <c r="A390" t="str">
        <f>IF(AND('PO-Backlog2027'!B71&lt;&gt;"",'PO-Backlog2027'!E71&lt;&gt;""),'PO-Backlog2027'!E71,"")</f>
        <v/>
      </c>
      <c r="B390" t="str">
        <f>IF(AND('PO-Backlog2027'!B71&lt;&gt;"",'PO-Backlog2027'!E71&lt;&gt;""),'PO-Backlog2027'!B71,"")</f>
        <v/>
      </c>
      <c r="C390" t="str">
        <f>IF(AND('PO-Backlog2027'!B71&lt;&gt;"",'PO-Backlog2027'!E71&lt;&gt;""),'PO-Backlog2027'!C71,"")</f>
        <v/>
      </c>
      <c r="D390" t="str">
        <f>IF(AND('PO-Backlog2027'!B71&lt;&gt;"",'PO-Backlog2027'!E71&lt;&gt;""),'PO-Backlog2027'!D71,"")</f>
        <v/>
      </c>
      <c r="E390" t="str">
        <f>IF(AND('PO-Backlog2027'!B71&lt;&gt;"",'PO-Backlog2027'!E71&lt;&gt;""),'PO-Backlog2027'!H71,"")</f>
        <v/>
      </c>
      <c r="F390" t="str">
        <f>IF(AND('PO-Backlog2027'!B71&lt;&gt;"",'PO-Backlog2027'!E71&lt;&gt;""),'PO-Backlog2027'!F71,"")</f>
        <v/>
      </c>
      <c r="G390" t="str">
        <f>IF(AND('PO-Backlog2027'!B71&lt;&gt;"",'PO-Backlog2027'!E71&lt;&gt;""),'PO-Backlog2027'!G71,"")</f>
        <v/>
      </c>
      <c r="H390" t="str">
        <f>IF(AND('PO-Backlog2027'!B71&lt;&gt;"",'PO-Backlog2027'!E71&lt;&gt;""),"PO-Backlog2027","")</f>
        <v/>
      </c>
      <c r="I390" t="str">
        <f>IF(A390="Q12027",COUNTIF($A$2:$A390,"Q12027"),"")</f>
        <v/>
      </c>
      <c r="J390" t="str">
        <f>IF(A390="Q22027",COUNTIF($A$2:$A390,"Q22027"),"")</f>
        <v/>
      </c>
      <c r="K390" t="str">
        <f>IF(A390="Q32027",COUNTIF($A$2:$A390,"Q32027"),"")</f>
        <v/>
      </c>
      <c r="L390" t="str">
        <f>IF(A390="Q42027",COUNTIF($A$2:$A390,"Q42027"),"")</f>
        <v/>
      </c>
      <c r="M390" t="str">
        <f>IF(A390="Backlog",COUNTIF($A$2:$A390,"Backlog"),"")</f>
        <v/>
      </c>
    </row>
    <row r="391" spans="1:13">
      <c r="A391" t="str">
        <f>IF(AND('PO-Backlog2027'!B72&lt;&gt;"",'PO-Backlog2027'!E72&lt;&gt;""),'PO-Backlog2027'!E72,"")</f>
        <v/>
      </c>
      <c r="B391" t="str">
        <f>IF(AND('PO-Backlog2027'!B72&lt;&gt;"",'PO-Backlog2027'!E72&lt;&gt;""),'PO-Backlog2027'!B72,"")</f>
        <v/>
      </c>
      <c r="C391" t="str">
        <f>IF(AND('PO-Backlog2027'!B72&lt;&gt;"",'PO-Backlog2027'!E72&lt;&gt;""),'PO-Backlog2027'!C72,"")</f>
        <v/>
      </c>
      <c r="D391" t="str">
        <f>IF(AND('PO-Backlog2027'!B72&lt;&gt;"",'PO-Backlog2027'!E72&lt;&gt;""),'PO-Backlog2027'!D72,"")</f>
        <v/>
      </c>
      <c r="E391" t="str">
        <f>IF(AND('PO-Backlog2027'!B72&lt;&gt;"",'PO-Backlog2027'!E72&lt;&gt;""),'PO-Backlog2027'!H72,"")</f>
        <v/>
      </c>
      <c r="F391" t="str">
        <f>IF(AND('PO-Backlog2027'!B72&lt;&gt;"",'PO-Backlog2027'!E72&lt;&gt;""),'PO-Backlog2027'!F72,"")</f>
        <v/>
      </c>
      <c r="G391" t="str">
        <f>IF(AND('PO-Backlog2027'!B72&lt;&gt;"",'PO-Backlog2027'!E72&lt;&gt;""),'PO-Backlog2027'!G72,"")</f>
        <v/>
      </c>
      <c r="H391" t="str">
        <f>IF(AND('PO-Backlog2027'!B72&lt;&gt;"",'PO-Backlog2027'!E72&lt;&gt;""),"PO-Backlog2027","")</f>
        <v/>
      </c>
      <c r="I391" t="str">
        <f>IF(A391="Q12027",COUNTIF($A$2:$A391,"Q12027"),"")</f>
        <v/>
      </c>
      <c r="J391" t="str">
        <f>IF(A391="Q22027",COUNTIF($A$2:$A391,"Q22027"),"")</f>
        <v/>
      </c>
      <c r="K391" t="str">
        <f>IF(A391="Q32027",COUNTIF($A$2:$A391,"Q32027"),"")</f>
        <v/>
      </c>
      <c r="L391" t="str">
        <f>IF(A391="Q42027",COUNTIF($A$2:$A391,"Q42027"),"")</f>
        <v/>
      </c>
      <c r="M391" t="str">
        <f>IF(A391="Backlog",COUNTIF($A$2:$A391,"Backlog"),"")</f>
        <v/>
      </c>
    </row>
    <row r="392" spans="1:13">
      <c r="A392" t="str">
        <f>IF(AND('PO-Backlog2027'!B73&lt;&gt;"",'PO-Backlog2027'!E73&lt;&gt;""),'PO-Backlog2027'!E73,"")</f>
        <v/>
      </c>
      <c r="B392" t="str">
        <f>IF(AND('PO-Backlog2027'!B73&lt;&gt;"",'PO-Backlog2027'!E73&lt;&gt;""),'PO-Backlog2027'!B73,"")</f>
        <v/>
      </c>
      <c r="C392" t="str">
        <f>IF(AND('PO-Backlog2027'!B73&lt;&gt;"",'PO-Backlog2027'!E73&lt;&gt;""),'PO-Backlog2027'!C73,"")</f>
        <v/>
      </c>
      <c r="D392" t="str">
        <f>IF(AND('PO-Backlog2027'!B73&lt;&gt;"",'PO-Backlog2027'!E73&lt;&gt;""),'PO-Backlog2027'!D73,"")</f>
        <v/>
      </c>
      <c r="E392" t="str">
        <f>IF(AND('PO-Backlog2027'!B73&lt;&gt;"",'PO-Backlog2027'!E73&lt;&gt;""),'PO-Backlog2027'!H73,"")</f>
        <v/>
      </c>
      <c r="F392" t="str">
        <f>IF(AND('PO-Backlog2027'!B73&lt;&gt;"",'PO-Backlog2027'!E73&lt;&gt;""),'PO-Backlog2027'!F73,"")</f>
        <v/>
      </c>
      <c r="G392" t="str">
        <f>IF(AND('PO-Backlog2027'!B73&lt;&gt;"",'PO-Backlog2027'!E73&lt;&gt;""),'PO-Backlog2027'!G73,"")</f>
        <v/>
      </c>
      <c r="H392" t="str">
        <f>IF(AND('PO-Backlog2027'!B73&lt;&gt;"",'PO-Backlog2027'!E73&lt;&gt;""),"PO-Backlog2027","")</f>
        <v/>
      </c>
      <c r="I392" t="str">
        <f>IF(A392="Q12027",COUNTIF($A$2:$A392,"Q12027"),"")</f>
        <v/>
      </c>
      <c r="J392" t="str">
        <f>IF(A392="Q22027",COUNTIF($A$2:$A392,"Q22027"),"")</f>
        <v/>
      </c>
      <c r="K392" t="str">
        <f>IF(A392="Q32027",COUNTIF($A$2:$A392,"Q32027"),"")</f>
        <v/>
      </c>
      <c r="L392" t="str">
        <f>IF(A392="Q42027",COUNTIF($A$2:$A392,"Q42027"),"")</f>
        <v/>
      </c>
      <c r="M392" t="str">
        <f>IF(A392="Backlog",COUNTIF($A$2:$A392,"Backlog"),"")</f>
        <v/>
      </c>
    </row>
    <row r="393" spans="1:13">
      <c r="A393" t="str">
        <f>IF(AND('PO-Backlog2027'!B74&lt;&gt;"",'PO-Backlog2027'!E74&lt;&gt;""),'PO-Backlog2027'!E74,"")</f>
        <v/>
      </c>
      <c r="B393" t="str">
        <f>IF(AND('PO-Backlog2027'!B74&lt;&gt;"",'PO-Backlog2027'!E74&lt;&gt;""),'PO-Backlog2027'!B74,"")</f>
        <v/>
      </c>
      <c r="C393" t="str">
        <f>IF(AND('PO-Backlog2027'!B74&lt;&gt;"",'PO-Backlog2027'!E74&lt;&gt;""),'PO-Backlog2027'!C74,"")</f>
        <v/>
      </c>
      <c r="D393" t="str">
        <f>IF(AND('PO-Backlog2027'!B74&lt;&gt;"",'PO-Backlog2027'!E74&lt;&gt;""),'PO-Backlog2027'!D74,"")</f>
        <v/>
      </c>
      <c r="E393" t="str">
        <f>IF(AND('PO-Backlog2027'!B74&lt;&gt;"",'PO-Backlog2027'!E74&lt;&gt;""),'PO-Backlog2027'!H74,"")</f>
        <v/>
      </c>
      <c r="F393" t="str">
        <f>IF(AND('PO-Backlog2027'!B74&lt;&gt;"",'PO-Backlog2027'!E74&lt;&gt;""),'PO-Backlog2027'!F74,"")</f>
        <v/>
      </c>
      <c r="G393" t="str">
        <f>IF(AND('PO-Backlog2027'!B74&lt;&gt;"",'PO-Backlog2027'!E74&lt;&gt;""),'PO-Backlog2027'!G74,"")</f>
        <v/>
      </c>
      <c r="H393" t="str">
        <f>IF(AND('PO-Backlog2027'!B74&lt;&gt;"",'PO-Backlog2027'!E74&lt;&gt;""),"PO-Backlog2027","")</f>
        <v/>
      </c>
      <c r="I393" t="str">
        <f>IF(A393="Q12027",COUNTIF($A$2:$A393,"Q12027"),"")</f>
        <v/>
      </c>
      <c r="J393" t="str">
        <f>IF(A393="Q22027",COUNTIF($A$2:$A393,"Q22027"),"")</f>
        <v/>
      </c>
      <c r="K393" t="str">
        <f>IF(A393="Q32027",COUNTIF($A$2:$A393,"Q32027"),"")</f>
        <v/>
      </c>
      <c r="L393" t="str">
        <f>IF(A393="Q42027",COUNTIF($A$2:$A393,"Q42027"),"")</f>
        <v/>
      </c>
      <c r="M393" t="str">
        <f>IF(A393="Backlog",COUNTIF($A$2:$A393,"Backlog"),"")</f>
        <v/>
      </c>
    </row>
    <row r="394" spans="1:13">
      <c r="A394" t="str">
        <f>IF(AND('PO-Backlog2027'!B75&lt;&gt;"",'PO-Backlog2027'!E75&lt;&gt;""),'PO-Backlog2027'!E75,"")</f>
        <v/>
      </c>
      <c r="B394" t="str">
        <f>IF(AND('PO-Backlog2027'!B75&lt;&gt;"",'PO-Backlog2027'!E75&lt;&gt;""),'PO-Backlog2027'!B75,"")</f>
        <v/>
      </c>
      <c r="C394" t="str">
        <f>IF(AND('PO-Backlog2027'!B75&lt;&gt;"",'PO-Backlog2027'!E75&lt;&gt;""),'PO-Backlog2027'!C75,"")</f>
        <v/>
      </c>
      <c r="D394" t="str">
        <f>IF(AND('PO-Backlog2027'!B75&lt;&gt;"",'PO-Backlog2027'!E75&lt;&gt;""),'PO-Backlog2027'!D75,"")</f>
        <v/>
      </c>
      <c r="E394" t="str">
        <f>IF(AND('PO-Backlog2027'!B75&lt;&gt;"",'PO-Backlog2027'!E75&lt;&gt;""),'PO-Backlog2027'!H75,"")</f>
        <v/>
      </c>
      <c r="F394" t="str">
        <f>IF(AND('PO-Backlog2027'!B75&lt;&gt;"",'PO-Backlog2027'!E75&lt;&gt;""),'PO-Backlog2027'!F75,"")</f>
        <v/>
      </c>
      <c r="G394" t="str">
        <f>IF(AND('PO-Backlog2027'!B75&lt;&gt;"",'PO-Backlog2027'!E75&lt;&gt;""),'PO-Backlog2027'!G75,"")</f>
        <v/>
      </c>
      <c r="H394" t="str">
        <f>IF(AND('PO-Backlog2027'!B75&lt;&gt;"",'PO-Backlog2027'!E75&lt;&gt;""),"PO-Backlog2027","")</f>
        <v/>
      </c>
      <c r="I394" t="str">
        <f>IF(A394="Q12027",COUNTIF($A$2:$A394,"Q12027"),"")</f>
        <v/>
      </c>
      <c r="J394" t="str">
        <f>IF(A394="Q22027",COUNTIF($A$2:$A394,"Q22027"),"")</f>
        <v/>
      </c>
      <c r="K394" t="str">
        <f>IF(A394="Q32027",COUNTIF($A$2:$A394,"Q32027"),"")</f>
        <v/>
      </c>
      <c r="L394" t="str">
        <f>IF(A394="Q42027",COUNTIF($A$2:$A394,"Q42027"),"")</f>
        <v/>
      </c>
      <c r="M394" t="str">
        <f>IF(A394="Backlog",COUNTIF($A$2:$A394,"Backlog"),"")</f>
        <v/>
      </c>
    </row>
    <row r="395" spans="1:13">
      <c r="A395" t="str">
        <f>IF(AND('PO-Backlog2027'!B76&lt;&gt;"",'PO-Backlog2027'!E76&lt;&gt;""),'PO-Backlog2027'!E76,"")</f>
        <v/>
      </c>
      <c r="B395" t="str">
        <f>IF(AND('PO-Backlog2027'!B76&lt;&gt;"",'PO-Backlog2027'!E76&lt;&gt;""),'PO-Backlog2027'!B76,"")</f>
        <v/>
      </c>
      <c r="C395" t="str">
        <f>IF(AND('PO-Backlog2027'!B76&lt;&gt;"",'PO-Backlog2027'!E76&lt;&gt;""),'PO-Backlog2027'!C76,"")</f>
        <v/>
      </c>
      <c r="D395" t="str">
        <f>IF(AND('PO-Backlog2027'!B76&lt;&gt;"",'PO-Backlog2027'!E76&lt;&gt;""),'PO-Backlog2027'!D76,"")</f>
        <v/>
      </c>
      <c r="E395" t="str">
        <f>IF(AND('PO-Backlog2027'!B76&lt;&gt;"",'PO-Backlog2027'!E76&lt;&gt;""),'PO-Backlog2027'!H76,"")</f>
        <v/>
      </c>
      <c r="F395" t="str">
        <f>IF(AND('PO-Backlog2027'!B76&lt;&gt;"",'PO-Backlog2027'!E76&lt;&gt;""),'PO-Backlog2027'!F76,"")</f>
        <v/>
      </c>
      <c r="G395" t="str">
        <f>IF(AND('PO-Backlog2027'!B76&lt;&gt;"",'PO-Backlog2027'!E76&lt;&gt;""),'PO-Backlog2027'!G76,"")</f>
        <v/>
      </c>
      <c r="H395" t="str">
        <f>IF(AND('PO-Backlog2027'!B76&lt;&gt;"",'PO-Backlog2027'!E76&lt;&gt;""),"PO-Backlog2027","")</f>
        <v/>
      </c>
      <c r="I395" t="str">
        <f>IF(A395="Q12027",COUNTIF($A$2:$A395,"Q12027"),"")</f>
        <v/>
      </c>
      <c r="J395" t="str">
        <f>IF(A395="Q22027",COUNTIF($A$2:$A395,"Q22027"),"")</f>
        <v/>
      </c>
      <c r="K395" t="str">
        <f>IF(A395="Q32027",COUNTIF($A$2:$A395,"Q32027"),"")</f>
        <v/>
      </c>
      <c r="L395" t="str">
        <f>IF(A395="Q42027",COUNTIF($A$2:$A395,"Q42027"),"")</f>
        <v/>
      </c>
      <c r="M395" t="str">
        <f>IF(A395="Backlog",COUNTIF($A$2:$A395,"Backlog"),"")</f>
        <v/>
      </c>
    </row>
    <row r="396" spans="1:13">
      <c r="A396" t="str">
        <f>IF(AND('PO-Backlog2027'!B77&lt;&gt;"",'PO-Backlog2027'!E77&lt;&gt;""),'PO-Backlog2027'!E77,"")</f>
        <v/>
      </c>
      <c r="B396" t="str">
        <f>IF(AND('PO-Backlog2027'!B77&lt;&gt;"",'PO-Backlog2027'!E77&lt;&gt;""),'PO-Backlog2027'!B77,"")</f>
        <v/>
      </c>
      <c r="C396" t="str">
        <f>IF(AND('PO-Backlog2027'!B77&lt;&gt;"",'PO-Backlog2027'!E77&lt;&gt;""),'PO-Backlog2027'!C77,"")</f>
        <v/>
      </c>
      <c r="D396" t="str">
        <f>IF(AND('PO-Backlog2027'!B77&lt;&gt;"",'PO-Backlog2027'!E77&lt;&gt;""),'PO-Backlog2027'!D77,"")</f>
        <v/>
      </c>
      <c r="E396" t="str">
        <f>IF(AND('PO-Backlog2027'!B77&lt;&gt;"",'PO-Backlog2027'!E77&lt;&gt;""),'PO-Backlog2027'!H77,"")</f>
        <v/>
      </c>
      <c r="F396" t="str">
        <f>IF(AND('PO-Backlog2027'!B77&lt;&gt;"",'PO-Backlog2027'!E77&lt;&gt;""),'PO-Backlog2027'!F77,"")</f>
        <v/>
      </c>
      <c r="G396" t="str">
        <f>IF(AND('PO-Backlog2027'!B77&lt;&gt;"",'PO-Backlog2027'!E77&lt;&gt;""),'PO-Backlog2027'!G77,"")</f>
        <v/>
      </c>
      <c r="H396" t="str">
        <f>IF(AND('PO-Backlog2027'!B77&lt;&gt;"",'PO-Backlog2027'!E77&lt;&gt;""),"PO-Backlog2027","")</f>
        <v/>
      </c>
      <c r="I396" t="str">
        <f>IF(A396="Q12027",COUNTIF($A$2:$A396,"Q12027"),"")</f>
        <v/>
      </c>
      <c r="J396" t="str">
        <f>IF(A396="Q22027",COUNTIF($A$2:$A396,"Q22027"),"")</f>
        <v/>
      </c>
      <c r="K396" t="str">
        <f>IF(A396="Q32027",COUNTIF($A$2:$A396,"Q32027"),"")</f>
        <v/>
      </c>
      <c r="L396" t="str">
        <f>IF(A396="Q42027",COUNTIF($A$2:$A396,"Q42027"),"")</f>
        <v/>
      </c>
      <c r="M396" t="str">
        <f>IF(A396="Backlog",COUNTIF($A$2:$A396,"Backlog"),"")</f>
        <v/>
      </c>
    </row>
    <row r="397" spans="1:13">
      <c r="A397" t="str">
        <f>IF(AND('PO-Backlog2027'!B78&lt;&gt;"",'PO-Backlog2027'!E78&lt;&gt;""),'PO-Backlog2027'!E78,"")</f>
        <v/>
      </c>
      <c r="B397" t="str">
        <f>IF(AND('PO-Backlog2027'!B78&lt;&gt;"",'PO-Backlog2027'!E78&lt;&gt;""),'PO-Backlog2027'!B78,"")</f>
        <v/>
      </c>
      <c r="C397" t="str">
        <f>IF(AND('PO-Backlog2027'!B78&lt;&gt;"",'PO-Backlog2027'!E78&lt;&gt;""),'PO-Backlog2027'!C78,"")</f>
        <v/>
      </c>
      <c r="D397" t="str">
        <f>IF(AND('PO-Backlog2027'!B78&lt;&gt;"",'PO-Backlog2027'!E78&lt;&gt;""),'PO-Backlog2027'!D78,"")</f>
        <v/>
      </c>
      <c r="E397" t="str">
        <f>IF(AND('PO-Backlog2027'!B78&lt;&gt;"",'PO-Backlog2027'!E78&lt;&gt;""),'PO-Backlog2027'!H78,"")</f>
        <v/>
      </c>
      <c r="F397" t="str">
        <f>IF(AND('PO-Backlog2027'!B78&lt;&gt;"",'PO-Backlog2027'!E78&lt;&gt;""),'PO-Backlog2027'!F78,"")</f>
        <v/>
      </c>
      <c r="G397" t="str">
        <f>IF(AND('PO-Backlog2027'!B78&lt;&gt;"",'PO-Backlog2027'!E78&lt;&gt;""),'PO-Backlog2027'!G78,"")</f>
        <v/>
      </c>
      <c r="H397" t="str">
        <f>IF(AND('PO-Backlog2027'!B78&lt;&gt;"",'PO-Backlog2027'!E78&lt;&gt;""),"PO-Backlog2027","")</f>
        <v/>
      </c>
      <c r="I397" t="str">
        <f>IF(A397="Q12027",COUNTIF($A$2:$A397,"Q12027"),"")</f>
        <v/>
      </c>
      <c r="J397" t="str">
        <f>IF(A397="Q22027",COUNTIF($A$2:$A397,"Q22027"),"")</f>
        <v/>
      </c>
      <c r="K397" t="str">
        <f>IF(A397="Q32027",COUNTIF($A$2:$A397,"Q32027"),"")</f>
        <v/>
      </c>
      <c r="L397" t="str">
        <f>IF(A397="Q42027",COUNTIF($A$2:$A397,"Q42027"),"")</f>
        <v/>
      </c>
      <c r="M397" t="str">
        <f>IF(A397="Backlog",COUNTIF($A$2:$A397,"Backlog"),"")</f>
        <v/>
      </c>
    </row>
    <row r="398" spans="1:13">
      <c r="A398" t="str">
        <f>IF(AND('PO-Backlog2027'!B79&lt;&gt;"",'PO-Backlog2027'!E79&lt;&gt;""),'PO-Backlog2027'!E79,"")</f>
        <v/>
      </c>
      <c r="B398" t="str">
        <f>IF(AND('PO-Backlog2027'!B79&lt;&gt;"",'PO-Backlog2027'!E79&lt;&gt;""),'PO-Backlog2027'!B79,"")</f>
        <v/>
      </c>
      <c r="C398" t="str">
        <f>IF(AND('PO-Backlog2027'!B79&lt;&gt;"",'PO-Backlog2027'!E79&lt;&gt;""),'PO-Backlog2027'!C79,"")</f>
        <v/>
      </c>
      <c r="D398" t="str">
        <f>IF(AND('PO-Backlog2027'!B79&lt;&gt;"",'PO-Backlog2027'!E79&lt;&gt;""),'PO-Backlog2027'!D79,"")</f>
        <v/>
      </c>
      <c r="E398" t="str">
        <f>IF(AND('PO-Backlog2027'!B79&lt;&gt;"",'PO-Backlog2027'!E79&lt;&gt;""),'PO-Backlog2027'!H79,"")</f>
        <v/>
      </c>
      <c r="F398" t="str">
        <f>IF(AND('PO-Backlog2027'!B79&lt;&gt;"",'PO-Backlog2027'!E79&lt;&gt;""),'PO-Backlog2027'!F79,"")</f>
        <v/>
      </c>
      <c r="G398" t="str">
        <f>IF(AND('PO-Backlog2027'!B79&lt;&gt;"",'PO-Backlog2027'!E79&lt;&gt;""),'PO-Backlog2027'!G79,"")</f>
        <v/>
      </c>
      <c r="H398" t="str">
        <f>IF(AND('PO-Backlog2027'!B79&lt;&gt;"",'PO-Backlog2027'!E79&lt;&gt;""),"PO-Backlog2027","")</f>
        <v/>
      </c>
      <c r="I398" t="str">
        <f>IF(A398="Q12027",COUNTIF($A$2:$A398,"Q12027"),"")</f>
        <v/>
      </c>
      <c r="J398" t="str">
        <f>IF(A398="Q22027",COUNTIF($A$2:$A398,"Q22027"),"")</f>
        <v/>
      </c>
      <c r="K398" t="str">
        <f>IF(A398="Q32027",COUNTIF($A$2:$A398,"Q32027"),"")</f>
        <v/>
      </c>
      <c r="L398" t="str">
        <f>IF(A398="Q42027",COUNTIF($A$2:$A398,"Q42027"),"")</f>
        <v/>
      </c>
      <c r="M398" t="str">
        <f>IF(A398="Backlog",COUNTIF($A$2:$A398,"Backlog"),"")</f>
        <v/>
      </c>
    </row>
    <row r="399" spans="1:13">
      <c r="A399" t="str">
        <f>IF(AND('PO-Backlog2027'!B80&lt;&gt;"",'PO-Backlog2027'!E80&lt;&gt;""),'PO-Backlog2027'!E80,"")</f>
        <v/>
      </c>
      <c r="B399" t="str">
        <f>IF(AND('PO-Backlog2027'!B80&lt;&gt;"",'PO-Backlog2027'!E80&lt;&gt;""),'PO-Backlog2027'!B80,"")</f>
        <v/>
      </c>
      <c r="C399" t="str">
        <f>IF(AND('PO-Backlog2027'!B80&lt;&gt;"",'PO-Backlog2027'!E80&lt;&gt;""),'PO-Backlog2027'!C80,"")</f>
        <v/>
      </c>
      <c r="D399" t="str">
        <f>IF(AND('PO-Backlog2027'!B80&lt;&gt;"",'PO-Backlog2027'!E80&lt;&gt;""),'PO-Backlog2027'!D80,"")</f>
        <v/>
      </c>
      <c r="E399" t="str">
        <f>IF(AND('PO-Backlog2027'!B80&lt;&gt;"",'PO-Backlog2027'!E80&lt;&gt;""),'PO-Backlog2027'!H80,"")</f>
        <v/>
      </c>
      <c r="F399" t="str">
        <f>IF(AND('PO-Backlog2027'!B80&lt;&gt;"",'PO-Backlog2027'!E80&lt;&gt;""),'PO-Backlog2027'!F80,"")</f>
        <v/>
      </c>
      <c r="G399" t="str">
        <f>IF(AND('PO-Backlog2027'!B80&lt;&gt;"",'PO-Backlog2027'!E80&lt;&gt;""),'PO-Backlog2027'!G80,"")</f>
        <v/>
      </c>
      <c r="H399" t="str">
        <f>IF(AND('PO-Backlog2027'!B80&lt;&gt;"",'PO-Backlog2027'!E80&lt;&gt;""),"PO-Backlog2027","")</f>
        <v/>
      </c>
      <c r="I399" t="str">
        <f>IF(A399="Q12027",COUNTIF($A$2:$A399,"Q12027"),"")</f>
        <v/>
      </c>
      <c r="J399" t="str">
        <f>IF(A399="Q22027",COUNTIF($A$2:$A399,"Q22027"),"")</f>
        <v/>
      </c>
      <c r="K399" t="str">
        <f>IF(A399="Q32027",COUNTIF($A$2:$A399,"Q32027"),"")</f>
        <v/>
      </c>
      <c r="L399" t="str">
        <f>IF(A399="Q42027",COUNTIF($A$2:$A399,"Q42027"),"")</f>
        <v/>
      </c>
      <c r="M399" t="str">
        <f>IF(A399="Backlog",COUNTIF($A$2:$A399,"Backlog"),"")</f>
        <v/>
      </c>
    </row>
    <row r="400" spans="1:13">
      <c r="A400" t="str">
        <f>IF(AND('PO-Backlog2027'!B81&lt;&gt;"",'PO-Backlog2027'!E81&lt;&gt;""),'PO-Backlog2027'!E81,"")</f>
        <v/>
      </c>
      <c r="B400" t="str">
        <f>IF(AND('PO-Backlog2027'!B81&lt;&gt;"",'PO-Backlog2027'!E81&lt;&gt;""),'PO-Backlog2027'!B81,"")</f>
        <v/>
      </c>
      <c r="C400" t="str">
        <f>IF(AND('PO-Backlog2027'!B81&lt;&gt;"",'PO-Backlog2027'!E81&lt;&gt;""),'PO-Backlog2027'!C81,"")</f>
        <v/>
      </c>
      <c r="D400" t="str">
        <f>IF(AND('PO-Backlog2027'!B81&lt;&gt;"",'PO-Backlog2027'!E81&lt;&gt;""),'PO-Backlog2027'!D81,"")</f>
        <v/>
      </c>
      <c r="E400" t="str">
        <f>IF(AND('PO-Backlog2027'!B81&lt;&gt;"",'PO-Backlog2027'!E81&lt;&gt;""),'PO-Backlog2027'!H81,"")</f>
        <v/>
      </c>
      <c r="F400" t="str">
        <f>IF(AND('PO-Backlog2027'!B81&lt;&gt;"",'PO-Backlog2027'!E81&lt;&gt;""),'PO-Backlog2027'!F81,"")</f>
        <v/>
      </c>
      <c r="G400" t="str">
        <f>IF(AND('PO-Backlog2027'!B81&lt;&gt;"",'PO-Backlog2027'!E81&lt;&gt;""),'PO-Backlog2027'!G81,"")</f>
        <v/>
      </c>
      <c r="H400" t="str">
        <f>IF(AND('PO-Backlog2027'!B81&lt;&gt;"",'PO-Backlog2027'!E81&lt;&gt;""),"PO-Backlog2027","")</f>
        <v/>
      </c>
      <c r="I400" t="str">
        <f>IF(A400="Q12027",COUNTIF($A$2:$A400,"Q12027"),"")</f>
        <v/>
      </c>
      <c r="J400" t="str">
        <f>IF(A400="Q22027",COUNTIF($A$2:$A400,"Q22027"),"")</f>
        <v/>
      </c>
      <c r="K400" t="str">
        <f>IF(A400="Q32027",COUNTIF($A$2:$A400,"Q32027"),"")</f>
        <v/>
      </c>
      <c r="L400" t="str">
        <f>IF(A400="Q42027",COUNTIF($A$2:$A400,"Q42027"),"")</f>
        <v/>
      </c>
      <c r="M400" t="str">
        <f>IF(A400="Backlog",COUNTIF($A$2:$A400,"Backlog"),"")</f>
        <v/>
      </c>
    </row>
    <row r="401" spans="1:13">
      <c r="A401" t="str">
        <f>IF(AND('PO-Backlog2027'!B82&lt;&gt;"",'PO-Backlog2027'!E82&lt;&gt;""),'PO-Backlog2027'!E82,"")</f>
        <v/>
      </c>
      <c r="B401" t="str">
        <f>IF(AND('PO-Backlog2027'!B82&lt;&gt;"",'PO-Backlog2027'!E82&lt;&gt;""),'PO-Backlog2027'!B82,"")</f>
        <v/>
      </c>
      <c r="C401" t="str">
        <f>IF(AND('PO-Backlog2027'!B82&lt;&gt;"",'PO-Backlog2027'!E82&lt;&gt;""),'PO-Backlog2027'!C82,"")</f>
        <v/>
      </c>
      <c r="D401" t="str">
        <f>IF(AND('PO-Backlog2027'!B82&lt;&gt;"",'PO-Backlog2027'!E82&lt;&gt;""),'PO-Backlog2027'!D82,"")</f>
        <v/>
      </c>
      <c r="E401" t="str">
        <f>IF(AND('PO-Backlog2027'!B82&lt;&gt;"",'PO-Backlog2027'!E82&lt;&gt;""),'PO-Backlog2027'!H82,"")</f>
        <v/>
      </c>
      <c r="F401" t="str">
        <f>IF(AND('PO-Backlog2027'!B82&lt;&gt;"",'PO-Backlog2027'!E82&lt;&gt;""),'PO-Backlog2027'!F82,"")</f>
        <v/>
      </c>
      <c r="G401" t="str">
        <f>IF(AND('PO-Backlog2027'!B82&lt;&gt;"",'PO-Backlog2027'!E82&lt;&gt;""),'PO-Backlog2027'!G82,"")</f>
        <v/>
      </c>
      <c r="H401" t="str">
        <f>IF(AND('PO-Backlog2027'!B82&lt;&gt;"",'PO-Backlog2027'!E82&lt;&gt;""),"PO-Backlog2027","")</f>
        <v/>
      </c>
      <c r="I401" t="str">
        <f>IF(A401="Q12027",COUNTIF($A$2:$A401,"Q12027"),"")</f>
        <v/>
      </c>
      <c r="J401" t="str">
        <f>IF(A401="Q22027",COUNTIF($A$2:$A401,"Q22027"),"")</f>
        <v/>
      </c>
      <c r="K401" t="str">
        <f>IF(A401="Q32027",COUNTIF($A$2:$A401,"Q32027"),"")</f>
        <v/>
      </c>
      <c r="L401" t="str">
        <f>IF(A401="Q42027",COUNTIF($A$2:$A401,"Q42027"),"")</f>
        <v/>
      </c>
      <c r="M401" t="str">
        <f>IF(A401="Backlog",COUNTIF($A$2:$A401,"Backlog"),"")</f>
        <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87"/>
  <sheetViews>
    <sheetView showGridLines="0" zoomScaleNormal="100" workbookViewId="0">
      <pane xSplit="1" ySplit="2" topLeftCell="B3" activePane="bottomRight" state="frozen"/>
      <selection pane="bottomRight"/>
      <selection pane="bottomLeft" activeCell="A3" sqref="A3"/>
      <selection pane="topRight" activeCell="B1" sqref="B1"/>
    </sheetView>
  </sheetViews>
  <sheetFormatPr defaultColWidth="8.7109375" defaultRowHeight="15"/>
  <cols>
    <col min="1" max="1" width="5" customWidth="1"/>
    <col min="2" max="2" width="42.85546875" customWidth="1"/>
    <col min="3" max="3" width="16" customWidth="1"/>
    <col min="4" max="4" width="14" customWidth="1"/>
    <col min="5" max="5" width="16" customWidth="1"/>
    <col min="6" max="7" width="12" customWidth="1"/>
    <col min="8" max="8" width="11" customWidth="1"/>
    <col min="9" max="9" width="30" customWidth="1"/>
    <col min="10" max="16" width="0.140625" hidden="1" customWidth="1"/>
  </cols>
  <sheetData>
    <row r="1" spans="1:14" ht="43.5" customHeight="1">
      <c r="A1" s="112" t="s">
        <v>253</v>
      </c>
      <c r="B1" s="112"/>
      <c r="C1" s="112"/>
      <c r="D1" s="112"/>
      <c r="E1" s="112"/>
      <c r="F1" s="112"/>
      <c r="G1" s="112"/>
      <c r="H1" s="112"/>
      <c r="I1" s="112"/>
    </row>
    <row r="2" spans="1:14" ht="24" customHeight="1">
      <c r="A2" s="24" t="s">
        <v>1</v>
      </c>
      <c r="B2" s="24" t="s">
        <v>2</v>
      </c>
      <c r="C2" s="24" t="s">
        <v>3</v>
      </c>
      <c r="D2" s="24" t="s">
        <v>4</v>
      </c>
      <c r="E2" s="24" t="s">
        <v>5</v>
      </c>
      <c r="F2" s="24" t="s">
        <v>6</v>
      </c>
      <c r="G2" s="24" t="s">
        <v>7</v>
      </c>
      <c r="H2" s="24" t="s">
        <v>8</v>
      </c>
      <c r="I2" s="24" t="s">
        <v>9</v>
      </c>
    </row>
    <row r="3" spans="1:14" ht="19.5" customHeight="1">
      <c r="A3" s="65">
        <v>1</v>
      </c>
      <c r="B3" s="16"/>
      <c r="C3" s="17"/>
      <c r="D3" s="17"/>
      <c r="E3" s="17"/>
      <c r="F3" s="17"/>
      <c r="G3" s="17"/>
      <c r="H3" s="66" t="str">
        <f>IF(C3="XXL (&gt;160h)",168,IF(C3="XL (&gt;40h)",48,IF(C3="L (20-40h)",30,IF(C3="M (10-20h)",15,IF(C3="S (&lt;10h)",5,"")))))</f>
        <v/>
      </c>
      <c r="I3" s="16"/>
      <c r="J3" s="67" t="str">
        <f>IF($E3="Q12028",COUNTIF($E$3:$E3,"Q12028"),"")</f>
        <v/>
      </c>
      <c r="K3" s="67" t="str">
        <f>IF($E3="Q22028",COUNTIF($E$3:$E3,"Q22028"),"")</f>
        <v/>
      </c>
      <c r="L3" s="67" t="str">
        <f>IF($E3="Q32028",COUNTIF($E$3:$E3,"Q32028"),"")</f>
        <v/>
      </c>
      <c r="M3" s="67" t="str">
        <f>IF($E3="Q42028",COUNTIF($E$3:$E3,"Q42028"),"")</f>
        <v/>
      </c>
      <c r="N3" s="67" t="str">
        <f>IF($E3="Backlog",COUNTIF($E$3:$E3,"Backlog"),"")</f>
        <v/>
      </c>
    </row>
    <row r="4" spans="1:14" ht="19.5" customHeight="1">
      <c r="A4" s="68">
        <v>2</v>
      </c>
      <c r="B4" s="18"/>
      <c r="C4" s="19"/>
      <c r="D4" s="19"/>
      <c r="E4" s="19"/>
      <c r="F4" s="19"/>
      <c r="G4" s="19"/>
      <c r="H4" s="69" t="str">
        <f>IF(C4="XXL (&gt;160h)",168,IF(C4="XL (&gt;40h)",48,IF(C4="L (20-40h)",30,IF(C4="M (10-20h)",15,IF(C4="S (&lt;10h)",5,"")))))</f>
        <v/>
      </c>
      <c r="I4" s="18"/>
      <c r="J4" s="67" t="str">
        <f>IF($E4="Q12028",COUNTIF($E$3:$E4,"Q12028"),"")</f>
        <v/>
      </c>
      <c r="K4" s="67" t="str">
        <f>IF($E4="Q22028",COUNTIF($E$3:$E4,"Q22028"),"")</f>
        <v/>
      </c>
      <c r="L4" s="67" t="str">
        <f>IF($E4="Q32028",COUNTIF($E$3:$E4,"Q32028"),"")</f>
        <v/>
      </c>
      <c r="M4" s="67" t="str">
        <f>IF($E4="Q42028",COUNTIF($E$3:$E4,"Q42028"),"")</f>
        <v/>
      </c>
      <c r="N4" s="67" t="str">
        <f>IF($E4="Backlog",COUNTIF($E$3:$E4,"Backlog"),"")</f>
        <v/>
      </c>
    </row>
    <row r="5" spans="1:14" ht="19.5" customHeight="1">
      <c r="A5" s="65">
        <v>3</v>
      </c>
      <c r="B5" s="16"/>
      <c r="C5" s="17"/>
      <c r="D5" s="17"/>
      <c r="E5" s="17"/>
      <c r="F5" s="17"/>
      <c r="G5" s="17"/>
      <c r="H5" s="66" t="str">
        <f>IF(C5="XXL (&gt;160h)",168,IF(C5="XL (&gt;40h)",48,IF(C5="L (20-40h)",30,IF(C5="M (10-20h)",15,IF(C5="S (&lt;10h)",5,"")))))</f>
        <v/>
      </c>
      <c r="I5" s="16"/>
      <c r="J5" s="67" t="str">
        <f>IF($E5="Q12028",COUNTIF($E$3:$E5,"Q12028"),"")</f>
        <v/>
      </c>
      <c r="K5" s="67" t="str">
        <f>IF($E5="Q22028",COUNTIF($E$3:$E5,"Q22028"),"")</f>
        <v/>
      </c>
      <c r="L5" s="67" t="str">
        <f>IF($E5="Q32028",COUNTIF($E$3:$E5,"Q32028"),"")</f>
        <v/>
      </c>
      <c r="M5" s="67" t="str">
        <f>IF($E5="Q42028",COUNTIF($E$3:$E5,"Q42028"),"")</f>
        <v/>
      </c>
      <c r="N5" s="67" t="str">
        <f>IF($E5="Backlog",COUNTIF($E$3:$E5,"Backlog"),"")</f>
        <v/>
      </c>
    </row>
    <row r="6" spans="1:14" ht="19.5" customHeight="1">
      <c r="A6" s="68">
        <v>4</v>
      </c>
      <c r="B6" s="18"/>
      <c r="C6" s="19"/>
      <c r="D6" s="19"/>
      <c r="E6" s="19"/>
      <c r="F6" s="19"/>
      <c r="G6" s="19"/>
      <c r="H6" s="69" t="str">
        <f>IF(C6="XXL (&gt;160h)",168,IF(C6="XL (&gt;40h)",48,IF(C6="L (20-40h)",30,IF(C6="M (10-20h)",15,IF(C6="S (&lt;10h)",5,"")))))</f>
        <v/>
      </c>
      <c r="I6" s="18"/>
      <c r="J6" s="67" t="str">
        <f>IF($E6="Q12028",COUNTIF($E$3:$E6,"Q12028"),"")</f>
        <v/>
      </c>
      <c r="K6" s="67" t="str">
        <f>IF($E6="Q22028",COUNTIF($E$3:$E6,"Q22028"),"")</f>
        <v/>
      </c>
      <c r="L6" s="67" t="str">
        <f>IF($E6="Q32028",COUNTIF($E$3:$E6,"Q32028"),"")</f>
        <v/>
      </c>
      <c r="M6" s="67" t="str">
        <f>IF($E6="Q42028",COUNTIF($E$3:$E6,"Q42028"),"")</f>
        <v/>
      </c>
      <c r="N6" s="67" t="str">
        <f>IF($E6="Backlog",COUNTIF($E$3:$E6,"Backlog"),"")</f>
        <v/>
      </c>
    </row>
    <row r="7" spans="1:14" ht="19.5" customHeight="1">
      <c r="A7" s="65">
        <v>5</v>
      </c>
      <c r="B7" s="16"/>
      <c r="C7" s="17"/>
      <c r="D7" s="17"/>
      <c r="E7" s="17"/>
      <c r="F7" s="17"/>
      <c r="G7" s="17"/>
      <c r="H7" s="66" t="str">
        <f>IF(C7="XXL (&gt;160h)",168,IF(C7="XL (&gt;40h)",48,IF(C7="L (20-40h)",30,IF(C7="M (10-20h)",15,IF(C7="S (&lt;10h)",5,"")))))</f>
        <v/>
      </c>
      <c r="I7" s="16"/>
      <c r="J7" s="67" t="str">
        <f>IF($E7="Q12028",COUNTIF($E$3:$E7,"Q12028"),"")</f>
        <v/>
      </c>
      <c r="K7" s="67" t="str">
        <f>IF($E7="Q22028",COUNTIF($E$3:$E7,"Q22028"),"")</f>
        <v/>
      </c>
      <c r="L7" s="67" t="str">
        <f>IF($E7="Q32028",COUNTIF($E$3:$E7,"Q32028"),"")</f>
        <v/>
      </c>
      <c r="M7" s="67" t="str">
        <f>IF($E7="Q42028",COUNTIF($E$3:$E7,"Q42028"),"")</f>
        <v/>
      </c>
      <c r="N7" s="67" t="str">
        <f>IF($E7="Backlog",COUNTIF($E$3:$E7,"Backlog"),"")</f>
        <v/>
      </c>
    </row>
    <row r="8" spans="1:14" ht="19.5" customHeight="1">
      <c r="A8" s="68">
        <v>6</v>
      </c>
      <c r="B8" s="18"/>
      <c r="C8" s="19"/>
      <c r="D8" s="19"/>
      <c r="E8" s="19"/>
      <c r="F8" s="19"/>
      <c r="G8" s="19"/>
      <c r="H8" s="69" t="str">
        <f>IF(C8="XXL (&gt;160h)",168,IF(C8="XL (&gt;40h)",48,IF(C8="L (20-40h)",30,IF(C8="M (10-20h)",15,IF(C8="S (&lt;10h)",5,"")))))</f>
        <v/>
      </c>
      <c r="I8" s="18"/>
      <c r="J8" s="67" t="str">
        <f>IF($E8="Q12028",COUNTIF($E$3:$E8,"Q12028"),"")</f>
        <v/>
      </c>
      <c r="K8" s="67" t="str">
        <f>IF($E8="Q22028",COUNTIF($E$3:$E8,"Q22028"),"")</f>
        <v/>
      </c>
      <c r="L8" s="67" t="str">
        <f>IF($E8="Q32028",COUNTIF($E$3:$E8,"Q32028"),"")</f>
        <v/>
      </c>
      <c r="M8" s="67" t="str">
        <f>IF($E8="Q42028",COUNTIF($E$3:$E8,"Q42028"),"")</f>
        <v/>
      </c>
      <c r="N8" s="67" t="str">
        <f>IF($E8="Backlog",COUNTIF($E$3:$E8,"Backlog"),"")</f>
        <v/>
      </c>
    </row>
    <row r="9" spans="1:14" ht="19.5" customHeight="1">
      <c r="A9" s="65">
        <v>7</v>
      </c>
      <c r="B9" s="16"/>
      <c r="C9" s="17"/>
      <c r="D9" s="17"/>
      <c r="E9" s="17"/>
      <c r="F9" s="17"/>
      <c r="G9" s="17"/>
      <c r="H9" s="66" t="str">
        <f>IF(C9="XXL (&gt;160h)",168,IF(C9="XL (&gt;40h)",48,IF(C9="L (20-40h)",30,IF(C9="M (10-20h)",15,IF(C9="S (&lt;10h)",5,"")))))</f>
        <v/>
      </c>
      <c r="I9" s="16"/>
      <c r="J9" s="67" t="str">
        <f>IF($E9="Q12028",COUNTIF($E$3:$E9,"Q12028"),"")</f>
        <v/>
      </c>
      <c r="K9" s="67" t="str">
        <f>IF($E9="Q22028",COUNTIF($E$3:$E9,"Q22028"),"")</f>
        <v/>
      </c>
      <c r="L9" s="67" t="str">
        <f>IF($E9="Q32028",COUNTIF($E$3:$E9,"Q32028"),"")</f>
        <v/>
      </c>
      <c r="M9" s="67" t="str">
        <f>IF($E9="Q42028",COUNTIF($E$3:$E9,"Q42028"),"")</f>
        <v/>
      </c>
      <c r="N9" s="67" t="str">
        <f>IF($E9="Backlog",COUNTIF($E$3:$E9,"Backlog"),"")</f>
        <v/>
      </c>
    </row>
    <row r="10" spans="1:14" ht="19.5" customHeight="1">
      <c r="A10" s="68">
        <v>8</v>
      </c>
      <c r="B10" s="18"/>
      <c r="C10" s="19"/>
      <c r="D10" s="19"/>
      <c r="E10" s="19"/>
      <c r="F10" s="19"/>
      <c r="G10" s="19"/>
      <c r="H10" s="69" t="str">
        <f>IF(C10="XXL (&gt;160h)",168,IF(C10="XL (&gt;40h)",48,IF(C10="L (20-40h)",30,IF(C10="M (10-20h)",15,IF(C10="S (&lt;10h)",5,"")))))</f>
        <v/>
      </c>
      <c r="I10" s="18"/>
      <c r="J10" s="67" t="str">
        <f>IF($E10="Q12028",COUNTIF($E$3:$E10,"Q12028"),"")</f>
        <v/>
      </c>
      <c r="K10" s="67" t="str">
        <f>IF($E10="Q22028",COUNTIF($E$3:$E10,"Q22028"),"")</f>
        <v/>
      </c>
      <c r="L10" s="67" t="str">
        <f>IF($E10="Q32028",COUNTIF($E$3:$E10,"Q32028"),"")</f>
        <v/>
      </c>
      <c r="M10" s="67" t="str">
        <f>IF($E10="Q42028",COUNTIF($E$3:$E10,"Q42028"),"")</f>
        <v/>
      </c>
      <c r="N10" s="67" t="str">
        <f>IF($E10="Backlog",COUNTIF($E$3:$E10,"Backlog"),"")</f>
        <v/>
      </c>
    </row>
    <row r="11" spans="1:14" ht="19.5" customHeight="1">
      <c r="A11" s="65">
        <v>9</v>
      </c>
      <c r="B11" s="16"/>
      <c r="C11" s="17"/>
      <c r="D11" s="17"/>
      <c r="E11" s="17"/>
      <c r="F11" s="17"/>
      <c r="G11" s="17"/>
      <c r="H11" s="66" t="str">
        <f>IF(C11="XXL (&gt;160h)",168,IF(C11="XL (&gt;40h)",48,IF(C11="L (20-40h)",30,IF(C11="M (10-20h)",15,IF(C11="S (&lt;10h)",5,"")))))</f>
        <v/>
      </c>
      <c r="I11" s="16"/>
      <c r="J11" s="67" t="str">
        <f>IF($E11="Q12028",COUNTIF($E$3:$E11,"Q12028"),"")</f>
        <v/>
      </c>
      <c r="K11" s="67" t="str">
        <f>IF($E11="Q22028",COUNTIF($E$3:$E11,"Q22028"),"")</f>
        <v/>
      </c>
      <c r="L11" s="67" t="str">
        <f>IF($E11="Q32028",COUNTIF($E$3:$E11,"Q32028"),"")</f>
        <v/>
      </c>
      <c r="M11" s="67" t="str">
        <f>IF($E11="Q42028",COUNTIF($E$3:$E11,"Q42028"),"")</f>
        <v/>
      </c>
      <c r="N11" s="67" t="str">
        <f>IF($E11="Backlog",COUNTIF($E$3:$E11,"Backlog"),"")</f>
        <v/>
      </c>
    </row>
    <row r="12" spans="1:14" ht="19.5" customHeight="1">
      <c r="A12" s="68">
        <v>10</v>
      </c>
      <c r="B12" s="18"/>
      <c r="C12" s="19"/>
      <c r="D12" s="19"/>
      <c r="E12" s="19"/>
      <c r="F12" s="19"/>
      <c r="G12" s="19"/>
      <c r="H12" s="69" t="str">
        <f>IF(C12="XXL (&gt;160h)",168,IF(C12="XL (&gt;40h)",48,IF(C12="L (20-40h)",30,IF(C12="M (10-20h)",15,IF(C12="S (&lt;10h)",5,"")))))</f>
        <v/>
      </c>
      <c r="I12" s="18"/>
      <c r="J12" s="67" t="str">
        <f>IF($E12="Q12028",COUNTIF($E$3:$E12,"Q12028"),"")</f>
        <v/>
      </c>
      <c r="K12" s="67" t="str">
        <f>IF($E12="Q22028",COUNTIF($E$3:$E12,"Q22028"),"")</f>
        <v/>
      </c>
      <c r="L12" s="67" t="str">
        <f>IF($E12="Q32028",COUNTIF($E$3:$E12,"Q32028"),"")</f>
        <v/>
      </c>
      <c r="M12" s="67" t="str">
        <f>IF($E12="Q42028",COUNTIF($E$3:$E12,"Q42028"),"")</f>
        <v/>
      </c>
      <c r="N12" s="67" t="str">
        <f>IF($E12="Backlog",COUNTIF($E$3:$E12,"Backlog"),"")</f>
        <v/>
      </c>
    </row>
    <row r="13" spans="1:14" ht="19.5" customHeight="1">
      <c r="A13" s="65">
        <v>11</v>
      </c>
      <c r="B13" s="16"/>
      <c r="C13" s="17"/>
      <c r="D13" s="17"/>
      <c r="E13" s="17"/>
      <c r="F13" s="17"/>
      <c r="G13" s="17"/>
      <c r="H13" s="66" t="str">
        <f>IF(C13="XXL (&gt;160h)",168,IF(C13="XL (&gt;40h)",48,IF(C13="L (20-40h)",30,IF(C13="M (10-20h)",15,IF(C13="S (&lt;10h)",5,"")))))</f>
        <v/>
      </c>
      <c r="I13" s="16"/>
      <c r="J13" s="67" t="str">
        <f>IF($E13="Q12028",COUNTIF($E$3:$E13,"Q12028"),"")</f>
        <v/>
      </c>
      <c r="K13" s="67" t="str">
        <f>IF($E13="Q22028",COUNTIF($E$3:$E13,"Q22028"),"")</f>
        <v/>
      </c>
      <c r="L13" s="67" t="str">
        <f>IF($E13="Q32028",COUNTIF($E$3:$E13,"Q32028"),"")</f>
        <v/>
      </c>
      <c r="M13" s="67" t="str">
        <f>IF($E13="Q42028",COUNTIF($E$3:$E13,"Q42028"),"")</f>
        <v/>
      </c>
      <c r="N13" s="67" t="str">
        <f>IF($E13="Backlog",COUNTIF($E$3:$E13,"Backlog"),"")</f>
        <v/>
      </c>
    </row>
    <row r="14" spans="1:14" ht="19.5" customHeight="1">
      <c r="A14" s="68">
        <v>12</v>
      </c>
      <c r="B14" s="18"/>
      <c r="C14" s="19"/>
      <c r="D14" s="19"/>
      <c r="E14" s="19"/>
      <c r="F14" s="19"/>
      <c r="G14" s="19"/>
      <c r="H14" s="69" t="str">
        <f>IF(C14="XXL (&gt;160h)",168,IF(C14="XL (&gt;40h)",48,IF(C14="L (20-40h)",30,IF(C14="M (10-20h)",15,IF(C14="S (&lt;10h)",5,"")))))</f>
        <v/>
      </c>
      <c r="I14" s="18"/>
      <c r="J14" s="67" t="str">
        <f>IF($E14="Q12028",COUNTIF($E$3:$E14,"Q12028"),"")</f>
        <v/>
      </c>
      <c r="K14" s="67" t="str">
        <f>IF($E14="Q22028",COUNTIF($E$3:$E14,"Q22028"),"")</f>
        <v/>
      </c>
      <c r="L14" s="67" t="str">
        <f>IF($E14="Q32028",COUNTIF($E$3:$E14,"Q32028"),"")</f>
        <v/>
      </c>
      <c r="M14" s="67" t="str">
        <f>IF($E14="Q42028",COUNTIF($E$3:$E14,"Q42028"),"")</f>
        <v/>
      </c>
      <c r="N14" s="67" t="str">
        <f>IF($E14="Backlog",COUNTIF($E$3:$E14,"Backlog"),"")</f>
        <v/>
      </c>
    </row>
    <row r="15" spans="1:14" ht="19.5" customHeight="1">
      <c r="A15" s="65">
        <v>13</v>
      </c>
      <c r="B15" s="16"/>
      <c r="C15" s="17"/>
      <c r="D15" s="17"/>
      <c r="E15" s="17"/>
      <c r="F15" s="17"/>
      <c r="G15" s="17"/>
      <c r="H15" s="66" t="str">
        <f>IF(C15="XXL (&gt;160h)",168,IF(C15="XL (&gt;40h)",48,IF(C15="L (20-40h)",30,IF(C15="M (10-20h)",15,IF(C15="S (&lt;10h)",5,"")))))</f>
        <v/>
      </c>
      <c r="I15" s="16"/>
      <c r="J15" s="67" t="str">
        <f>IF($E15="Q12028",COUNTIF($E$3:$E15,"Q12028"),"")</f>
        <v/>
      </c>
      <c r="K15" s="67" t="str">
        <f>IF($E15="Q22028",COUNTIF($E$3:$E15,"Q22028"),"")</f>
        <v/>
      </c>
      <c r="L15" s="67" t="str">
        <f>IF($E15="Q32028",COUNTIF($E$3:$E15,"Q32028"),"")</f>
        <v/>
      </c>
      <c r="M15" s="67" t="str">
        <f>IF($E15="Q42028",COUNTIF($E$3:$E15,"Q42028"),"")</f>
        <v/>
      </c>
      <c r="N15" s="67" t="str">
        <f>IF($E15="Backlog",COUNTIF($E$3:$E15,"Backlog"),"")</f>
        <v/>
      </c>
    </row>
    <row r="16" spans="1:14" ht="19.5" customHeight="1">
      <c r="A16" s="68">
        <v>14</v>
      </c>
      <c r="B16" s="18"/>
      <c r="C16" s="19"/>
      <c r="D16" s="19"/>
      <c r="E16" s="19"/>
      <c r="F16" s="19"/>
      <c r="G16" s="19"/>
      <c r="H16" s="69" t="str">
        <f>IF(C16="XXL (&gt;160h)",168,IF(C16="XL (&gt;40h)",48,IF(C16="L (20-40h)",30,IF(C16="M (10-20h)",15,IF(C16="S (&lt;10h)",5,"")))))</f>
        <v/>
      </c>
      <c r="I16" s="18"/>
      <c r="J16" s="67" t="str">
        <f>IF($E16="Q12028",COUNTIF($E$3:$E16,"Q12028"),"")</f>
        <v/>
      </c>
      <c r="K16" s="67" t="str">
        <f>IF($E16="Q22028",COUNTIF($E$3:$E16,"Q22028"),"")</f>
        <v/>
      </c>
      <c r="L16" s="67" t="str">
        <f>IF($E16="Q32028",COUNTIF($E$3:$E16,"Q32028"),"")</f>
        <v/>
      </c>
      <c r="M16" s="67" t="str">
        <f>IF($E16="Q42028",COUNTIF($E$3:$E16,"Q42028"),"")</f>
        <v/>
      </c>
      <c r="N16" s="67" t="str">
        <f>IF($E16="Backlog",COUNTIF($E$3:$E16,"Backlog"),"")</f>
        <v/>
      </c>
    </row>
    <row r="17" spans="1:14" ht="19.5" customHeight="1">
      <c r="A17" s="65">
        <v>15</v>
      </c>
      <c r="B17" s="16"/>
      <c r="C17" s="17"/>
      <c r="D17" s="17"/>
      <c r="E17" s="17"/>
      <c r="F17" s="17"/>
      <c r="G17" s="17"/>
      <c r="H17" s="66" t="str">
        <f>IF(C17="XXL (&gt;160h)",168,IF(C17="XL (&gt;40h)",48,IF(C17="L (20-40h)",30,IF(C17="M (10-20h)",15,IF(C17="S (&lt;10h)",5,"")))))</f>
        <v/>
      </c>
      <c r="I17" s="16"/>
      <c r="J17" s="67" t="str">
        <f>IF($E17="Q12028",COUNTIF($E$3:$E17,"Q12028"),"")</f>
        <v/>
      </c>
      <c r="K17" s="67" t="str">
        <f>IF($E17="Q22028",COUNTIF($E$3:$E17,"Q22028"),"")</f>
        <v/>
      </c>
      <c r="L17" s="67" t="str">
        <f>IF($E17="Q32028",COUNTIF($E$3:$E17,"Q32028"),"")</f>
        <v/>
      </c>
      <c r="M17" s="67" t="str">
        <f>IF($E17="Q42028",COUNTIF($E$3:$E17,"Q42028"),"")</f>
        <v/>
      </c>
      <c r="N17" s="67" t="str">
        <f>IF($E17="Backlog",COUNTIF($E$3:$E17,"Backlog"),"")</f>
        <v/>
      </c>
    </row>
    <row r="18" spans="1:14" ht="19.5" customHeight="1">
      <c r="A18" s="68">
        <v>16</v>
      </c>
      <c r="B18" s="18"/>
      <c r="C18" s="19"/>
      <c r="D18" s="19"/>
      <c r="E18" s="19"/>
      <c r="F18" s="19"/>
      <c r="G18" s="19"/>
      <c r="H18" s="69" t="str">
        <f>IF(C18="XXL (&gt;160h)",168,IF(C18="XL (&gt;40h)",48,IF(C18="L (20-40h)",30,IF(C18="M (10-20h)",15,IF(C18="S (&lt;10h)",5,"")))))</f>
        <v/>
      </c>
      <c r="I18" s="18"/>
      <c r="J18" s="67" t="str">
        <f>IF($E18="Q12028",COUNTIF($E$3:$E18,"Q12028"),"")</f>
        <v/>
      </c>
      <c r="K18" s="67" t="str">
        <f>IF($E18="Q22028",COUNTIF($E$3:$E18,"Q22028"),"")</f>
        <v/>
      </c>
      <c r="L18" s="67" t="str">
        <f>IF($E18="Q32028",COUNTIF($E$3:$E18,"Q32028"),"")</f>
        <v/>
      </c>
      <c r="M18" s="67" t="str">
        <f>IF($E18="Q42028",COUNTIF($E$3:$E18,"Q42028"),"")</f>
        <v/>
      </c>
      <c r="N18" s="67" t="str">
        <f>IF($E18="Backlog",COUNTIF($E$3:$E18,"Backlog"),"")</f>
        <v/>
      </c>
    </row>
    <row r="19" spans="1:14" ht="19.5" customHeight="1">
      <c r="A19" s="65">
        <v>17</v>
      </c>
      <c r="B19" s="16"/>
      <c r="C19" s="17"/>
      <c r="D19" s="17"/>
      <c r="E19" s="17"/>
      <c r="F19" s="17"/>
      <c r="G19" s="17"/>
      <c r="H19" s="66" t="str">
        <f>IF(C19="XXL (&gt;160h)",168,IF(C19="XL (&gt;40h)",48,IF(C19="L (20-40h)",30,IF(C19="M (10-20h)",15,IF(C19="S (&lt;10h)",5,"")))))</f>
        <v/>
      </c>
      <c r="I19" s="16"/>
      <c r="J19" s="67" t="str">
        <f>IF($E19="Q12028",COUNTIF($E$3:$E19,"Q12028"),"")</f>
        <v/>
      </c>
      <c r="K19" s="67" t="str">
        <f>IF($E19="Q22028",COUNTIF($E$3:$E19,"Q22028"),"")</f>
        <v/>
      </c>
      <c r="L19" s="67" t="str">
        <f>IF($E19="Q32028",COUNTIF($E$3:$E19,"Q32028"),"")</f>
        <v/>
      </c>
      <c r="M19" s="67" t="str">
        <f>IF($E19="Q42028",COUNTIF($E$3:$E19,"Q42028"),"")</f>
        <v/>
      </c>
      <c r="N19" s="67" t="str">
        <f>IF($E19="Backlog",COUNTIF($E$3:$E19,"Backlog"),"")</f>
        <v/>
      </c>
    </row>
    <row r="20" spans="1:14" ht="19.5" customHeight="1">
      <c r="A20" s="68">
        <v>18</v>
      </c>
      <c r="B20" s="18"/>
      <c r="C20" s="19"/>
      <c r="D20" s="19"/>
      <c r="E20" s="19"/>
      <c r="F20" s="19"/>
      <c r="G20" s="19"/>
      <c r="H20" s="69" t="str">
        <f>IF(C20="XXL (&gt;160h)",168,IF(C20="XL (&gt;40h)",48,IF(C20="L (20-40h)",30,IF(C20="M (10-20h)",15,IF(C20="S (&lt;10h)",5,"")))))</f>
        <v/>
      </c>
      <c r="I20" s="18"/>
      <c r="J20" s="67" t="str">
        <f>IF($E20="Q12028",COUNTIF($E$3:$E20,"Q12028"),"")</f>
        <v/>
      </c>
      <c r="K20" s="67" t="str">
        <f>IF($E20="Q22028",COUNTIF($E$3:$E20,"Q22028"),"")</f>
        <v/>
      </c>
      <c r="L20" s="67" t="str">
        <f>IF($E20="Q32028",COUNTIF($E$3:$E20,"Q32028"),"")</f>
        <v/>
      </c>
      <c r="M20" s="67" t="str">
        <f>IF($E20="Q42028",COUNTIF($E$3:$E20,"Q42028"),"")</f>
        <v/>
      </c>
      <c r="N20" s="67" t="str">
        <f>IF($E20="Backlog",COUNTIF($E$3:$E20,"Backlog"),"")</f>
        <v/>
      </c>
    </row>
    <row r="21" spans="1:14" ht="19.5" customHeight="1">
      <c r="A21" s="65">
        <v>19</v>
      </c>
      <c r="B21" s="16"/>
      <c r="C21" s="17"/>
      <c r="D21" s="17"/>
      <c r="E21" s="17"/>
      <c r="F21" s="17"/>
      <c r="G21" s="17"/>
      <c r="H21" s="66" t="str">
        <f>IF(C21="XXL (&gt;160h)",168,IF(C21="XL (&gt;40h)",48,IF(C21="L (20-40h)",30,IF(C21="M (10-20h)",15,IF(C21="S (&lt;10h)",5,"")))))</f>
        <v/>
      </c>
      <c r="I21" s="16"/>
      <c r="J21" s="67" t="str">
        <f>IF($E21="Q12028",COUNTIF($E$3:$E21,"Q12028"),"")</f>
        <v/>
      </c>
      <c r="K21" s="67" t="str">
        <f>IF($E21="Q22028",COUNTIF($E$3:$E21,"Q22028"),"")</f>
        <v/>
      </c>
      <c r="L21" s="67" t="str">
        <f>IF($E21="Q32028",COUNTIF($E$3:$E21,"Q32028"),"")</f>
        <v/>
      </c>
      <c r="M21" s="67" t="str">
        <f>IF($E21="Q42028",COUNTIF($E$3:$E21,"Q42028"),"")</f>
        <v/>
      </c>
      <c r="N21" s="67" t="str">
        <f>IF($E21="Backlog",COUNTIF($E$3:$E21,"Backlog"),"")</f>
        <v/>
      </c>
    </row>
    <row r="22" spans="1:14" ht="19.5" customHeight="1">
      <c r="A22" s="68">
        <v>20</v>
      </c>
      <c r="B22" s="18"/>
      <c r="C22" s="19"/>
      <c r="D22" s="19"/>
      <c r="E22" s="19"/>
      <c r="F22" s="19"/>
      <c r="G22" s="19"/>
      <c r="H22" s="69" t="str">
        <f>IF(C22="XXL (&gt;160h)",168,IF(C22="XL (&gt;40h)",48,IF(C22="L (20-40h)",30,IF(C22="M (10-20h)",15,IF(C22="S (&lt;10h)",5,"")))))</f>
        <v/>
      </c>
      <c r="I22" s="18"/>
      <c r="J22" s="67" t="str">
        <f>IF($E22="Q12028",COUNTIF($E$3:$E22,"Q12028"),"")</f>
        <v/>
      </c>
      <c r="K22" s="67" t="str">
        <f>IF($E22="Q22028",COUNTIF($E$3:$E22,"Q22028"),"")</f>
        <v/>
      </c>
      <c r="L22" s="67" t="str">
        <f>IF($E22="Q32028",COUNTIF($E$3:$E22,"Q32028"),"")</f>
        <v/>
      </c>
      <c r="M22" s="67" t="str">
        <f>IF($E22="Q42028",COUNTIF($E$3:$E22,"Q42028"),"")</f>
        <v/>
      </c>
      <c r="N22" s="67" t="str">
        <f>IF($E22="Backlog",COUNTIF($E$3:$E22,"Backlog"),"")</f>
        <v/>
      </c>
    </row>
    <row r="23" spans="1:14" ht="19.5" customHeight="1">
      <c r="A23" s="65">
        <v>21</v>
      </c>
      <c r="B23" s="16"/>
      <c r="C23" s="17"/>
      <c r="D23" s="17"/>
      <c r="E23" s="17"/>
      <c r="F23" s="17"/>
      <c r="G23" s="17"/>
      <c r="H23" s="66" t="str">
        <f>IF(C23="XXL (&gt;160h)",168,IF(C23="XL (&gt;40h)",48,IF(C23="L (20-40h)",30,IF(C23="M (10-20h)",15,IF(C23="S (&lt;10h)",5,"")))))</f>
        <v/>
      </c>
      <c r="I23" s="16"/>
      <c r="J23" s="67" t="str">
        <f>IF($E23="Q12028",COUNTIF($E$3:$E23,"Q12028"),"")</f>
        <v/>
      </c>
      <c r="K23" s="67" t="str">
        <f>IF($E23="Q22028",COUNTIF($E$3:$E23,"Q22028"),"")</f>
        <v/>
      </c>
      <c r="L23" s="67" t="str">
        <f>IF($E23="Q32028",COUNTIF($E$3:$E23,"Q32028"),"")</f>
        <v/>
      </c>
      <c r="M23" s="67" t="str">
        <f>IF($E23="Q42028",COUNTIF($E$3:$E23,"Q42028"),"")</f>
        <v/>
      </c>
      <c r="N23" s="67" t="str">
        <f>IF($E23="Backlog",COUNTIF($E$3:$E23,"Backlog"),"")</f>
        <v/>
      </c>
    </row>
    <row r="24" spans="1:14" ht="19.5" customHeight="1">
      <c r="A24" s="68">
        <v>22</v>
      </c>
      <c r="B24" s="18"/>
      <c r="C24" s="19"/>
      <c r="D24" s="19"/>
      <c r="E24" s="19"/>
      <c r="F24" s="19"/>
      <c r="G24" s="19"/>
      <c r="H24" s="69" t="str">
        <f>IF(C24="XXL (&gt;160h)",168,IF(C24="XL (&gt;40h)",48,IF(C24="L (20-40h)",30,IF(C24="M (10-20h)",15,IF(C24="S (&lt;10h)",5,"")))))</f>
        <v/>
      </c>
      <c r="I24" s="18"/>
      <c r="J24" s="67" t="str">
        <f>IF($E24="Q12028",COUNTIF($E$3:$E24,"Q12028"),"")</f>
        <v/>
      </c>
      <c r="K24" s="67" t="str">
        <f>IF($E24="Q22028",COUNTIF($E$3:$E24,"Q22028"),"")</f>
        <v/>
      </c>
      <c r="L24" s="67" t="str">
        <f>IF($E24="Q32028",COUNTIF($E$3:$E24,"Q32028"),"")</f>
        <v/>
      </c>
      <c r="M24" s="67" t="str">
        <f>IF($E24="Q42028",COUNTIF($E$3:$E24,"Q42028"),"")</f>
        <v/>
      </c>
      <c r="N24" s="67" t="str">
        <f>IF($E24="Backlog",COUNTIF($E$3:$E24,"Backlog"),"")</f>
        <v/>
      </c>
    </row>
    <row r="25" spans="1:14" ht="19.5" customHeight="1">
      <c r="A25" s="65">
        <v>23</v>
      </c>
      <c r="B25" s="16"/>
      <c r="C25" s="17"/>
      <c r="D25" s="17"/>
      <c r="E25" s="17"/>
      <c r="F25" s="17"/>
      <c r="G25" s="17"/>
      <c r="H25" s="66" t="str">
        <f>IF(C25="XXL (&gt;160h)",168,IF(C25="XL (&gt;40h)",48,IF(C25="L (20-40h)",30,IF(C25="M (10-20h)",15,IF(C25="S (&lt;10h)",5,"")))))</f>
        <v/>
      </c>
      <c r="I25" s="16"/>
      <c r="J25" s="67" t="str">
        <f>IF($E25="Q12028",COUNTIF($E$3:$E25,"Q12028"),"")</f>
        <v/>
      </c>
      <c r="K25" s="67" t="str">
        <f>IF($E25="Q22028",COUNTIF($E$3:$E25,"Q22028"),"")</f>
        <v/>
      </c>
      <c r="L25" s="67" t="str">
        <f>IF($E25="Q32028",COUNTIF($E$3:$E25,"Q32028"),"")</f>
        <v/>
      </c>
      <c r="M25" s="67" t="str">
        <f>IF($E25="Q42028",COUNTIF($E$3:$E25,"Q42028"),"")</f>
        <v/>
      </c>
      <c r="N25" s="67" t="str">
        <f>IF($E25="Backlog",COUNTIF($E$3:$E25,"Backlog"),"")</f>
        <v/>
      </c>
    </row>
    <row r="26" spans="1:14" ht="19.5" customHeight="1">
      <c r="A26" s="68">
        <v>24</v>
      </c>
      <c r="B26" s="18"/>
      <c r="C26" s="19"/>
      <c r="D26" s="19"/>
      <c r="E26" s="19"/>
      <c r="F26" s="19"/>
      <c r="G26" s="19"/>
      <c r="H26" s="69" t="str">
        <f>IF(C26="XXL (&gt;160h)",168,IF(C26="XL (&gt;40h)",48,IF(C26="L (20-40h)",30,IF(C26="M (10-20h)",15,IF(C26="S (&lt;10h)",5,"")))))</f>
        <v/>
      </c>
      <c r="I26" s="18"/>
      <c r="J26" s="67" t="str">
        <f>IF($E26="Q12028",COUNTIF($E$3:$E26,"Q12028"),"")</f>
        <v/>
      </c>
      <c r="K26" s="67" t="str">
        <f>IF($E26="Q22028",COUNTIF($E$3:$E26,"Q22028"),"")</f>
        <v/>
      </c>
      <c r="L26" s="67" t="str">
        <f>IF($E26="Q32028",COUNTIF($E$3:$E26,"Q32028"),"")</f>
        <v/>
      </c>
      <c r="M26" s="67" t="str">
        <f>IF($E26="Q42028",COUNTIF($E$3:$E26,"Q42028"),"")</f>
        <v/>
      </c>
      <c r="N26" s="67" t="str">
        <f>IF($E26="Backlog",COUNTIF($E$3:$E26,"Backlog"),"")</f>
        <v/>
      </c>
    </row>
    <row r="27" spans="1:14" ht="19.5" customHeight="1">
      <c r="A27" s="65">
        <v>25</v>
      </c>
      <c r="B27" s="16"/>
      <c r="C27" s="17"/>
      <c r="D27" s="17"/>
      <c r="E27" s="17"/>
      <c r="F27" s="17"/>
      <c r="G27" s="17"/>
      <c r="H27" s="66" t="str">
        <f>IF(C27="XXL (&gt;160h)",168,IF(C27="XL (&gt;40h)",48,IF(C27="L (20-40h)",30,IF(C27="M (10-20h)",15,IF(C27="S (&lt;10h)",5,"")))))</f>
        <v/>
      </c>
      <c r="I27" s="16"/>
      <c r="J27" s="67" t="str">
        <f>IF($E27="Q12028",COUNTIF($E$3:$E27,"Q12028"),"")</f>
        <v/>
      </c>
      <c r="K27" s="67" t="str">
        <f>IF($E27="Q22028",COUNTIF($E$3:$E27,"Q22028"),"")</f>
        <v/>
      </c>
      <c r="L27" s="67" t="str">
        <f>IF($E27="Q32028",COUNTIF($E$3:$E27,"Q32028"),"")</f>
        <v/>
      </c>
      <c r="M27" s="67" t="str">
        <f>IF($E27="Q42028",COUNTIF($E$3:$E27,"Q42028"),"")</f>
        <v/>
      </c>
      <c r="N27" s="67" t="str">
        <f>IF($E27="Backlog",COUNTIF($E$3:$E27,"Backlog"),"")</f>
        <v/>
      </c>
    </row>
    <row r="28" spans="1:14" ht="19.5" customHeight="1">
      <c r="A28" s="68">
        <v>26</v>
      </c>
      <c r="B28" s="18"/>
      <c r="C28" s="19"/>
      <c r="D28" s="19"/>
      <c r="E28" s="19"/>
      <c r="F28" s="19"/>
      <c r="G28" s="19"/>
      <c r="H28" s="69" t="str">
        <f>IF(C28="XXL (&gt;160h)",168,IF(C28="XL (&gt;40h)",48,IF(C28="L (20-40h)",30,IF(C28="M (10-20h)",15,IF(C28="S (&lt;10h)",5,"")))))</f>
        <v/>
      </c>
      <c r="I28" s="18"/>
      <c r="J28" s="67" t="str">
        <f>IF($E28="Q12028",COUNTIF($E$3:$E28,"Q12028"),"")</f>
        <v/>
      </c>
      <c r="K28" s="67" t="str">
        <f>IF($E28="Q22028",COUNTIF($E$3:$E28,"Q22028"),"")</f>
        <v/>
      </c>
      <c r="L28" s="67" t="str">
        <f>IF($E28="Q32028",COUNTIF($E$3:$E28,"Q32028"),"")</f>
        <v/>
      </c>
      <c r="M28" s="67" t="str">
        <f>IF($E28="Q42028",COUNTIF($E$3:$E28,"Q42028"),"")</f>
        <v/>
      </c>
      <c r="N28" s="67" t="str">
        <f>IF($E28="Backlog",COUNTIF($E$3:$E28,"Backlog"),"")</f>
        <v/>
      </c>
    </row>
    <row r="29" spans="1:14" ht="19.5" customHeight="1">
      <c r="A29" s="65">
        <v>27</v>
      </c>
      <c r="B29" s="16"/>
      <c r="C29" s="17"/>
      <c r="D29" s="17"/>
      <c r="E29" s="17"/>
      <c r="F29" s="17"/>
      <c r="G29" s="17"/>
      <c r="H29" s="66" t="str">
        <f>IF(C29="XXL (&gt;160h)",168,IF(C29="XL (&gt;40h)",48,IF(C29="L (20-40h)",30,IF(C29="M (10-20h)",15,IF(C29="S (&lt;10h)",5,"")))))</f>
        <v/>
      </c>
      <c r="I29" s="16"/>
      <c r="J29" s="67" t="str">
        <f>IF($E29="Q12028",COUNTIF($E$3:$E29,"Q12028"),"")</f>
        <v/>
      </c>
      <c r="K29" s="67" t="str">
        <f>IF($E29="Q22028",COUNTIF($E$3:$E29,"Q22028"),"")</f>
        <v/>
      </c>
      <c r="L29" s="67" t="str">
        <f>IF($E29="Q32028",COUNTIF($E$3:$E29,"Q32028"),"")</f>
        <v/>
      </c>
      <c r="M29" s="67" t="str">
        <f>IF($E29="Q42028",COUNTIF($E$3:$E29,"Q42028"),"")</f>
        <v/>
      </c>
      <c r="N29" s="67" t="str">
        <f>IF($E29="Backlog",COUNTIF($E$3:$E29,"Backlog"),"")</f>
        <v/>
      </c>
    </row>
    <row r="30" spans="1:14" ht="19.5" customHeight="1">
      <c r="A30" s="68">
        <v>28</v>
      </c>
      <c r="B30" s="18"/>
      <c r="C30" s="19"/>
      <c r="D30" s="19"/>
      <c r="E30" s="19"/>
      <c r="F30" s="19"/>
      <c r="G30" s="19"/>
      <c r="H30" s="69" t="str">
        <f>IF(C30="XXL (&gt;160h)",168,IF(C30="XL (&gt;40h)",48,IF(C30="L (20-40h)",30,IF(C30="M (10-20h)",15,IF(C30="S (&lt;10h)",5,"")))))</f>
        <v/>
      </c>
      <c r="I30" s="18"/>
      <c r="J30" s="67" t="str">
        <f>IF($E30="Q12028",COUNTIF($E$3:$E30,"Q12028"),"")</f>
        <v/>
      </c>
      <c r="K30" s="67" t="str">
        <f>IF($E30="Q22028",COUNTIF($E$3:$E30,"Q22028"),"")</f>
        <v/>
      </c>
      <c r="L30" s="67" t="str">
        <f>IF($E30="Q32028",COUNTIF($E$3:$E30,"Q32028"),"")</f>
        <v/>
      </c>
      <c r="M30" s="67" t="str">
        <f>IF($E30="Q42028",COUNTIF($E$3:$E30,"Q42028"),"")</f>
        <v/>
      </c>
      <c r="N30" s="67" t="str">
        <f>IF($E30="Backlog",COUNTIF($E$3:$E30,"Backlog"),"")</f>
        <v/>
      </c>
    </row>
    <row r="31" spans="1:14" ht="19.5" customHeight="1">
      <c r="A31" s="65">
        <v>29</v>
      </c>
      <c r="B31" s="16"/>
      <c r="C31" s="17"/>
      <c r="D31" s="17"/>
      <c r="E31" s="17"/>
      <c r="F31" s="17"/>
      <c r="G31" s="17"/>
      <c r="H31" s="66" t="str">
        <f>IF(C31="XXL (&gt;160h)",168,IF(C31="XL (&gt;40h)",48,IF(C31="L (20-40h)",30,IF(C31="M (10-20h)",15,IF(C31="S (&lt;10h)",5,"")))))</f>
        <v/>
      </c>
      <c r="I31" s="16"/>
      <c r="J31" s="67" t="str">
        <f>IF($E31="Q12028",COUNTIF($E$3:$E31,"Q12028"),"")</f>
        <v/>
      </c>
      <c r="K31" s="67" t="str">
        <f>IF($E31="Q22028",COUNTIF($E$3:$E31,"Q22028"),"")</f>
        <v/>
      </c>
      <c r="L31" s="67" t="str">
        <f>IF($E31="Q32028",COUNTIF($E$3:$E31,"Q32028"),"")</f>
        <v/>
      </c>
      <c r="M31" s="67" t="str">
        <f>IF($E31="Q42028",COUNTIF($E$3:$E31,"Q42028"),"")</f>
        <v/>
      </c>
      <c r="N31" s="67" t="str">
        <f>IF($E31="Backlog",COUNTIF($E$3:$E31,"Backlog"),"")</f>
        <v/>
      </c>
    </row>
    <row r="32" spans="1:14" ht="19.5" customHeight="1">
      <c r="A32" s="68">
        <v>30</v>
      </c>
      <c r="B32" s="18"/>
      <c r="C32" s="19"/>
      <c r="D32" s="19"/>
      <c r="E32" s="19"/>
      <c r="F32" s="19"/>
      <c r="G32" s="19"/>
      <c r="H32" s="69" t="str">
        <f>IF(C32="XXL (&gt;160h)",168,IF(C32="XL (&gt;40h)",48,IF(C32="L (20-40h)",30,IF(C32="M (10-20h)",15,IF(C32="S (&lt;10h)",5,"")))))</f>
        <v/>
      </c>
      <c r="I32" s="18"/>
      <c r="J32" s="67" t="str">
        <f>IF($E32="Q12028",COUNTIF($E$3:$E32,"Q12028"),"")</f>
        <v/>
      </c>
      <c r="K32" s="67" t="str">
        <f>IF($E32="Q22028",COUNTIF($E$3:$E32,"Q22028"),"")</f>
        <v/>
      </c>
      <c r="L32" s="67" t="str">
        <f>IF($E32="Q32028",COUNTIF($E$3:$E32,"Q32028"),"")</f>
        <v/>
      </c>
      <c r="M32" s="67" t="str">
        <f>IF($E32="Q42028",COUNTIF($E$3:$E32,"Q42028"),"")</f>
        <v/>
      </c>
      <c r="N32" s="67" t="str">
        <f>IF($E32="Backlog",COUNTIF($E$3:$E32,"Backlog"),"")</f>
        <v/>
      </c>
    </row>
    <row r="33" spans="1:14" ht="19.5" customHeight="1">
      <c r="A33" s="65">
        <v>31</v>
      </c>
      <c r="B33" s="16"/>
      <c r="C33" s="17"/>
      <c r="D33" s="17"/>
      <c r="E33" s="17"/>
      <c r="F33" s="17"/>
      <c r="G33" s="17"/>
      <c r="H33" s="66" t="str">
        <f>IF(C33="XXL (&gt;160h)",168,IF(C33="XL (&gt;40h)",48,IF(C33="L (20-40h)",30,IF(C33="M (10-20h)",15,IF(C33="S (&lt;10h)",5,"")))))</f>
        <v/>
      </c>
      <c r="I33" s="16"/>
      <c r="J33" s="67" t="str">
        <f>IF($E33="Q12028",COUNTIF($E$3:$E33,"Q12028"),"")</f>
        <v/>
      </c>
      <c r="K33" s="67" t="str">
        <f>IF($E33="Q22028",COUNTIF($E$3:$E33,"Q22028"),"")</f>
        <v/>
      </c>
      <c r="L33" s="67" t="str">
        <f>IF($E33="Q32028",COUNTIF($E$3:$E33,"Q32028"),"")</f>
        <v/>
      </c>
      <c r="M33" s="67" t="str">
        <f>IF($E33="Q42028",COUNTIF($E$3:$E33,"Q42028"),"")</f>
        <v/>
      </c>
      <c r="N33" s="67" t="str">
        <f>IF($E33="Backlog",COUNTIF($E$3:$E33,"Backlog"),"")</f>
        <v/>
      </c>
    </row>
    <row r="34" spans="1:14" ht="19.5" customHeight="1">
      <c r="A34" s="68">
        <v>32</v>
      </c>
      <c r="B34" s="18"/>
      <c r="C34" s="19"/>
      <c r="D34" s="19"/>
      <c r="E34" s="19"/>
      <c r="F34" s="19"/>
      <c r="G34" s="19"/>
      <c r="H34" s="69" t="str">
        <f>IF(C34="XXL (&gt;160h)",168,IF(C34="XL (&gt;40h)",48,IF(C34="L (20-40h)",30,IF(C34="M (10-20h)",15,IF(C34="S (&lt;10h)",5,"")))))</f>
        <v/>
      </c>
      <c r="I34" s="18"/>
      <c r="J34" s="67" t="str">
        <f>IF($E34="Q12028",COUNTIF($E$3:$E34,"Q12028"),"")</f>
        <v/>
      </c>
      <c r="K34" s="67" t="str">
        <f>IF($E34="Q22028",COUNTIF($E$3:$E34,"Q22028"),"")</f>
        <v/>
      </c>
      <c r="L34" s="67" t="str">
        <f>IF($E34="Q32028",COUNTIF($E$3:$E34,"Q32028"),"")</f>
        <v/>
      </c>
      <c r="M34" s="67" t="str">
        <f>IF($E34="Q42028",COUNTIF($E$3:$E34,"Q42028"),"")</f>
        <v/>
      </c>
      <c r="N34" s="67" t="str">
        <f>IF($E34="Backlog",COUNTIF($E$3:$E34,"Backlog"),"")</f>
        <v/>
      </c>
    </row>
    <row r="35" spans="1:14" ht="19.5" customHeight="1">
      <c r="A35" s="65">
        <v>33</v>
      </c>
      <c r="B35" s="16"/>
      <c r="C35" s="17"/>
      <c r="D35" s="17"/>
      <c r="E35" s="17"/>
      <c r="F35" s="17"/>
      <c r="G35" s="17"/>
      <c r="H35" s="66" t="str">
        <f>IF(C35="XXL (&gt;160h)",168,IF(C35="XL (&gt;40h)",48,IF(C35="L (20-40h)",30,IF(C35="M (10-20h)",15,IF(C35="S (&lt;10h)",5,"")))))</f>
        <v/>
      </c>
      <c r="I35" s="16"/>
      <c r="J35" s="67" t="str">
        <f>IF($E35="Q12028",COUNTIF($E$3:$E35,"Q12028"),"")</f>
        <v/>
      </c>
      <c r="K35" s="67" t="str">
        <f>IF($E35="Q22028",COUNTIF($E$3:$E35,"Q22028"),"")</f>
        <v/>
      </c>
      <c r="L35" s="67" t="str">
        <f>IF($E35="Q32028",COUNTIF($E$3:$E35,"Q32028"),"")</f>
        <v/>
      </c>
      <c r="M35" s="67" t="str">
        <f>IF($E35="Q42028",COUNTIF($E$3:$E35,"Q42028"),"")</f>
        <v/>
      </c>
      <c r="N35" s="67" t="str">
        <f>IF($E35="Backlog",COUNTIF($E$3:$E35,"Backlog"),"")</f>
        <v/>
      </c>
    </row>
    <row r="36" spans="1:14" ht="19.5" customHeight="1">
      <c r="A36" s="68">
        <v>34</v>
      </c>
      <c r="B36" s="18"/>
      <c r="C36" s="19"/>
      <c r="D36" s="19"/>
      <c r="E36" s="19"/>
      <c r="F36" s="19"/>
      <c r="G36" s="19"/>
      <c r="H36" s="69" t="str">
        <f>IF(C36="XXL (&gt;160h)",168,IF(C36="XL (&gt;40h)",48,IF(C36="L (20-40h)",30,IF(C36="M (10-20h)",15,IF(C36="S (&lt;10h)",5,"")))))</f>
        <v/>
      </c>
      <c r="I36" s="18"/>
      <c r="J36" s="67" t="str">
        <f>IF($E36="Q12028",COUNTIF($E$3:$E36,"Q12028"),"")</f>
        <v/>
      </c>
      <c r="K36" s="67" t="str">
        <f>IF($E36="Q22028",COUNTIF($E$3:$E36,"Q22028"),"")</f>
        <v/>
      </c>
      <c r="L36" s="67" t="str">
        <f>IF($E36="Q32028",COUNTIF($E$3:$E36,"Q32028"),"")</f>
        <v/>
      </c>
      <c r="M36" s="67" t="str">
        <f>IF($E36="Q42028",COUNTIF($E$3:$E36,"Q42028"),"")</f>
        <v/>
      </c>
      <c r="N36" s="67" t="str">
        <f>IF($E36="Backlog",COUNTIF($E$3:$E36,"Backlog"),"")</f>
        <v/>
      </c>
    </row>
    <row r="37" spans="1:14" ht="19.5" customHeight="1">
      <c r="A37" s="65">
        <v>35</v>
      </c>
      <c r="B37" s="16"/>
      <c r="C37" s="17"/>
      <c r="D37" s="17"/>
      <c r="E37" s="17"/>
      <c r="F37" s="17"/>
      <c r="G37" s="17"/>
      <c r="H37" s="66" t="str">
        <f>IF(C37="XXL (&gt;160h)",168,IF(C37="XL (&gt;40h)",48,IF(C37="L (20-40h)",30,IF(C37="M (10-20h)",15,IF(C37="S (&lt;10h)",5,"")))))</f>
        <v/>
      </c>
      <c r="I37" s="16"/>
      <c r="J37" s="67" t="str">
        <f>IF($E37="Q12028",COUNTIF($E$3:$E37,"Q12028"),"")</f>
        <v/>
      </c>
      <c r="K37" s="67" t="str">
        <f>IF($E37="Q22028",COUNTIF($E$3:$E37,"Q22028"),"")</f>
        <v/>
      </c>
      <c r="L37" s="67" t="str">
        <f>IF($E37="Q32028",COUNTIF($E$3:$E37,"Q32028"),"")</f>
        <v/>
      </c>
      <c r="M37" s="67" t="str">
        <f>IF($E37="Q42028",COUNTIF($E$3:$E37,"Q42028"),"")</f>
        <v/>
      </c>
      <c r="N37" s="67" t="str">
        <f>IF($E37="Backlog",COUNTIF($E$3:$E37,"Backlog"),"")</f>
        <v/>
      </c>
    </row>
    <row r="38" spans="1:14" ht="19.5" customHeight="1">
      <c r="A38" s="68">
        <v>36</v>
      </c>
      <c r="B38" s="18"/>
      <c r="C38" s="19"/>
      <c r="D38" s="19"/>
      <c r="E38" s="19"/>
      <c r="F38" s="19"/>
      <c r="G38" s="19"/>
      <c r="H38" s="69" t="str">
        <f>IF(C38="XXL (&gt;160h)",168,IF(C38="XL (&gt;40h)",48,IF(C38="L (20-40h)",30,IF(C38="M (10-20h)",15,IF(C38="S (&lt;10h)",5,"")))))</f>
        <v/>
      </c>
      <c r="I38" s="18"/>
      <c r="J38" s="67" t="str">
        <f>IF($E38="Q12028",COUNTIF($E$3:$E38,"Q12028"),"")</f>
        <v/>
      </c>
      <c r="K38" s="67" t="str">
        <f>IF($E38="Q22028",COUNTIF($E$3:$E38,"Q22028"),"")</f>
        <v/>
      </c>
      <c r="L38" s="67" t="str">
        <f>IF($E38="Q32028",COUNTIF($E$3:$E38,"Q32028"),"")</f>
        <v/>
      </c>
      <c r="M38" s="67" t="str">
        <f>IF($E38="Q42028",COUNTIF($E$3:$E38,"Q42028"),"")</f>
        <v/>
      </c>
      <c r="N38" s="67" t="str">
        <f>IF($E38="Backlog",COUNTIF($E$3:$E38,"Backlog"),"")</f>
        <v/>
      </c>
    </row>
    <row r="39" spans="1:14" ht="19.5" customHeight="1">
      <c r="A39" s="65">
        <v>37</v>
      </c>
      <c r="B39" s="16"/>
      <c r="C39" s="17"/>
      <c r="D39" s="17"/>
      <c r="E39" s="17"/>
      <c r="F39" s="17"/>
      <c r="G39" s="17"/>
      <c r="H39" s="66" t="str">
        <f>IF(C39="XXL (&gt;160h)",168,IF(C39="XL (&gt;40h)",48,IF(C39="L (20-40h)",30,IF(C39="M (10-20h)",15,IF(C39="S (&lt;10h)",5,"")))))</f>
        <v/>
      </c>
      <c r="I39" s="16"/>
      <c r="J39" s="67" t="str">
        <f>IF($E39="Q12028",COUNTIF($E$3:$E39,"Q12028"),"")</f>
        <v/>
      </c>
      <c r="K39" s="67" t="str">
        <f>IF($E39="Q22028",COUNTIF($E$3:$E39,"Q22028"),"")</f>
        <v/>
      </c>
      <c r="L39" s="67" t="str">
        <f>IF($E39="Q32028",COUNTIF($E$3:$E39,"Q32028"),"")</f>
        <v/>
      </c>
      <c r="M39" s="67" t="str">
        <f>IF($E39="Q42028",COUNTIF($E$3:$E39,"Q42028"),"")</f>
        <v/>
      </c>
      <c r="N39" s="67" t="str">
        <f>IF($E39="Backlog",COUNTIF($E$3:$E39,"Backlog"),"")</f>
        <v/>
      </c>
    </row>
    <row r="40" spans="1:14" ht="19.5" customHeight="1">
      <c r="A40" s="68">
        <v>38</v>
      </c>
      <c r="B40" s="18"/>
      <c r="C40" s="19"/>
      <c r="D40" s="19"/>
      <c r="E40" s="19"/>
      <c r="F40" s="19"/>
      <c r="G40" s="19"/>
      <c r="H40" s="69" t="str">
        <f>IF(C40="XXL (&gt;160h)",168,IF(C40="XL (&gt;40h)",48,IF(C40="L (20-40h)",30,IF(C40="M (10-20h)",15,IF(C40="S (&lt;10h)",5,"")))))</f>
        <v/>
      </c>
      <c r="I40" s="18"/>
      <c r="J40" s="67" t="str">
        <f>IF($E40="Q12028",COUNTIF($E$3:$E40,"Q12028"),"")</f>
        <v/>
      </c>
      <c r="K40" s="67" t="str">
        <f>IF($E40="Q22028",COUNTIF($E$3:$E40,"Q22028"),"")</f>
        <v/>
      </c>
      <c r="L40" s="67" t="str">
        <f>IF($E40="Q32028",COUNTIF($E$3:$E40,"Q32028"),"")</f>
        <v/>
      </c>
      <c r="M40" s="67" t="str">
        <f>IF($E40="Q42028",COUNTIF($E$3:$E40,"Q42028"),"")</f>
        <v/>
      </c>
      <c r="N40" s="67" t="str">
        <f>IF($E40="Backlog",COUNTIF($E$3:$E40,"Backlog"),"")</f>
        <v/>
      </c>
    </row>
    <row r="41" spans="1:14" ht="19.5" customHeight="1">
      <c r="A41" s="65">
        <v>39</v>
      </c>
      <c r="B41" s="16"/>
      <c r="C41" s="17"/>
      <c r="D41" s="17"/>
      <c r="E41" s="17"/>
      <c r="F41" s="17"/>
      <c r="G41" s="17"/>
      <c r="H41" s="66" t="str">
        <f>IF(C41="XXL (&gt;160h)",168,IF(C41="XL (&gt;40h)",48,IF(C41="L (20-40h)",30,IF(C41="M (10-20h)",15,IF(C41="S (&lt;10h)",5,"")))))</f>
        <v/>
      </c>
      <c r="I41" s="16"/>
      <c r="J41" s="67" t="str">
        <f>IF($E41="Q12028",COUNTIF($E$3:$E41,"Q12028"),"")</f>
        <v/>
      </c>
      <c r="K41" s="67" t="str">
        <f>IF($E41="Q22028",COUNTIF($E$3:$E41,"Q22028"),"")</f>
        <v/>
      </c>
      <c r="L41" s="67" t="str">
        <f>IF($E41="Q32028",COUNTIF($E$3:$E41,"Q32028"),"")</f>
        <v/>
      </c>
      <c r="M41" s="67" t="str">
        <f>IF($E41="Q42028",COUNTIF($E$3:$E41,"Q42028"),"")</f>
        <v/>
      </c>
      <c r="N41" s="67" t="str">
        <f>IF($E41="Backlog",COUNTIF($E$3:$E41,"Backlog"),"")</f>
        <v/>
      </c>
    </row>
    <row r="42" spans="1:14" ht="19.5" customHeight="1">
      <c r="A42" s="68">
        <v>40</v>
      </c>
      <c r="B42" s="18"/>
      <c r="C42" s="19"/>
      <c r="D42" s="19"/>
      <c r="E42" s="19"/>
      <c r="F42" s="19"/>
      <c r="G42" s="19"/>
      <c r="H42" s="69" t="str">
        <f>IF(C42="XXL (&gt;160h)",168,IF(C42="XL (&gt;40h)",48,IF(C42="L (20-40h)",30,IF(C42="M (10-20h)",15,IF(C42="S (&lt;10h)",5,"")))))</f>
        <v/>
      </c>
      <c r="I42" s="18"/>
      <c r="J42" s="67" t="str">
        <f>IF($E42="Q12028",COUNTIF($E$3:$E42,"Q12028"),"")</f>
        <v/>
      </c>
      <c r="K42" s="67" t="str">
        <f>IF($E42="Q22028",COUNTIF($E$3:$E42,"Q22028"),"")</f>
        <v/>
      </c>
      <c r="L42" s="67" t="str">
        <f>IF($E42="Q32028",COUNTIF($E$3:$E42,"Q32028"),"")</f>
        <v/>
      </c>
      <c r="M42" s="67" t="str">
        <f>IF($E42="Q42028",COUNTIF($E$3:$E42,"Q42028"),"")</f>
        <v/>
      </c>
      <c r="N42" s="67" t="str">
        <f>IF($E42="Backlog",COUNTIF($E$3:$E42,"Backlog"),"")</f>
        <v/>
      </c>
    </row>
    <row r="43" spans="1:14" ht="19.5" customHeight="1">
      <c r="A43" s="65">
        <v>41</v>
      </c>
      <c r="B43" s="16"/>
      <c r="C43" s="17"/>
      <c r="D43" s="17"/>
      <c r="E43" s="17"/>
      <c r="F43" s="17"/>
      <c r="G43" s="17"/>
      <c r="H43" s="66" t="str">
        <f>IF(C43="XXL (&gt;160h)",168,IF(C43="XL (&gt;40h)",48,IF(C43="L (20-40h)",30,IF(C43="M (10-20h)",15,IF(C43="S (&lt;10h)",5,"")))))</f>
        <v/>
      </c>
      <c r="I43" s="16"/>
      <c r="J43" s="67" t="str">
        <f>IF($E43="Q12028",COUNTIF($E$3:$E43,"Q12028"),"")</f>
        <v/>
      </c>
      <c r="K43" s="67" t="str">
        <f>IF($E43="Q22028",COUNTIF($E$3:$E43,"Q22028"),"")</f>
        <v/>
      </c>
      <c r="L43" s="67" t="str">
        <f>IF($E43="Q32028",COUNTIF($E$3:$E43,"Q32028"),"")</f>
        <v/>
      </c>
      <c r="M43" s="67" t="str">
        <f>IF($E43="Q42028",COUNTIF($E$3:$E43,"Q42028"),"")</f>
        <v/>
      </c>
      <c r="N43" s="67" t="str">
        <f>IF($E43="Backlog",COUNTIF($E$3:$E43,"Backlog"),"")</f>
        <v/>
      </c>
    </row>
    <row r="44" spans="1:14" ht="19.5" customHeight="1">
      <c r="A44" s="68">
        <v>42</v>
      </c>
      <c r="B44" s="18"/>
      <c r="C44" s="19"/>
      <c r="D44" s="19"/>
      <c r="E44" s="19"/>
      <c r="F44" s="19"/>
      <c r="G44" s="19"/>
      <c r="H44" s="69" t="str">
        <f>IF(C44="XXL (&gt;160h)",168,IF(C44="XL (&gt;40h)",48,IF(C44="L (20-40h)",30,IF(C44="M (10-20h)",15,IF(C44="S (&lt;10h)",5,"")))))</f>
        <v/>
      </c>
      <c r="I44" s="18"/>
      <c r="J44" s="67" t="str">
        <f>IF($E44="Q12028",COUNTIF($E$3:$E44,"Q12028"),"")</f>
        <v/>
      </c>
      <c r="K44" s="67" t="str">
        <f>IF($E44="Q22028",COUNTIF($E$3:$E44,"Q22028"),"")</f>
        <v/>
      </c>
      <c r="L44" s="67" t="str">
        <f>IF($E44="Q32028",COUNTIF($E$3:$E44,"Q32028"),"")</f>
        <v/>
      </c>
      <c r="M44" s="67" t="str">
        <f>IF($E44="Q42028",COUNTIF($E$3:$E44,"Q42028"),"")</f>
        <v/>
      </c>
      <c r="N44" s="67" t="str">
        <f>IF($E44="Backlog",COUNTIF($E$3:$E44,"Backlog"),"")</f>
        <v/>
      </c>
    </row>
    <row r="45" spans="1:14" ht="19.5" customHeight="1">
      <c r="A45" s="65">
        <v>43</v>
      </c>
      <c r="B45" s="16"/>
      <c r="C45" s="17"/>
      <c r="D45" s="17"/>
      <c r="E45" s="17"/>
      <c r="F45" s="17"/>
      <c r="G45" s="17"/>
      <c r="H45" s="66" t="str">
        <f>IF(C45="XXL (&gt;160h)",168,IF(C45="XL (&gt;40h)",48,IF(C45="L (20-40h)",30,IF(C45="M (10-20h)",15,IF(C45="S (&lt;10h)",5,"")))))</f>
        <v/>
      </c>
      <c r="I45" s="16"/>
      <c r="J45" s="67" t="str">
        <f>IF($E45="Q12028",COUNTIF($E$3:$E45,"Q12028"),"")</f>
        <v/>
      </c>
      <c r="K45" s="67" t="str">
        <f>IF($E45="Q22028",COUNTIF($E$3:$E45,"Q22028"),"")</f>
        <v/>
      </c>
      <c r="L45" s="67" t="str">
        <f>IF($E45="Q32028",COUNTIF($E$3:$E45,"Q32028"),"")</f>
        <v/>
      </c>
      <c r="M45" s="67" t="str">
        <f>IF($E45="Q42028",COUNTIF($E$3:$E45,"Q42028"),"")</f>
        <v/>
      </c>
      <c r="N45" s="67" t="str">
        <f>IF($E45="Backlog",COUNTIF($E$3:$E45,"Backlog"),"")</f>
        <v/>
      </c>
    </row>
    <row r="46" spans="1:14" ht="19.5" customHeight="1">
      <c r="A46" s="68">
        <v>44</v>
      </c>
      <c r="B46" s="18"/>
      <c r="C46" s="19"/>
      <c r="D46" s="19"/>
      <c r="E46" s="19"/>
      <c r="F46" s="19"/>
      <c r="G46" s="19"/>
      <c r="H46" s="69" t="str">
        <f>IF(C46="XXL (&gt;160h)",168,IF(C46="XL (&gt;40h)",48,IF(C46="L (20-40h)",30,IF(C46="M (10-20h)",15,IF(C46="S (&lt;10h)",5,"")))))</f>
        <v/>
      </c>
      <c r="I46" s="18"/>
      <c r="J46" s="67" t="str">
        <f>IF($E46="Q12028",COUNTIF($E$3:$E46,"Q12028"),"")</f>
        <v/>
      </c>
      <c r="K46" s="67" t="str">
        <f>IF($E46="Q22028",COUNTIF($E$3:$E46,"Q22028"),"")</f>
        <v/>
      </c>
      <c r="L46" s="67" t="str">
        <f>IF($E46="Q32028",COUNTIF($E$3:$E46,"Q32028"),"")</f>
        <v/>
      </c>
      <c r="M46" s="67" t="str">
        <f>IF($E46="Q42028",COUNTIF($E$3:$E46,"Q42028"),"")</f>
        <v/>
      </c>
      <c r="N46" s="67" t="str">
        <f>IF($E46="Backlog",COUNTIF($E$3:$E46,"Backlog"),"")</f>
        <v/>
      </c>
    </row>
    <row r="47" spans="1:14" ht="19.5" customHeight="1">
      <c r="A47" s="65">
        <v>45</v>
      </c>
      <c r="B47" s="16"/>
      <c r="C47" s="17"/>
      <c r="D47" s="17"/>
      <c r="E47" s="17"/>
      <c r="F47" s="17"/>
      <c r="G47" s="17"/>
      <c r="H47" s="66" t="str">
        <f>IF(C47="XXL (&gt;160h)",168,IF(C47="XL (&gt;40h)",48,IF(C47="L (20-40h)",30,IF(C47="M (10-20h)",15,IF(C47="S (&lt;10h)",5,"")))))</f>
        <v/>
      </c>
      <c r="I47" s="16"/>
      <c r="J47" s="67" t="str">
        <f>IF($E47="Q12028",COUNTIF($E$3:$E47,"Q12028"),"")</f>
        <v/>
      </c>
      <c r="K47" s="67" t="str">
        <f>IF($E47="Q22028",COUNTIF($E$3:$E47,"Q22028"),"")</f>
        <v/>
      </c>
      <c r="L47" s="67" t="str">
        <f>IF($E47="Q32028",COUNTIF($E$3:$E47,"Q32028"),"")</f>
        <v/>
      </c>
      <c r="M47" s="67" t="str">
        <f>IF($E47="Q42028",COUNTIF($E$3:$E47,"Q42028"),"")</f>
        <v/>
      </c>
      <c r="N47" s="67" t="str">
        <f>IF($E47="Backlog",COUNTIF($E$3:$E47,"Backlog"),"")</f>
        <v/>
      </c>
    </row>
    <row r="48" spans="1:14" ht="19.5" customHeight="1">
      <c r="A48" s="68">
        <v>46</v>
      </c>
      <c r="B48" s="18"/>
      <c r="C48" s="19"/>
      <c r="D48" s="19"/>
      <c r="E48" s="19"/>
      <c r="F48" s="19"/>
      <c r="G48" s="19"/>
      <c r="H48" s="69" t="str">
        <f>IF(C48="XXL (&gt;160h)",168,IF(C48="XL (&gt;40h)",48,IF(C48="L (20-40h)",30,IF(C48="M (10-20h)",15,IF(C48="S (&lt;10h)",5,"")))))</f>
        <v/>
      </c>
      <c r="I48" s="18"/>
      <c r="J48" s="67" t="str">
        <f>IF($E48="Q12028",COUNTIF($E$3:$E48,"Q12028"),"")</f>
        <v/>
      </c>
      <c r="K48" s="67" t="str">
        <f>IF($E48="Q22028",COUNTIF($E$3:$E48,"Q22028"),"")</f>
        <v/>
      </c>
      <c r="L48" s="67" t="str">
        <f>IF($E48="Q32028",COUNTIF($E$3:$E48,"Q32028"),"")</f>
        <v/>
      </c>
      <c r="M48" s="67" t="str">
        <f>IF($E48="Q42028",COUNTIF($E$3:$E48,"Q42028"),"")</f>
        <v/>
      </c>
      <c r="N48" s="67" t="str">
        <f>IF($E48="Backlog",COUNTIF($E$3:$E48,"Backlog"),"")</f>
        <v/>
      </c>
    </row>
    <row r="49" spans="1:14" ht="19.5" customHeight="1">
      <c r="A49" s="65">
        <v>47</v>
      </c>
      <c r="B49" s="16"/>
      <c r="C49" s="17"/>
      <c r="D49" s="17"/>
      <c r="E49" s="17"/>
      <c r="F49" s="17"/>
      <c r="G49" s="17"/>
      <c r="H49" s="66" t="str">
        <f>IF(C49="XXL (&gt;160h)",168,IF(C49="XL (&gt;40h)",48,IF(C49="L (20-40h)",30,IF(C49="M (10-20h)",15,IF(C49="S (&lt;10h)",5,"")))))</f>
        <v/>
      </c>
      <c r="I49" s="16"/>
      <c r="J49" s="67" t="str">
        <f>IF($E49="Q12028",COUNTIF($E$3:$E49,"Q12028"),"")</f>
        <v/>
      </c>
      <c r="K49" s="67" t="str">
        <f>IF($E49="Q22028",COUNTIF($E$3:$E49,"Q22028"),"")</f>
        <v/>
      </c>
      <c r="L49" s="67" t="str">
        <f>IF($E49="Q32028",COUNTIF($E$3:$E49,"Q32028"),"")</f>
        <v/>
      </c>
      <c r="M49" s="67" t="str">
        <f>IF($E49="Q42028",COUNTIF($E$3:$E49,"Q42028"),"")</f>
        <v/>
      </c>
      <c r="N49" s="67" t="str">
        <f>IF($E49="Backlog",COUNTIF($E$3:$E49,"Backlog"),"")</f>
        <v/>
      </c>
    </row>
    <row r="50" spans="1:14" ht="19.5" customHeight="1">
      <c r="A50" s="68">
        <v>48</v>
      </c>
      <c r="B50" s="18"/>
      <c r="C50" s="19"/>
      <c r="D50" s="19"/>
      <c r="E50" s="19"/>
      <c r="F50" s="19"/>
      <c r="G50" s="19"/>
      <c r="H50" s="69" t="str">
        <f>IF(C50="XXL (&gt;160h)",168,IF(C50="XL (&gt;40h)",48,IF(C50="L (20-40h)",30,IF(C50="M (10-20h)",15,IF(C50="S (&lt;10h)",5,"")))))</f>
        <v/>
      </c>
      <c r="I50" s="18"/>
      <c r="J50" s="67" t="str">
        <f>IF($E50="Q12028",COUNTIF($E$3:$E50,"Q12028"),"")</f>
        <v/>
      </c>
      <c r="K50" s="67" t="str">
        <f>IF($E50="Q22028",COUNTIF($E$3:$E50,"Q22028"),"")</f>
        <v/>
      </c>
      <c r="L50" s="67" t="str">
        <f>IF($E50="Q32028",COUNTIF($E$3:$E50,"Q32028"),"")</f>
        <v/>
      </c>
      <c r="M50" s="67" t="str">
        <f>IF($E50="Q42028",COUNTIF($E$3:$E50,"Q42028"),"")</f>
        <v/>
      </c>
      <c r="N50" s="67" t="str">
        <f>IF($E50="Backlog",COUNTIF($E$3:$E50,"Backlog"),"")</f>
        <v/>
      </c>
    </row>
    <row r="51" spans="1:14" ht="19.5" customHeight="1">
      <c r="A51" s="65">
        <v>49</v>
      </c>
      <c r="B51" s="16"/>
      <c r="C51" s="17"/>
      <c r="D51" s="17"/>
      <c r="E51" s="17"/>
      <c r="F51" s="17"/>
      <c r="G51" s="17"/>
      <c r="H51" s="66" t="str">
        <f>IF(C51="XXL (&gt;160h)",168,IF(C51="XL (&gt;40h)",48,IF(C51="L (20-40h)",30,IF(C51="M (10-20h)",15,IF(C51="S (&lt;10h)",5,"")))))</f>
        <v/>
      </c>
      <c r="I51" s="16"/>
      <c r="J51" s="67" t="str">
        <f>IF($E51="Q12028",COUNTIF($E$3:$E51,"Q12028"),"")</f>
        <v/>
      </c>
      <c r="K51" s="67" t="str">
        <f>IF($E51="Q22028",COUNTIF($E$3:$E51,"Q22028"),"")</f>
        <v/>
      </c>
      <c r="L51" s="67" t="str">
        <f>IF($E51="Q32028",COUNTIF($E$3:$E51,"Q32028"),"")</f>
        <v/>
      </c>
      <c r="M51" s="67" t="str">
        <f>IF($E51="Q42028",COUNTIF($E$3:$E51,"Q42028"),"")</f>
        <v/>
      </c>
      <c r="N51" s="67" t="str">
        <f>IF($E51="Backlog",COUNTIF($E$3:$E51,"Backlog"),"")</f>
        <v/>
      </c>
    </row>
    <row r="52" spans="1:14" ht="19.5" customHeight="1">
      <c r="A52" s="68">
        <v>50</v>
      </c>
      <c r="B52" s="18"/>
      <c r="C52" s="19"/>
      <c r="D52" s="19"/>
      <c r="E52" s="19"/>
      <c r="F52" s="19"/>
      <c r="G52" s="19"/>
      <c r="H52" s="69" t="str">
        <f>IF(C52="XXL (&gt;160h)",168,IF(C52="XL (&gt;40h)",48,IF(C52="L (20-40h)",30,IF(C52="M (10-20h)",15,IF(C52="S (&lt;10h)",5,"")))))</f>
        <v/>
      </c>
      <c r="I52" s="18"/>
      <c r="J52" s="67" t="str">
        <f>IF($E52="Q12028",COUNTIF($E$3:$E52,"Q12028"),"")</f>
        <v/>
      </c>
      <c r="K52" s="67" t="str">
        <f>IF($E52="Q22028",COUNTIF($E$3:$E52,"Q22028"),"")</f>
        <v/>
      </c>
      <c r="L52" s="67" t="str">
        <f>IF($E52="Q32028",COUNTIF($E$3:$E52,"Q32028"),"")</f>
        <v/>
      </c>
      <c r="M52" s="67" t="str">
        <f>IF($E52="Q42028",COUNTIF($E$3:$E52,"Q42028"),"")</f>
        <v/>
      </c>
      <c r="N52" s="67" t="str">
        <f>IF($E52="Backlog",COUNTIF($E$3:$E52,"Backlog"),"")</f>
        <v/>
      </c>
    </row>
    <row r="53" spans="1:14" ht="19.5" customHeight="1">
      <c r="A53" s="65">
        <v>51</v>
      </c>
      <c r="B53" s="16"/>
      <c r="C53" s="17"/>
      <c r="D53" s="17"/>
      <c r="E53" s="17"/>
      <c r="F53" s="17"/>
      <c r="G53" s="17"/>
      <c r="H53" s="66" t="str">
        <f>IF(C53="XXL (&gt;160h)",168,IF(C53="XL (&gt;40h)",48,IF(C53="L (20-40h)",30,IF(C53="M (10-20h)",15,IF(C53="S (&lt;10h)",5,"")))))</f>
        <v/>
      </c>
      <c r="I53" s="16"/>
      <c r="J53" s="67" t="str">
        <f>IF($E53="Q12028",COUNTIF($E$3:$E53,"Q12028"),"")</f>
        <v/>
      </c>
      <c r="K53" s="67" t="str">
        <f>IF($E53="Q22028",COUNTIF($E$3:$E53,"Q22028"),"")</f>
        <v/>
      </c>
      <c r="L53" s="67" t="str">
        <f>IF($E53="Q32028",COUNTIF($E$3:$E53,"Q32028"),"")</f>
        <v/>
      </c>
      <c r="M53" s="67" t="str">
        <f>IF($E53="Q42028",COUNTIF($E$3:$E53,"Q42028"),"")</f>
        <v/>
      </c>
      <c r="N53" s="67" t="str">
        <f>IF($E53="Backlog",COUNTIF($E$3:$E53,"Backlog"),"")</f>
        <v/>
      </c>
    </row>
    <row r="54" spans="1:14" ht="19.5" customHeight="1">
      <c r="A54" s="68">
        <v>52</v>
      </c>
      <c r="B54" s="18"/>
      <c r="C54" s="19"/>
      <c r="D54" s="19"/>
      <c r="E54" s="19"/>
      <c r="F54" s="19"/>
      <c r="G54" s="19"/>
      <c r="H54" s="69" t="str">
        <f>IF(C54="XXL (&gt;160h)",168,IF(C54="XL (&gt;40h)",48,IF(C54="L (20-40h)",30,IF(C54="M (10-20h)",15,IF(C54="S (&lt;10h)",5,"")))))</f>
        <v/>
      </c>
      <c r="I54" s="18"/>
      <c r="J54" s="67" t="str">
        <f>IF($E54="Q12028",COUNTIF($E$3:$E54,"Q12028"),"")</f>
        <v/>
      </c>
      <c r="K54" s="67" t="str">
        <f>IF($E54="Q22028",COUNTIF($E$3:$E54,"Q22028"),"")</f>
        <v/>
      </c>
      <c r="L54" s="67" t="str">
        <f>IF($E54="Q32028",COUNTIF($E$3:$E54,"Q32028"),"")</f>
        <v/>
      </c>
      <c r="M54" s="67" t="str">
        <f>IF($E54="Q42028",COUNTIF($E$3:$E54,"Q42028"),"")</f>
        <v/>
      </c>
      <c r="N54" s="67" t="str">
        <f>IF($E54="Backlog",COUNTIF($E$3:$E54,"Backlog"),"")</f>
        <v/>
      </c>
    </row>
    <row r="55" spans="1:14" ht="19.5" customHeight="1">
      <c r="A55" s="65">
        <v>53</v>
      </c>
      <c r="B55" s="16"/>
      <c r="C55" s="17"/>
      <c r="D55" s="17"/>
      <c r="E55" s="17"/>
      <c r="F55" s="17"/>
      <c r="G55" s="17"/>
      <c r="H55" s="66" t="str">
        <f>IF(C55="XXL (&gt;160h)",168,IF(C55="XL (&gt;40h)",48,IF(C55="L (20-40h)",30,IF(C55="M (10-20h)",15,IF(C55="S (&lt;10h)",5,"")))))</f>
        <v/>
      </c>
      <c r="I55" s="16"/>
      <c r="J55" s="67" t="str">
        <f>IF($E55="Q12028",COUNTIF($E$3:$E55,"Q12028"),"")</f>
        <v/>
      </c>
      <c r="K55" s="67" t="str">
        <f>IF($E55="Q22028",COUNTIF($E$3:$E55,"Q22028"),"")</f>
        <v/>
      </c>
      <c r="L55" s="67" t="str">
        <f>IF($E55="Q32028",COUNTIF($E$3:$E55,"Q32028"),"")</f>
        <v/>
      </c>
      <c r="M55" s="67" t="str">
        <f>IF($E55="Q42028",COUNTIF($E$3:$E55,"Q42028"),"")</f>
        <v/>
      </c>
      <c r="N55" s="67" t="str">
        <f>IF($E55="Backlog",COUNTIF($E$3:$E55,"Backlog"),"")</f>
        <v/>
      </c>
    </row>
    <row r="56" spans="1:14" ht="19.5" customHeight="1">
      <c r="A56" s="68">
        <v>54</v>
      </c>
      <c r="B56" s="18"/>
      <c r="C56" s="19"/>
      <c r="D56" s="19"/>
      <c r="E56" s="19"/>
      <c r="F56" s="19"/>
      <c r="G56" s="19"/>
      <c r="H56" s="69" t="str">
        <f>IF(C56="XXL (&gt;160h)",168,IF(C56="XL (&gt;40h)",48,IF(C56="L (20-40h)",30,IF(C56="M (10-20h)",15,IF(C56="S (&lt;10h)",5,"")))))</f>
        <v/>
      </c>
      <c r="I56" s="18"/>
      <c r="J56" s="67" t="str">
        <f>IF($E56="Q12028",COUNTIF($E$3:$E56,"Q12028"),"")</f>
        <v/>
      </c>
      <c r="K56" s="67" t="str">
        <f>IF($E56="Q22028",COUNTIF($E$3:$E56,"Q22028"),"")</f>
        <v/>
      </c>
      <c r="L56" s="67" t="str">
        <f>IF($E56="Q32028",COUNTIF($E$3:$E56,"Q32028"),"")</f>
        <v/>
      </c>
      <c r="M56" s="67" t="str">
        <f>IF($E56="Q42028",COUNTIF($E$3:$E56,"Q42028"),"")</f>
        <v/>
      </c>
      <c r="N56" s="67" t="str">
        <f>IF($E56="Backlog",COUNTIF($E$3:$E56,"Backlog"),"")</f>
        <v/>
      </c>
    </row>
    <row r="57" spans="1:14" ht="19.5" customHeight="1">
      <c r="A57" s="65">
        <v>55</v>
      </c>
      <c r="B57" s="16"/>
      <c r="C57" s="17"/>
      <c r="D57" s="17"/>
      <c r="E57" s="17"/>
      <c r="F57" s="17"/>
      <c r="G57" s="17"/>
      <c r="H57" s="66" t="str">
        <f>IF(C57="XXL (&gt;160h)",168,IF(C57="XL (&gt;40h)",48,IF(C57="L (20-40h)",30,IF(C57="M (10-20h)",15,IF(C57="S (&lt;10h)",5,"")))))</f>
        <v/>
      </c>
      <c r="I57" s="16"/>
      <c r="J57" s="67" t="str">
        <f>IF($E57="Q12028",COUNTIF($E$3:$E57,"Q12028"),"")</f>
        <v/>
      </c>
      <c r="K57" s="67" t="str">
        <f>IF($E57="Q22028",COUNTIF($E$3:$E57,"Q22028"),"")</f>
        <v/>
      </c>
      <c r="L57" s="67" t="str">
        <f>IF($E57="Q32028",COUNTIF($E$3:$E57,"Q32028"),"")</f>
        <v/>
      </c>
      <c r="M57" s="67" t="str">
        <f>IF($E57="Q42028",COUNTIF($E$3:$E57,"Q42028"),"")</f>
        <v/>
      </c>
      <c r="N57" s="67" t="str">
        <f>IF($E57="Backlog",COUNTIF($E$3:$E57,"Backlog"),"")</f>
        <v/>
      </c>
    </row>
    <row r="58" spans="1:14" ht="19.5" customHeight="1">
      <c r="A58" s="68">
        <v>56</v>
      </c>
      <c r="B58" s="18"/>
      <c r="C58" s="19"/>
      <c r="D58" s="19"/>
      <c r="E58" s="19"/>
      <c r="F58" s="19"/>
      <c r="G58" s="19"/>
      <c r="H58" s="69" t="str">
        <f>IF(C58="XXL (&gt;160h)",168,IF(C58="XL (&gt;40h)",48,IF(C58="L (20-40h)",30,IF(C58="M (10-20h)",15,IF(C58="S (&lt;10h)",5,"")))))</f>
        <v/>
      </c>
      <c r="I58" s="18"/>
      <c r="J58" s="67" t="str">
        <f>IF($E58="Q12028",COUNTIF($E$3:$E58,"Q12028"),"")</f>
        <v/>
      </c>
      <c r="K58" s="67" t="str">
        <f>IF($E58="Q22028",COUNTIF($E$3:$E58,"Q22028"),"")</f>
        <v/>
      </c>
      <c r="L58" s="67" t="str">
        <f>IF($E58="Q32028",COUNTIF($E$3:$E58,"Q32028"),"")</f>
        <v/>
      </c>
      <c r="M58" s="67" t="str">
        <f>IF($E58="Q42028",COUNTIF($E$3:$E58,"Q42028"),"")</f>
        <v/>
      </c>
      <c r="N58" s="67" t="str">
        <f>IF($E58="Backlog",COUNTIF($E$3:$E58,"Backlog"),"")</f>
        <v/>
      </c>
    </row>
    <row r="59" spans="1:14" ht="19.5" customHeight="1">
      <c r="A59" s="65">
        <v>57</v>
      </c>
      <c r="B59" s="16"/>
      <c r="C59" s="17"/>
      <c r="D59" s="17"/>
      <c r="E59" s="17"/>
      <c r="F59" s="17"/>
      <c r="G59" s="17"/>
      <c r="H59" s="66" t="str">
        <f>IF(C59="XXL (&gt;160h)",168,IF(C59="XL (&gt;40h)",48,IF(C59="L (20-40h)",30,IF(C59="M (10-20h)",15,IF(C59="S (&lt;10h)",5,"")))))</f>
        <v/>
      </c>
      <c r="I59" s="16"/>
      <c r="J59" s="67" t="str">
        <f>IF($E59="Q12028",COUNTIF($E$3:$E59,"Q12028"),"")</f>
        <v/>
      </c>
      <c r="K59" s="67" t="str">
        <f>IF($E59="Q22028",COUNTIF($E$3:$E59,"Q22028"),"")</f>
        <v/>
      </c>
      <c r="L59" s="67" t="str">
        <f>IF($E59="Q32028",COUNTIF($E$3:$E59,"Q32028"),"")</f>
        <v/>
      </c>
      <c r="M59" s="67" t="str">
        <f>IF($E59="Q42028",COUNTIF($E$3:$E59,"Q42028"),"")</f>
        <v/>
      </c>
      <c r="N59" s="67" t="str">
        <f>IF($E59="Backlog",COUNTIF($E$3:$E59,"Backlog"),"")</f>
        <v/>
      </c>
    </row>
    <row r="60" spans="1:14" ht="19.5" customHeight="1">
      <c r="A60" s="68">
        <v>58</v>
      </c>
      <c r="B60" s="18"/>
      <c r="C60" s="19"/>
      <c r="D60" s="19"/>
      <c r="E60" s="19"/>
      <c r="F60" s="19"/>
      <c r="G60" s="19"/>
      <c r="H60" s="69" t="str">
        <f>IF(C60="XXL (&gt;160h)",168,IF(C60="XL (&gt;40h)",48,IF(C60="L (20-40h)",30,IF(C60="M (10-20h)",15,IF(C60="S (&lt;10h)",5,"")))))</f>
        <v/>
      </c>
      <c r="I60" s="18"/>
      <c r="J60" s="67" t="str">
        <f>IF($E60="Q12028",COUNTIF($E$3:$E60,"Q12028"),"")</f>
        <v/>
      </c>
      <c r="K60" s="67" t="str">
        <f>IF($E60="Q22028",COUNTIF($E$3:$E60,"Q22028"),"")</f>
        <v/>
      </c>
      <c r="L60" s="67" t="str">
        <f>IF($E60="Q32028",COUNTIF($E$3:$E60,"Q32028"),"")</f>
        <v/>
      </c>
      <c r="M60" s="67" t="str">
        <f>IF($E60="Q42028",COUNTIF($E$3:$E60,"Q42028"),"")</f>
        <v/>
      </c>
      <c r="N60" s="67" t="str">
        <f>IF($E60="Backlog",COUNTIF($E$3:$E60,"Backlog"),"")</f>
        <v/>
      </c>
    </row>
    <row r="61" spans="1:14" ht="19.5" customHeight="1">
      <c r="A61" s="65">
        <v>59</v>
      </c>
      <c r="B61" s="16"/>
      <c r="C61" s="17"/>
      <c r="D61" s="17"/>
      <c r="E61" s="17"/>
      <c r="F61" s="17"/>
      <c r="G61" s="17"/>
      <c r="H61" s="66" t="str">
        <f>IF(C61="XXL (&gt;160h)",168,IF(C61="XL (&gt;40h)",48,IF(C61="L (20-40h)",30,IF(C61="M (10-20h)",15,IF(C61="S (&lt;10h)",5,"")))))</f>
        <v/>
      </c>
      <c r="I61" s="16"/>
      <c r="J61" s="67" t="str">
        <f>IF($E61="Q12028",COUNTIF($E$3:$E61,"Q12028"),"")</f>
        <v/>
      </c>
      <c r="K61" s="67" t="str">
        <f>IF($E61="Q22028",COUNTIF($E$3:$E61,"Q22028"),"")</f>
        <v/>
      </c>
      <c r="L61" s="67" t="str">
        <f>IF($E61="Q32028",COUNTIF($E$3:$E61,"Q32028"),"")</f>
        <v/>
      </c>
      <c r="M61" s="67" t="str">
        <f>IF($E61="Q42028",COUNTIF($E$3:$E61,"Q42028"),"")</f>
        <v/>
      </c>
      <c r="N61" s="67" t="str">
        <f>IF($E61="Backlog",COUNTIF($E$3:$E61,"Backlog"),"")</f>
        <v/>
      </c>
    </row>
    <row r="62" spans="1:14" ht="19.5" customHeight="1">
      <c r="A62" s="68">
        <v>60</v>
      </c>
      <c r="B62" s="18"/>
      <c r="C62" s="19"/>
      <c r="D62" s="19"/>
      <c r="E62" s="19"/>
      <c r="F62" s="19"/>
      <c r="G62" s="19"/>
      <c r="H62" s="69" t="str">
        <f>IF(C62="XXL (&gt;160h)",168,IF(C62="XL (&gt;40h)",48,IF(C62="L (20-40h)",30,IF(C62="M (10-20h)",15,IF(C62="S (&lt;10h)",5,"")))))</f>
        <v/>
      </c>
      <c r="I62" s="18"/>
      <c r="J62" s="67" t="str">
        <f>IF($E62="Q12028",COUNTIF($E$3:$E62,"Q12028"),"")</f>
        <v/>
      </c>
      <c r="K62" s="67" t="str">
        <f>IF($E62="Q22028",COUNTIF($E$3:$E62,"Q22028"),"")</f>
        <v/>
      </c>
      <c r="L62" s="67" t="str">
        <f>IF($E62="Q32028",COUNTIF($E$3:$E62,"Q32028"),"")</f>
        <v/>
      </c>
      <c r="M62" s="67" t="str">
        <f>IF($E62="Q42028",COUNTIF($E$3:$E62,"Q42028"),"")</f>
        <v/>
      </c>
      <c r="N62" s="67" t="str">
        <f>IF($E62="Backlog",COUNTIF($E$3:$E62,"Backlog"),"")</f>
        <v/>
      </c>
    </row>
    <row r="63" spans="1:14" ht="19.5" customHeight="1">
      <c r="A63" s="65">
        <v>61</v>
      </c>
      <c r="B63" s="16"/>
      <c r="C63" s="17"/>
      <c r="D63" s="17"/>
      <c r="E63" s="17"/>
      <c r="F63" s="17"/>
      <c r="G63" s="17"/>
      <c r="H63" s="66" t="str">
        <f>IF(C63="XXL (&gt;160h)",168,IF(C63="XL (&gt;40h)",48,IF(C63="L (20-40h)",30,IF(C63="M (10-20h)",15,IF(C63="S (&lt;10h)",5,"")))))</f>
        <v/>
      </c>
      <c r="I63" s="16"/>
      <c r="J63" s="67" t="str">
        <f>IF($E63="Q12028",COUNTIF($E$3:$E63,"Q12028"),"")</f>
        <v/>
      </c>
      <c r="K63" s="67" t="str">
        <f>IF($E63="Q22028",COUNTIF($E$3:$E63,"Q22028"),"")</f>
        <v/>
      </c>
      <c r="L63" s="67" t="str">
        <f>IF($E63="Q32028",COUNTIF($E$3:$E63,"Q32028"),"")</f>
        <v/>
      </c>
      <c r="M63" s="67" t="str">
        <f>IF($E63="Q42028",COUNTIF($E$3:$E63,"Q42028"),"")</f>
        <v/>
      </c>
      <c r="N63" s="67" t="str">
        <f>IF($E63="Backlog",COUNTIF($E$3:$E63,"Backlog"),"")</f>
        <v/>
      </c>
    </row>
    <row r="64" spans="1:14" ht="19.5" customHeight="1">
      <c r="A64" s="68">
        <v>62</v>
      </c>
      <c r="B64" s="18"/>
      <c r="C64" s="19"/>
      <c r="D64" s="19"/>
      <c r="E64" s="19"/>
      <c r="F64" s="19"/>
      <c r="G64" s="19"/>
      <c r="H64" s="69" t="str">
        <f>IF(C64="XXL (&gt;160h)",168,IF(C64="XL (&gt;40h)",48,IF(C64="L (20-40h)",30,IF(C64="M (10-20h)",15,IF(C64="S (&lt;10h)",5,"")))))</f>
        <v/>
      </c>
      <c r="I64" s="18"/>
      <c r="J64" s="67" t="str">
        <f>IF($E64="Q12028",COUNTIF($E$3:$E64,"Q12028"),"")</f>
        <v/>
      </c>
      <c r="K64" s="67" t="str">
        <f>IF($E64="Q22028",COUNTIF($E$3:$E64,"Q22028"),"")</f>
        <v/>
      </c>
      <c r="L64" s="67" t="str">
        <f>IF($E64="Q32028",COUNTIF($E$3:$E64,"Q32028"),"")</f>
        <v/>
      </c>
      <c r="M64" s="67" t="str">
        <f>IF($E64="Q42028",COUNTIF($E$3:$E64,"Q42028"),"")</f>
        <v/>
      </c>
      <c r="N64" s="67" t="str">
        <f>IF($E64="Backlog",COUNTIF($E$3:$E64,"Backlog"),"")</f>
        <v/>
      </c>
    </row>
    <row r="65" spans="1:14" ht="19.5" customHeight="1">
      <c r="A65" s="65">
        <v>63</v>
      </c>
      <c r="B65" s="16"/>
      <c r="C65" s="17"/>
      <c r="D65" s="17"/>
      <c r="E65" s="17"/>
      <c r="F65" s="17"/>
      <c r="G65" s="17"/>
      <c r="H65" s="66" t="str">
        <f>IF(C65="XXL (&gt;160h)",168,IF(C65="XL (&gt;40h)",48,IF(C65="L (20-40h)",30,IF(C65="M (10-20h)",15,IF(C65="S (&lt;10h)",5,"")))))</f>
        <v/>
      </c>
      <c r="I65" s="16"/>
      <c r="J65" s="67" t="str">
        <f>IF($E65="Q12028",COUNTIF($E$3:$E65,"Q12028"),"")</f>
        <v/>
      </c>
      <c r="K65" s="67" t="str">
        <f>IF($E65="Q22028",COUNTIF($E$3:$E65,"Q22028"),"")</f>
        <v/>
      </c>
      <c r="L65" s="67" t="str">
        <f>IF($E65="Q32028",COUNTIF($E$3:$E65,"Q32028"),"")</f>
        <v/>
      </c>
      <c r="M65" s="67" t="str">
        <f>IF($E65="Q42028",COUNTIF($E$3:$E65,"Q42028"),"")</f>
        <v/>
      </c>
      <c r="N65" s="67" t="str">
        <f>IF($E65="Backlog",COUNTIF($E$3:$E65,"Backlog"),"")</f>
        <v/>
      </c>
    </row>
    <row r="66" spans="1:14" ht="19.5" customHeight="1">
      <c r="A66" s="68">
        <v>64</v>
      </c>
      <c r="B66" s="18"/>
      <c r="C66" s="19"/>
      <c r="D66" s="19"/>
      <c r="E66" s="19"/>
      <c r="F66" s="19"/>
      <c r="G66" s="19"/>
      <c r="H66" s="69" t="str">
        <f>IF(C66="XXL (&gt;160h)",168,IF(C66="XL (&gt;40h)",48,IF(C66="L (20-40h)",30,IF(C66="M (10-20h)",15,IF(C66="S (&lt;10h)",5,"")))))</f>
        <v/>
      </c>
      <c r="I66" s="18"/>
      <c r="J66" s="67" t="str">
        <f>IF($E66="Q12028",COUNTIF($E$3:$E66,"Q12028"),"")</f>
        <v/>
      </c>
      <c r="K66" s="67" t="str">
        <f>IF($E66="Q22028",COUNTIF($E$3:$E66,"Q22028"),"")</f>
        <v/>
      </c>
      <c r="L66" s="67" t="str">
        <f>IF($E66="Q32028",COUNTIF($E$3:$E66,"Q32028"),"")</f>
        <v/>
      </c>
      <c r="M66" s="67" t="str">
        <f>IF($E66="Q42028",COUNTIF($E$3:$E66,"Q42028"),"")</f>
        <v/>
      </c>
      <c r="N66" s="67" t="str">
        <f>IF($E66="Backlog",COUNTIF($E$3:$E66,"Backlog"),"")</f>
        <v/>
      </c>
    </row>
    <row r="67" spans="1:14" ht="19.5" customHeight="1">
      <c r="A67" s="65">
        <v>65</v>
      </c>
      <c r="B67" s="16"/>
      <c r="C67" s="17"/>
      <c r="D67" s="17"/>
      <c r="E67" s="17"/>
      <c r="F67" s="17"/>
      <c r="G67" s="17"/>
      <c r="H67" s="66" t="str">
        <f>IF(C67="XXL (&gt;160h)",168,IF(C67="XL (&gt;40h)",48,IF(C67="L (20-40h)",30,IF(C67="M (10-20h)",15,IF(C67="S (&lt;10h)",5,"")))))</f>
        <v/>
      </c>
      <c r="I67" s="16"/>
      <c r="J67" s="67" t="str">
        <f>IF($E67="Q12028",COUNTIF($E$3:$E67,"Q12028"),"")</f>
        <v/>
      </c>
      <c r="K67" s="67" t="str">
        <f>IF($E67="Q22028",COUNTIF($E$3:$E67,"Q22028"),"")</f>
        <v/>
      </c>
      <c r="L67" s="67" t="str">
        <f>IF($E67="Q32028",COUNTIF($E$3:$E67,"Q32028"),"")</f>
        <v/>
      </c>
      <c r="M67" s="67" t="str">
        <f>IF($E67="Q42028",COUNTIF($E$3:$E67,"Q42028"),"")</f>
        <v/>
      </c>
      <c r="N67" s="67" t="str">
        <f>IF($E67="Backlog",COUNTIF($E$3:$E67,"Backlog"),"")</f>
        <v/>
      </c>
    </row>
    <row r="68" spans="1:14" ht="19.5" customHeight="1">
      <c r="A68" s="68">
        <v>66</v>
      </c>
      <c r="B68" s="18"/>
      <c r="C68" s="19"/>
      <c r="D68" s="19"/>
      <c r="E68" s="19"/>
      <c r="F68" s="19"/>
      <c r="G68" s="19"/>
      <c r="H68" s="69" t="str">
        <f>IF(C68="XXL (&gt;160h)",168,IF(C68="XL (&gt;40h)",48,IF(C68="L (20-40h)",30,IF(C68="M (10-20h)",15,IF(C68="S (&lt;10h)",5,"")))))</f>
        <v/>
      </c>
      <c r="I68" s="18"/>
      <c r="J68" s="67" t="str">
        <f>IF($E68="Q12028",COUNTIF($E$3:$E68,"Q12028"),"")</f>
        <v/>
      </c>
      <c r="K68" s="67" t="str">
        <f>IF($E68="Q22028",COUNTIF($E$3:$E68,"Q22028"),"")</f>
        <v/>
      </c>
      <c r="L68" s="67" t="str">
        <f>IF($E68="Q32028",COUNTIF($E$3:$E68,"Q32028"),"")</f>
        <v/>
      </c>
      <c r="M68" s="67" t="str">
        <f>IF($E68="Q42028",COUNTIF($E$3:$E68,"Q42028"),"")</f>
        <v/>
      </c>
      <c r="N68" s="67" t="str">
        <f>IF($E68="Backlog",COUNTIF($E$3:$E68,"Backlog"),"")</f>
        <v/>
      </c>
    </row>
    <row r="69" spans="1:14" ht="19.5" customHeight="1">
      <c r="A69" s="65">
        <v>67</v>
      </c>
      <c r="B69" s="16"/>
      <c r="C69" s="17"/>
      <c r="D69" s="17"/>
      <c r="E69" s="17"/>
      <c r="F69" s="17"/>
      <c r="G69" s="17"/>
      <c r="H69" s="66" t="str">
        <f>IF(C69="XXL (&gt;160h)",168,IF(C69="XL (&gt;40h)",48,IF(C69="L (20-40h)",30,IF(C69="M (10-20h)",15,IF(C69="S (&lt;10h)",5,"")))))</f>
        <v/>
      </c>
      <c r="I69" s="16"/>
      <c r="J69" s="67" t="str">
        <f>IF($E69="Q12028",COUNTIF($E$3:$E69,"Q12028"),"")</f>
        <v/>
      </c>
      <c r="K69" s="67" t="str">
        <f>IF($E69="Q22028",COUNTIF($E$3:$E69,"Q22028"),"")</f>
        <v/>
      </c>
      <c r="L69" s="67" t="str">
        <f>IF($E69="Q32028",COUNTIF($E$3:$E69,"Q32028"),"")</f>
        <v/>
      </c>
      <c r="M69" s="67" t="str">
        <f>IF($E69="Q42028",COUNTIF($E$3:$E69,"Q42028"),"")</f>
        <v/>
      </c>
      <c r="N69" s="67" t="str">
        <f>IF($E69="Backlog",COUNTIF($E$3:$E69,"Backlog"),"")</f>
        <v/>
      </c>
    </row>
    <row r="70" spans="1:14" ht="19.5" customHeight="1">
      <c r="A70" s="68">
        <v>68</v>
      </c>
      <c r="B70" s="18"/>
      <c r="C70" s="19"/>
      <c r="D70" s="19"/>
      <c r="E70" s="19"/>
      <c r="F70" s="19"/>
      <c r="G70" s="19"/>
      <c r="H70" s="69" t="str">
        <f>IF(C70="XXL (&gt;160h)",168,IF(C70="XL (&gt;40h)",48,IF(C70="L (20-40h)",30,IF(C70="M (10-20h)",15,IF(C70="S (&lt;10h)",5,"")))))</f>
        <v/>
      </c>
      <c r="I70" s="18"/>
      <c r="J70" s="67" t="str">
        <f>IF($E70="Q12028",COUNTIF($E$3:$E70,"Q12028"),"")</f>
        <v/>
      </c>
      <c r="K70" s="67" t="str">
        <f>IF($E70="Q22028",COUNTIF($E$3:$E70,"Q22028"),"")</f>
        <v/>
      </c>
      <c r="L70" s="67" t="str">
        <f>IF($E70="Q32028",COUNTIF($E$3:$E70,"Q32028"),"")</f>
        <v/>
      </c>
      <c r="M70" s="67" t="str">
        <f>IF($E70="Q42028",COUNTIF($E$3:$E70,"Q42028"),"")</f>
        <v/>
      </c>
      <c r="N70" s="67" t="str">
        <f>IF($E70="Backlog",COUNTIF($E$3:$E70,"Backlog"),"")</f>
        <v/>
      </c>
    </row>
    <row r="71" spans="1:14" ht="19.5" customHeight="1">
      <c r="A71" s="65">
        <v>69</v>
      </c>
      <c r="B71" s="16"/>
      <c r="C71" s="17"/>
      <c r="D71" s="17"/>
      <c r="E71" s="17"/>
      <c r="F71" s="17"/>
      <c r="G71" s="17"/>
      <c r="H71" s="66" t="str">
        <f>IF(C71="XXL (&gt;160h)",168,IF(C71="XL (&gt;40h)",48,IF(C71="L (20-40h)",30,IF(C71="M (10-20h)",15,IF(C71="S (&lt;10h)",5,"")))))</f>
        <v/>
      </c>
      <c r="I71" s="16"/>
      <c r="J71" s="67" t="str">
        <f>IF($E71="Q12028",COUNTIF($E$3:$E71,"Q12028"),"")</f>
        <v/>
      </c>
      <c r="K71" s="67" t="str">
        <f>IF($E71="Q22028",COUNTIF($E$3:$E71,"Q22028"),"")</f>
        <v/>
      </c>
      <c r="L71" s="67" t="str">
        <f>IF($E71="Q32028",COUNTIF($E$3:$E71,"Q32028"),"")</f>
        <v/>
      </c>
      <c r="M71" s="67" t="str">
        <f>IF($E71="Q42028",COUNTIF($E$3:$E71,"Q42028"),"")</f>
        <v/>
      </c>
      <c r="N71" s="67" t="str">
        <f>IF($E71="Backlog",COUNTIF($E$3:$E71,"Backlog"),"")</f>
        <v/>
      </c>
    </row>
    <row r="72" spans="1:14" ht="19.5" customHeight="1">
      <c r="A72" s="68">
        <v>70</v>
      </c>
      <c r="B72" s="18"/>
      <c r="C72" s="19"/>
      <c r="D72" s="19"/>
      <c r="E72" s="19"/>
      <c r="F72" s="19"/>
      <c r="G72" s="19"/>
      <c r="H72" s="69" t="str">
        <f>IF(C72="XXL (&gt;160h)",168,IF(C72="XL (&gt;40h)",48,IF(C72="L (20-40h)",30,IF(C72="M (10-20h)",15,IF(C72="S (&lt;10h)",5,"")))))</f>
        <v/>
      </c>
      <c r="I72" s="18"/>
      <c r="J72" s="67" t="str">
        <f>IF($E72="Q12028",COUNTIF($E$3:$E72,"Q12028"),"")</f>
        <v/>
      </c>
      <c r="K72" s="67" t="str">
        <f>IF($E72="Q22028",COUNTIF($E$3:$E72,"Q22028"),"")</f>
        <v/>
      </c>
      <c r="L72" s="67" t="str">
        <f>IF($E72="Q32028",COUNTIF($E$3:$E72,"Q32028"),"")</f>
        <v/>
      </c>
      <c r="M72" s="67" t="str">
        <f>IF($E72="Q42028",COUNTIF($E$3:$E72,"Q42028"),"")</f>
        <v/>
      </c>
      <c r="N72" s="67" t="str">
        <f>IF($E72="Backlog",COUNTIF($E$3:$E72,"Backlog"),"")</f>
        <v/>
      </c>
    </row>
    <row r="73" spans="1:14" ht="19.5" customHeight="1">
      <c r="A73" s="65">
        <v>71</v>
      </c>
      <c r="B73" s="16"/>
      <c r="C73" s="17"/>
      <c r="D73" s="17"/>
      <c r="E73" s="17"/>
      <c r="F73" s="17"/>
      <c r="G73" s="17"/>
      <c r="H73" s="66" t="str">
        <f>IF(C73="XXL (&gt;160h)",168,IF(C73="XL (&gt;40h)",48,IF(C73="L (20-40h)",30,IF(C73="M (10-20h)",15,IF(C73="S (&lt;10h)",5,"")))))</f>
        <v/>
      </c>
      <c r="I73" s="16"/>
      <c r="J73" s="67" t="str">
        <f>IF($E73="Q12028",COUNTIF($E$3:$E73,"Q12028"),"")</f>
        <v/>
      </c>
      <c r="K73" s="67" t="str">
        <f>IF($E73="Q22028",COUNTIF($E$3:$E73,"Q22028"),"")</f>
        <v/>
      </c>
      <c r="L73" s="67" t="str">
        <f>IF($E73="Q32028",COUNTIF($E$3:$E73,"Q32028"),"")</f>
        <v/>
      </c>
      <c r="M73" s="67" t="str">
        <f>IF($E73="Q42028",COUNTIF($E$3:$E73,"Q42028"),"")</f>
        <v/>
      </c>
      <c r="N73" s="67" t="str">
        <f>IF($E73="Backlog",COUNTIF($E$3:$E73,"Backlog"),"")</f>
        <v/>
      </c>
    </row>
    <row r="74" spans="1:14" ht="19.5" customHeight="1">
      <c r="A74" s="68">
        <v>72</v>
      </c>
      <c r="B74" s="18"/>
      <c r="C74" s="19"/>
      <c r="D74" s="19"/>
      <c r="E74" s="19"/>
      <c r="F74" s="19"/>
      <c r="G74" s="19"/>
      <c r="H74" s="69" t="str">
        <f>IF(C74="XXL (&gt;160h)",168,IF(C74="XL (&gt;40h)",48,IF(C74="L (20-40h)",30,IF(C74="M (10-20h)",15,IF(C74="S (&lt;10h)",5,"")))))</f>
        <v/>
      </c>
      <c r="I74" s="18"/>
      <c r="J74" s="67" t="str">
        <f>IF($E74="Q12028",COUNTIF($E$3:$E74,"Q12028"),"")</f>
        <v/>
      </c>
      <c r="K74" s="67" t="str">
        <f>IF($E74="Q22028",COUNTIF($E$3:$E74,"Q22028"),"")</f>
        <v/>
      </c>
      <c r="L74" s="67" t="str">
        <f>IF($E74="Q32028",COUNTIF($E$3:$E74,"Q32028"),"")</f>
        <v/>
      </c>
      <c r="M74" s="67" t="str">
        <f>IF($E74="Q42028",COUNTIF($E$3:$E74,"Q42028"),"")</f>
        <v/>
      </c>
      <c r="N74" s="67" t="str">
        <f>IF($E74="Backlog",COUNTIF($E$3:$E74,"Backlog"),"")</f>
        <v/>
      </c>
    </row>
    <row r="75" spans="1:14" ht="19.5" customHeight="1">
      <c r="A75" s="65">
        <v>73</v>
      </c>
      <c r="B75" s="16"/>
      <c r="C75" s="17"/>
      <c r="D75" s="17"/>
      <c r="E75" s="17"/>
      <c r="F75" s="17"/>
      <c r="G75" s="17"/>
      <c r="H75" s="66" t="str">
        <f>IF(C75="XXL (&gt;160h)",168,IF(C75="XL (&gt;40h)",48,IF(C75="L (20-40h)",30,IF(C75="M (10-20h)",15,IF(C75="S (&lt;10h)",5,"")))))</f>
        <v/>
      </c>
      <c r="I75" s="16"/>
      <c r="J75" s="67" t="str">
        <f>IF($E75="Q12028",COUNTIF($E$3:$E75,"Q12028"),"")</f>
        <v/>
      </c>
      <c r="K75" s="67" t="str">
        <f>IF($E75="Q22028",COUNTIF($E$3:$E75,"Q22028"),"")</f>
        <v/>
      </c>
      <c r="L75" s="67" t="str">
        <f>IF($E75="Q32028",COUNTIF($E$3:$E75,"Q32028"),"")</f>
        <v/>
      </c>
      <c r="M75" s="67" t="str">
        <f>IF($E75="Q42028",COUNTIF($E$3:$E75,"Q42028"),"")</f>
        <v/>
      </c>
      <c r="N75" s="67" t="str">
        <f>IF($E75="Backlog",COUNTIF($E$3:$E75,"Backlog"),"")</f>
        <v/>
      </c>
    </row>
    <row r="76" spans="1:14" ht="19.5" customHeight="1">
      <c r="A76" s="68">
        <v>74</v>
      </c>
      <c r="B76" s="18"/>
      <c r="C76" s="19"/>
      <c r="D76" s="19"/>
      <c r="E76" s="19"/>
      <c r="F76" s="19"/>
      <c r="G76" s="19"/>
      <c r="H76" s="69" t="str">
        <f>IF(C76="XXL (&gt;160h)",168,IF(C76="XL (&gt;40h)",48,IF(C76="L (20-40h)",30,IF(C76="M (10-20h)",15,IF(C76="S (&lt;10h)",5,"")))))</f>
        <v/>
      </c>
      <c r="I76" s="18"/>
      <c r="J76" s="67" t="str">
        <f>IF($E76="Q12028",COUNTIF($E$3:$E76,"Q12028"),"")</f>
        <v/>
      </c>
      <c r="K76" s="67" t="str">
        <f>IF($E76="Q22028",COUNTIF($E$3:$E76,"Q22028"),"")</f>
        <v/>
      </c>
      <c r="L76" s="67" t="str">
        <f>IF($E76="Q32028",COUNTIF($E$3:$E76,"Q32028"),"")</f>
        <v/>
      </c>
      <c r="M76" s="67" t="str">
        <f>IF($E76="Q42028",COUNTIF($E$3:$E76,"Q42028"),"")</f>
        <v/>
      </c>
      <c r="N76" s="67" t="str">
        <f>IF($E76="Backlog",COUNTIF($E$3:$E76,"Backlog"),"")</f>
        <v/>
      </c>
    </row>
    <row r="77" spans="1:14" ht="19.5" customHeight="1">
      <c r="A77" s="65">
        <v>75</v>
      </c>
      <c r="B77" s="16"/>
      <c r="C77" s="17"/>
      <c r="D77" s="17"/>
      <c r="E77" s="17"/>
      <c r="F77" s="17"/>
      <c r="G77" s="17"/>
      <c r="H77" s="66" t="str">
        <f>IF(C77="XXL (&gt;160h)",168,IF(C77="XL (&gt;40h)",48,IF(C77="L (20-40h)",30,IF(C77="M (10-20h)",15,IF(C77="S (&lt;10h)",5,"")))))</f>
        <v/>
      </c>
      <c r="I77" s="16"/>
      <c r="J77" s="67" t="str">
        <f>IF($E77="Q12028",COUNTIF($E$3:$E77,"Q12028"),"")</f>
        <v/>
      </c>
      <c r="K77" s="67" t="str">
        <f>IF($E77="Q22028",COUNTIF($E$3:$E77,"Q22028"),"")</f>
        <v/>
      </c>
      <c r="L77" s="67" t="str">
        <f>IF($E77="Q32028",COUNTIF($E$3:$E77,"Q32028"),"")</f>
        <v/>
      </c>
      <c r="M77" s="67" t="str">
        <f>IF($E77="Q42028",COUNTIF($E$3:$E77,"Q42028"),"")</f>
        <v/>
      </c>
      <c r="N77" s="67" t="str">
        <f>IF($E77="Backlog",COUNTIF($E$3:$E77,"Backlog"),"")</f>
        <v/>
      </c>
    </row>
    <row r="78" spans="1:14" ht="19.5" customHeight="1">
      <c r="A78" s="68">
        <v>76</v>
      </c>
      <c r="B78" s="18"/>
      <c r="C78" s="19"/>
      <c r="D78" s="19"/>
      <c r="E78" s="19"/>
      <c r="F78" s="19"/>
      <c r="G78" s="19"/>
      <c r="H78" s="69" t="str">
        <f>IF(C78="XXL (&gt;160h)",168,IF(C78="XL (&gt;40h)",48,IF(C78="L (20-40h)",30,IF(C78="M (10-20h)",15,IF(C78="S (&lt;10h)",5,"")))))</f>
        <v/>
      </c>
      <c r="I78" s="18"/>
      <c r="J78" s="67" t="str">
        <f>IF($E78="Q12028",COUNTIF($E$3:$E78,"Q12028"),"")</f>
        <v/>
      </c>
      <c r="K78" s="67" t="str">
        <f>IF($E78="Q22028",COUNTIF($E$3:$E78,"Q22028"),"")</f>
        <v/>
      </c>
      <c r="L78" s="67" t="str">
        <f>IF($E78="Q32028",COUNTIF($E$3:$E78,"Q32028"),"")</f>
        <v/>
      </c>
      <c r="M78" s="67" t="str">
        <f>IF($E78="Q42028",COUNTIF($E$3:$E78,"Q42028"),"")</f>
        <v/>
      </c>
      <c r="N78" s="67" t="str">
        <f>IF($E78="Backlog",COUNTIF($E$3:$E78,"Backlog"),"")</f>
        <v/>
      </c>
    </row>
    <row r="79" spans="1:14" ht="19.5" customHeight="1">
      <c r="A79" s="65">
        <v>77</v>
      </c>
      <c r="B79" s="16"/>
      <c r="C79" s="17"/>
      <c r="D79" s="17"/>
      <c r="E79" s="17"/>
      <c r="F79" s="17"/>
      <c r="G79" s="17"/>
      <c r="H79" s="66" t="str">
        <f>IF(C79="XXL (&gt;160h)",168,IF(C79="XL (&gt;40h)",48,IF(C79="L (20-40h)",30,IF(C79="M (10-20h)",15,IF(C79="S (&lt;10h)",5,"")))))</f>
        <v/>
      </c>
      <c r="I79" s="16"/>
      <c r="J79" s="67" t="str">
        <f>IF($E79="Q12028",COUNTIF($E$3:$E79,"Q12028"),"")</f>
        <v/>
      </c>
      <c r="K79" s="67" t="str">
        <f>IF($E79="Q22028",COUNTIF($E$3:$E79,"Q22028"),"")</f>
        <v/>
      </c>
      <c r="L79" s="67" t="str">
        <f>IF($E79="Q32028",COUNTIF($E$3:$E79,"Q32028"),"")</f>
        <v/>
      </c>
      <c r="M79" s="67" t="str">
        <f>IF($E79="Q42028",COUNTIF($E$3:$E79,"Q42028"),"")</f>
        <v/>
      </c>
      <c r="N79" s="67" t="str">
        <f>IF($E79="Backlog",COUNTIF($E$3:$E79,"Backlog"),"")</f>
        <v/>
      </c>
    </row>
    <row r="80" spans="1:14" ht="19.5" customHeight="1">
      <c r="A80" s="68">
        <v>78</v>
      </c>
      <c r="B80" s="18"/>
      <c r="C80" s="19"/>
      <c r="D80" s="19"/>
      <c r="E80" s="19"/>
      <c r="F80" s="19"/>
      <c r="G80" s="19"/>
      <c r="H80" s="69" t="str">
        <f>IF(C80="XXL (&gt;160h)",168,IF(C80="XL (&gt;40h)",48,IF(C80="L (20-40h)",30,IF(C80="M (10-20h)",15,IF(C80="S (&lt;10h)",5,"")))))</f>
        <v/>
      </c>
      <c r="I80" s="18"/>
      <c r="J80" s="67" t="str">
        <f>IF($E80="Q12028",COUNTIF($E$3:$E80,"Q12028"),"")</f>
        <v/>
      </c>
      <c r="K80" s="67" t="str">
        <f>IF($E80="Q22028",COUNTIF($E$3:$E80,"Q22028"),"")</f>
        <v/>
      </c>
      <c r="L80" s="67" t="str">
        <f>IF($E80="Q32028",COUNTIF($E$3:$E80,"Q32028"),"")</f>
        <v/>
      </c>
      <c r="M80" s="67" t="str">
        <f>IF($E80="Q42028",COUNTIF($E$3:$E80,"Q42028"),"")</f>
        <v/>
      </c>
      <c r="N80" s="67" t="str">
        <f>IF($E80="Backlog",COUNTIF($E$3:$E80,"Backlog"),"")</f>
        <v/>
      </c>
    </row>
    <row r="81" spans="1:14" ht="19.5" customHeight="1">
      <c r="A81" s="65">
        <v>79</v>
      </c>
      <c r="B81" s="16"/>
      <c r="C81" s="17"/>
      <c r="D81" s="17"/>
      <c r="E81" s="17"/>
      <c r="F81" s="17"/>
      <c r="G81" s="17"/>
      <c r="H81" s="66" t="str">
        <f>IF(C81="XXL (&gt;160h)",168,IF(C81="XL (&gt;40h)",48,IF(C81="L (20-40h)",30,IF(C81="M (10-20h)",15,IF(C81="S (&lt;10h)",5,"")))))</f>
        <v/>
      </c>
      <c r="I81" s="16"/>
      <c r="J81" s="67" t="str">
        <f>IF($E81="Q12028",COUNTIF($E$3:$E81,"Q12028"),"")</f>
        <v/>
      </c>
      <c r="K81" s="67" t="str">
        <f>IF($E81="Q22028",COUNTIF($E$3:$E81,"Q22028"),"")</f>
        <v/>
      </c>
      <c r="L81" s="67" t="str">
        <f>IF($E81="Q32028",COUNTIF($E$3:$E81,"Q32028"),"")</f>
        <v/>
      </c>
      <c r="M81" s="67" t="str">
        <f>IF($E81="Q42028",COUNTIF($E$3:$E81,"Q42028"),"")</f>
        <v/>
      </c>
      <c r="N81" s="67" t="str">
        <f>IF($E81="Backlog",COUNTIF($E$3:$E81,"Backlog"),"")</f>
        <v/>
      </c>
    </row>
    <row r="82" spans="1:14" ht="19.5" customHeight="1">
      <c r="A82" s="68">
        <v>80</v>
      </c>
      <c r="B82" s="18"/>
      <c r="C82" s="19"/>
      <c r="D82" s="19"/>
      <c r="E82" s="19"/>
      <c r="F82" s="19"/>
      <c r="G82" s="19"/>
      <c r="H82" s="69" t="str">
        <f>IF(C82="XXL (&gt;160h)",168,IF(C82="XL (&gt;40h)",48,IF(C82="L (20-40h)",30,IF(C82="M (10-20h)",15,IF(C82="S (&lt;10h)",5,"")))))</f>
        <v/>
      </c>
      <c r="I82" s="18"/>
      <c r="J82" s="67" t="str">
        <f>IF($E82="Q12028",COUNTIF($E$3:$E82,"Q12028"),"")</f>
        <v/>
      </c>
      <c r="K82" s="67" t="str">
        <f>IF($E82="Q22028",COUNTIF($E$3:$E82,"Q22028"),"")</f>
        <v/>
      </c>
      <c r="L82" s="67" t="str">
        <f>IF($E82="Q32028",COUNTIF($E$3:$E82,"Q32028"),"")</f>
        <v/>
      </c>
      <c r="M82" s="67" t="str">
        <f>IF($E82="Q42028",COUNTIF($E$3:$E82,"Q42028"),"")</f>
        <v/>
      </c>
      <c r="N82" s="67" t="str">
        <f>IF($E82="Backlog",COUNTIF($E$3:$E82,"Backlog"),"")</f>
        <v/>
      </c>
    </row>
    <row r="83" spans="1:14" ht="21.75" customHeight="1">
      <c r="A83" s="113" t="s">
        <v>56</v>
      </c>
      <c r="B83" s="113"/>
      <c r="C83" s="113"/>
      <c r="D83" s="113"/>
      <c r="E83" s="113"/>
      <c r="F83" s="113"/>
      <c r="G83" s="113"/>
      <c r="H83" s="20">
        <f>SUM(H3:H82)</f>
        <v>0</v>
      </c>
      <c r="I83" s="70"/>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30" priority="2" operator="equal">
      <formula>"Strengthen"</formula>
    </cfRule>
    <cfRule type="cellIs" dxfId="29" priority="3" operator="equal">
      <formula>"Innovation"</formula>
    </cfRule>
    <cfRule type="cellIs" dxfId="28" priority="4" operator="equal">
      <formula>"Repair"</formula>
    </cfRule>
  </conditionalFormatting>
  <dataValidations count="5">
    <dataValidation type="list" allowBlank="1" sqref="D3:D82" xr:uid="{00000000-0002-0000-1600-000000000000}">
      <formula1>"Strengthen,Innovation,Repair"</formula1>
      <formula2>0</formula2>
    </dataValidation>
    <dataValidation type="list" allowBlank="1" sqref="C3:C82" xr:uid="{00000000-0002-0000-1600-000001000000}">
      <formula1>"XXL (&gt;160h),XL (&gt;40h),L (20-40h),M (10-20h),S (&lt;10h)"</formula1>
      <formula2>0</formula2>
    </dataValidation>
    <dataValidation type="list" allowBlank="1" sqref="E3:E82" xr:uid="{00000000-0002-0000-1600-000002000000}">
      <formula1>"Q12028,Q22028,Q32028,Q42028,Backlog"</formula1>
      <formula2>0</formula2>
    </dataValidation>
    <dataValidation type="list" allowBlank="1" sqref="F3:F82" xr:uid="{00000000-0002-0000-1600-000003000000}">
      <formula1>"Must,Should,Could,Won't"</formula1>
      <formula2>0</formula2>
    </dataValidation>
    <dataValidation type="list" allowBlank="1" sqref="G3:G82" xr:uid="{00000000-0002-0000-16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P101"/>
  <sheetViews>
    <sheetView showGridLines="0" zoomScaleNormal="100" workbookViewId="0">
      <pane xSplit="1" ySplit="17" topLeftCell="B18" activePane="bottomRight" state="frozen"/>
      <selection pane="bottomRight"/>
      <selection pane="bottomLeft" activeCell="A18" sqref="A18"/>
      <selection pane="topRight" activeCell="B1" sqref="B1"/>
    </sheetView>
  </sheetViews>
  <sheetFormatPr defaultColWidth="8.7109375" defaultRowHeight="15"/>
  <cols>
    <col min="1" max="1" width="3" customWidth="1"/>
    <col min="2" max="2" width="42.85546875" customWidth="1"/>
    <col min="3" max="3" width="14" customWidth="1"/>
    <col min="4" max="4" width="13" customWidth="1"/>
    <col min="5" max="5" width="2" customWidth="1"/>
    <col min="6" max="6" width="42.85546875" customWidth="1"/>
    <col min="7" max="7" width="14" customWidth="1"/>
    <col min="8" max="8" width="13" customWidth="1"/>
    <col min="9" max="9" width="2" customWidth="1"/>
    <col min="10" max="10" width="42.85546875" customWidth="1"/>
    <col min="11" max="11" width="14" customWidth="1"/>
    <col min="12" max="12" width="13" customWidth="1"/>
    <col min="13" max="13" width="2" customWidth="1"/>
    <col min="14" max="14" width="42.85546875" customWidth="1"/>
    <col min="15" max="15" width="14" customWidth="1"/>
    <col min="16" max="16" width="13" customWidth="1"/>
  </cols>
  <sheetData>
    <row r="1" spans="2:16" ht="51.75" customHeight="1">
      <c r="B1" s="131" t="s">
        <v>254</v>
      </c>
      <c r="C1" s="131"/>
      <c r="D1" s="131"/>
      <c r="E1" s="131"/>
      <c r="F1" s="131"/>
      <c r="G1" s="131"/>
      <c r="H1" s="131"/>
      <c r="I1" s="131"/>
      <c r="J1" s="131"/>
      <c r="K1" s="131"/>
      <c r="L1" s="131"/>
      <c r="M1" s="131"/>
      <c r="N1" s="131"/>
      <c r="O1" s="131"/>
      <c r="P1" s="131"/>
    </row>
    <row r="2" spans="2:16" ht="21.75" customHeight="1">
      <c r="B2" s="132" t="s">
        <v>255</v>
      </c>
      <c r="C2" s="132"/>
      <c r="D2" s="132"/>
      <c r="F2" s="133" t="s">
        <v>256</v>
      </c>
      <c r="G2" s="133"/>
      <c r="H2" s="133"/>
      <c r="J2" s="134" t="s">
        <v>257</v>
      </c>
      <c r="K2" s="134"/>
      <c r="L2" s="134"/>
      <c r="N2" s="135" t="s">
        <v>258</v>
      </c>
      <c r="O2" s="135"/>
      <c r="P2" s="135"/>
    </row>
    <row r="3" spans="2:16" ht="18" customHeight="1">
      <c r="B3" s="1" t="s">
        <v>63</v>
      </c>
      <c r="C3" s="1" t="s">
        <v>64</v>
      </c>
      <c r="D3" s="1" t="s">
        <v>65</v>
      </c>
      <c r="F3" s="1" t="s">
        <v>63</v>
      </c>
      <c r="G3" s="1" t="s">
        <v>64</v>
      </c>
      <c r="H3" s="1" t="s">
        <v>65</v>
      </c>
      <c r="J3" s="1" t="s">
        <v>63</v>
      </c>
      <c r="K3" s="1" t="s">
        <v>64</v>
      </c>
      <c r="L3" s="1" t="s">
        <v>65</v>
      </c>
      <c r="N3" s="1" t="s">
        <v>63</v>
      </c>
      <c r="O3" s="1" t="s">
        <v>64</v>
      </c>
      <c r="P3" s="1" t="s">
        <v>65</v>
      </c>
    </row>
    <row r="4" spans="2:16" ht="19.5" customHeight="1">
      <c r="B4" s="2" t="s">
        <v>66</v>
      </c>
      <c r="C4" s="3">
        <f>D4*8</f>
        <v>400</v>
      </c>
      <c r="D4" s="4">
        <v>50</v>
      </c>
      <c r="F4" s="2" t="s">
        <v>66</v>
      </c>
      <c r="G4" s="3">
        <f>H4*8</f>
        <v>360</v>
      </c>
      <c r="H4" s="4">
        <v>45</v>
      </c>
      <c r="J4" s="2" t="s">
        <v>66</v>
      </c>
      <c r="K4" s="3">
        <f>L4*8</f>
        <v>320</v>
      </c>
      <c r="L4" s="4">
        <v>40</v>
      </c>
      <c r="N4" s="2" t="s">
        <v>66</v>
      </c>
      <c r="O4" s="3">
        <f>P4*8</f>
        <v>360</v>
      </c>
      <c r="P4" s="4">
        <v>45</v>
      </c>
    </row>
    <row r="5" spans="2:16" ht="19.5" customHeight="1">
      <c r="B5" s="5" t="s">
        <v>67</v>
      </c>
      <c r="C5" s="6">
        <f>D5*8</f>
        <v>200</v>
      </c>
      <c r="D5" s="7">
        <v>25</v>
      </c>
      <c r="F5" s="5" t="s">
        <v>67</v>
      </c>
      <c r="G5" s="6">
        <f>H5*8</f>
        <v>176</v>
      </c>
      <c r="H5" s="7">
        <v>22</v>
      </c>
      <c r="J5" s="5" t="s">
        <v>67</v>
      </c>
      <c r="K5" s="6">
        <f>L5*8</f>
        <v>160</v>
      </c>
      <c r="L5" s="7">
        <v>20</v>
      </c>
      <c r="N5" s="5" t="s">
        <v>67</v>
      </c>
      <c r="O5" s="6">
        <f>P5*8</f>
        <v>176</v>
      </c>
      <c r="P5" s="7">
        <v>22</v>
      </c>
    </row>
    <row r="6" spans="2:16" ht="19.5" customHeight="1">
      <c r="B6" s="2" t="s">
        <v>68</v>
      </c>
      <c r="C6" s="3">
        <f>D6*8</f>
        <v>200</v>
      </c>
      <c r="D6" s="4">
        <v>25</v>
      </c>
      <c r="F6" s="2" t="s">
        <v>68</v>
      </c>
      <c r="G6" s="3">
        <f>H6*8</f>
        <v>176</v>
      </c>
      <c r="H6" s="4">
        <v>22</v>
      </c>
      <c r="J6" s="2" t="s">
        <v>68</v>
      </c>
      <c r="K6" s="3">
        <f>L6*8</f>
        <v>160</v>
      </c>
      <c r="L6" s="4">
        <v>20</v>
      </c>
      <c r="N6" s="2" t="s">
        <v>68</v>
      </c>
      <c r="O6" s="3">
        <f>P6*8</f>
        <v>176</v>
      </c>
      <c r="P6" s="4">
        <v>22</v>
      </c>
    </row>
    <row r="7" spans="2:16" ht="18" customHeight="1">
      <c r="B7" s="136" t="s">
        <v>69</v>
      </c>
      <c r="C7" s="136"/>
      <c r="D7" s="136"/>
      <c r="F7" s="136" t="s">
        <v>69</v>
      </c>
      <c r="G7" s="136"/>
      <c r="H7" s="136"/>
      <c r="J7" s="136" t="s">
        <v>69</v>
      </c>
      <c r="K7" s="136"/>
      <c r="L7" s="136"/>
      <c r="N7" s="136" t="s">
        <v>69</v>
      </c>
      <c r="O7" s="136"/>
      <c r="P7" s="136"/>
    </row>
    <row r="8" spans="2:16" ht="18.75" customHeight="1">
      <c r="B8" s="2" t="s">
        <v>70</v>
      </c>
      <c r="C8" s="8">
        <v>50</v>
      </c>
      <c r="D8" s="9">
        <f>IFERROR(C8/C4,"")</f>
        <v>0.125</v>
      </c>
      <c r="F8" s="2" t="s">
        <v>70</v>
      </c>
      <c r="G8" s="8">
        <v>45</v>
      </c>
      <c r="H8" s="9">
        <f>IFERROR(G8/G4,"")</f>
        <v>0.125</v>
      </c>
      <c r="J8" s="2" t="s">
        <v>70</v>
      </c>
      <c r="K8" s="8">
        <v>45</v>
      </c>
      <c r="L8" s="9">
        <f>IFERROR(K8/K4,"")</f>
        <v>0.140625</v>
      </c>
      <c r="N8" s="2" t="s">
        <v>70</v>
      </c>
      <c r="O8" s="8">
        <v>50</v>
      </c>
      <c r="P8" s="9">
        <f>IFERROR(O8/O4,"")</f>
        <v>0.1388888888888889</v>
      </c>
    </row>
    <row r="9" spans="2:16" ht="18.75" customHeight="1">
      <c r="B9" s="5" t="s">
        <v>71</v>
      </c>
      <c r="C9" s="10">
        <v>40</v>
      </c>
      <c r="D9" s="11">
        <f>IFERROR(C9/C4,"")</f>
        <v>0.1</v>
      </c>
      <c r="F9" s="5" t="s">
        <v>71</v>
      </c>
      <c r="G9" s="10">
        <v>35</v>
      </c>
      <c r="H9" s="11">
        <f>IFERROR(G9/G4,"")</f>
        <v>9.7222222222222224E-2</v>
      </c>
      <c r="J9" s="5" t="s">
        <v>71</v>
      </c>
      <c r="K9" s="10">
        <v>30</v>
      </c>
      <c r="L9" s="11">
        <f>IFERROR(K9/K4,"")</f>
        <v>9.375E-2</v>
      </c>
      <c r="N9" s="5" t="s">
        <v>71</v>
      </c>
      <c r="O9" s="10">
        <v>35</v>
      </c>
      <c r="P9" s="11">
        <f>IFERROR(O9/O4,"")</f>
        <v>9.7222222222222224E-2</v>
      </c>
    </row>
    <row r="10" spans="2:16" ht="18.75" customHeight="1">
      <c r="B10" s="2" t="s">
        <v>72</v>
      </c>
      <c r="C10" s="8">
        <v>20</v>
      </c>
      <c r="D10" s="9">
        <f>IFERROR(C10/C4,"")</f>
        <v>0.05</v>
      </c>
      <c r="F10" s="2" t="s">
        <v>72</v>
      </c>
      <c r="G10" s="8">
        <v>20</v>
      </c>
      <c r="H10" s="9">
        <f>IFERROR(G10/G4,"")</f>
        <v>5.5555555555555552E-2</v>
      </c>
      <c r="J10" s="2" t="s">
        <v>72</v>
      </c>
      <c r="K10" s="8">
        <v>15</v>
      </c>
      <c r="L10" s="9">
        <f>IFERROR(K10/K4,"")</f>
        <v>4.6875E-2</v>
      </c>
      <c r="N10" s="2" t="s">
        <v>72</v>
      </c>
      <c r="O10" s="8">
        <v>20</v>
      </c>
      <c r="P10" s="9">
        <f>IFERROR(O10/O4,"")</f>
        <v>5.5555555555555552E-2</v>
      </c>
    </row>
    <row r="11" spans="2:16" ht="18.75" customHeight="1">
      <c r="B11" s="5" t="s">
        <v>73</v>
      </c>
      <c r="C11" s="10">
        <v>15</v>
      </c>
      <c r="D11" s="11">
        <f>IFERROR(C11/C4,"")</f>
        <v>3.7499999999999999E-2</v>
      </c>
      <c r="F11" s="5" t="s">
        <v>73</v>
      </c>
      <c r="G11" s="10">
        <v>15</v>
      </c>
      <c r="H11" s="11">
        <f>IFERROR(G11/G4,"")</f>
        <v>4.1666666666666664E-2</v>
      </c>
      <c r="J11" s="5" t="s">
        <v>73</v>
      </c>
      <c r="K11" s="10">
        <v>10</v>
      </c>
      <c r="L11" s="11">
        <f>IFERROR(K11/K4,"")</f>
        <v>3.125E-2</v>
      </c>
      <c r="N11" s="5" t="s">
        <v>73</v>
      </c>
      <c r="O11" s="10">
        <v>15</v>
      </c>
      <c r="P11" s="11">
        <f>IFERROR(O11/O4,"")</f>
        <v>4.1666666666666664E-2</v>
      </c>
    </row>
    <row r="12" spans="2:16" ht="18.75" customHeight="1">
      <c r="B12" s="2" t="s">
        <v>74</v>
      </c>
      <c r="C12" s="8">
        <v>30</v>
      </c>
      <c r="D12" s="9">
        <f>IFERROR(C12/C4,"")</f>
        <v>7.4999999999999997E-2</v>
      </c>
      <c r="F12" s="2" t="s">
        <v>74</v>
      </c>
      <c r="G12" s="8">
        <v>30</v>
      </c>
      <c r="H12" s="9">
        <f>IFERROR(G12/G4,"")</f>
        <v>8.3333333333333329E-2</v>
      </c>
      <c r="J12" s="2" t="s">
        <v>74</v>
      </c>
      <c r="K12" s="8">
        <v>25</v>
      </c>
      <c r="L12" s="9">
        <f>IFERROR(K12/K4,"")</f>
        <v>7.8125E-2</v>
      </c>
      <c r="N12" s="2" t="s">
        <v>74</v>
      </c>
      <c r="O12" s="8">
        <v>30</v>
      </c>
      <c r="P12" s="9">
        <f>IFERROR(O12/O4,"")</f>
        <v>8.3333333333333329E-2</v>
      </c>
    </row>
    <row r="13" spans="2:16" ht="18.75" customHeight="1">
      <c r="B13" s="5" t="s">
        <v>75</v>
      </c>
      <c r="C13" s="10">
        <v>20</v>
      </c>
      <c r="D13" s="11">
        <f>IFERROR(C13/C4,"")</f>
        <v>0.05</v>
      </c>
      <c r="F13" s="5" t="s">
        <v>75</v>
      </c>
      <c r="G13" s="10">
        <v>20</v>
      </c>
      <c r="H13" s="11">
        <f>IFERROR(G13/G4,"")</f>
        <v>5.5555555555555552E-2</v>
      </c>
      <c r="J13" s="5" t="s">
        <v>75</v>
      </c>
      <c r="K13" s="10">
        <v>20</v>
      </c>
      <c r="L13" s="11">
        <f>IFERROR(K13/K4,"")</f>
        <v>6.25E-2</v>
      </c>
      <c r="N13" s="5" t="s">
        <v>75</v>
      </c>
      <c r="O13" s="10">
        <v>20</v>
      </c>
      <c r="P13" s="11">
        <f>IFERROR(O13/O4,"")</f>
        <v>5.5555555555555552E-2</v>
      </c>
    </row>
    <row r="14" spans="2:16" ht="18.75" customHeight="1">
      <c r="B14" s="2" t="s">
        <v>76</v>
      </c>
      <c r="C14" s="8">
        <v>25</v>
      </c>
      <c r="D14" s="9">
        <f>IFERROR(C14/C4,"")</f>
        <v>6.25E-2</v>
      </c>
      <c r="F14" s="2" t="s">
        <v>76</v>
      </c>
      <c r="G14" s="8">
        <v>20</v>
      </c>
      <c r="H14" s="9">
        <f>IFERROR(G14/G4,"")</f>
        <v>5.5555555555555552E-2</v>
      </c>
      <c r="J14" s="2" t="s">
        <v>76</v>
      </c>
      <c r="K14" s="8">
        <v>20</v>
      </c>
      <c r="L14" s="9">
        <f>IFERROR(K14/K4,"")</f>
        <v>6.25E-2</v>
      </c>
      <c r="N14" s="2" t="s">
        <v>76</v>
      </c>
      <c r="O14" s="8">
        <v>25</v>
      </c>
      <c r="P14" s="9">
        <f>IFERROR(O14/O4,"")</f>
        <v>6.9444444444444448E-2</v>
      </c>
    </row>
    <row r="15" spans="2:16" ht="18.75" customHeight="1">
      <c r="B15" s="5" t="s">
        <v>77</v>
      </c>
      <c r="C15" s="10">
        <v>15</v>
      </c>
      <c r="D15" s="11">
        <f>IFERROR(C15/C4,"")</f>
        <v>3.7499999999999999E-2</v>
      </c>
      <c r="F15" s="5" t="s">
        <v>77</v>
      </c>
      <c r="G15" s="10">
        <v>10</v>
      </c>
      <c r="H15" s="11">
        <f>IFERROR(G15/G4,"")</f>
        <v>2.7777777777777776E-2</v>
      </c>
      <c r="J15" s="5" t="s">
        <v>77</v>
      </c>
      <c r="K15" s="10">
        <v>10</v>
      </c>
      <c r="L15" s="11">
        <f>IFERROR(K15/K4,"")</f>
        <v>3.125E-2</v>
      </c>
      <c r="N15" s="5" t="s">
        <v>77</v>
      </c>
      <c r="O15" s="10">
        <v>15</v>
      </c>
      <c r="P15" s="11">
        <f>IFERROR(O15/O4,"")</f>
        <v>4.1666666666666664E-2</v>
      </c>
    </row>
    <row r="16" spans="2:16" ht="6" customHeight="1">
      <c r="B16" s="158"/>
      <c r="C16" s="158"/>
      <c r="D16" s="158"/>
      <c r="F16" s="159"/>
      <c r="G16" s="159"/>
      <c r="H16" s="159"/>
      <c r="J16" s="160"/>
      <c r="K16" s="160"/>
      <c r="L16" s="160"/>
      <c r="N16" s="161"/>
      <c r="O16" s="161"/>
      <c r="P16" s="161"/>
    </row>
    <row r="17" spans="2:16" ht="21.75" customHeight="1">
      <c r="B17" s="12" t="s">
        <v>2</v>
      </c>
      <c r="C17" s="12" t="s">
        <v>3</v>
      </c>
      <c r="D17" s="12" t="s">
        <v>78</v>
      </c>
      <c r="F17" s="13" t="s">
        <v>2</v>
      </c>
      <c r="G17" s="13" t="s">
        <v>3</v>
      </c>
      <c r="H17" s="13" t="s">
        <v>78</v>
      </c>
      <c r="J17" s="14" t="s">
        <v>2</v>
      </c>
      <c r="K17" s="14" t="s">
        <v>3</v>
      </c>
      <c r="L17" s="14" t="s">
        <v>78</v>
      </c>
      <c r="N17" s="15" t="s">
        <v>2</v>
      </c>
      <c r="O17" s="15" t="s">
        <v>3</v>
      </c>
      <c r="P17" s="15" t="s">
        <v>78</v>
      </c>
    </row>
    <row r="18" spans="2:16" ht="18.75" customHeight="1">
      <c r="B18" s="16" t="str">
        <f>IFERROR(INDEX(DATA2028!B$2:B$401,MATCH(1,DATA2028!I$2:I$401,0)),"")</f>
        <v/>
      </c>
      <c r="C18" s="17" t="str">
        <f>IFERROR(INDEX(DATA2028!C$2:C$401,MATCH(1,DATA2028!I$2:I$401,0)),"")</f>
        <v/>
      </c>
      <c r="D18" s="17" t="str">
        <f>IFERROR(INDEX(DATA2028!D$2:D$401,MATCH(1,DATA2028!I$2:I$401,0)),"")</f>
        <v/>
      </c>
      <c r="F18" s="16" t="str">
        <f>IFERROR(INDEX(DATA2028!B$2:B$401,MATCH(1,DATA2028!J$2:J$401,0)),"")</f>
        <v/>
      </c>
      <c r="G18" s="17" t="str">
        <f>IFERROR(INDEX(DATA2028!C$2:C$401,MATCH(1,DATA2028!J$2:J$401,0)),"")</f>
        <v/>
      </c>
      <c r="H18" s="17" t="str">
        <f>IFERROR(INDEX(DATA2028!D$2:D$401,MATCH(1,DATA2028!J$2:J$401,0)),"")</f>
        <v/>
      </c>
      <c r="J18" s="16" t="str">
        <f>IFERROR(INDEX(DATA2028!B$2:B$401,MATCH(1,DATA2028!K$2:K$401,0)),"")</f>
        <v/>
      </c>
      <c r="K18" s="17" t="str">
        <f>IFERROR(INDEX(DATA2028!C$2:C$401,MATCH(1,DATA2028!K$2:K$401,0)),"")</f>
        <v/>
      </c>
      <c r="L18" s="17" t="str">
        <f>IFERROR(INDEX(DATA2028!D$2:D$401,MATCH(1,DATA2028!K$2:K$401,0)),"")</f>
        <v/>
      </c>
      <c r="N18" s="16" t="str">
        <f>IFERROR(INDEX(DATA2028!B$2:B$401,MATCH(1,DATA2028!L$2:L$401,0)),"")</f>
        <v/>
      </c>
      <c r="O18" s="17" t="str">
        <f>IFERROR(INDEX(DATA2028!C$2:C$401,MATCH(1,DATA2028!L$2:L$401,0)),"")</f>
        <v/>
      </c>
      <c r="P18" s="17" t="str">
        <f>IFERROR(INDEX(DATA2028!D$2:D$401,MATCH(1,DATA2028!L$2:L$401,0)),"")</f>
        <v/>
      </c>
    </row>
    <row r="19" spans="2:16" ht="18.75" customHeight="1">
      <c r="B19" s="18" t="str">
        <f>IFERROR(INDEX(DATA2028!B$2:B$401,MATCH(2,DATA2028!I$2:I$401,0)),"")</f>
        <v/>
      </c>
      <c r="C19" s="19" t="str">
        <f>IFERROR(INDEX(DATA2028!C$2:C$401,MATCH(2,DATA2028!I$2:I$401,0)),"")</f>
        <v/>
      </c>
      <c r="D19" s="19" t="str">
        <f>IFERROR(INDEX(DATA2028!D$2:D$401,MATCH(2,DATA2028!I$2:I$401,0)),"")</f>
        <v/>
      </c>
      <c r="F19" s="18" t="str">
        <f>IFERROR(INDEX(DATA2028!B$2:B$401,MATCH(2,DATA2028!J$2:J$401,0)),"")</f>
        <v/>
      </c>
      <c r="G19" s="19" t="str">
        <f>IFERROR(INDEX(DATA2028!C$2:C$401,MATCH(2,DATA2028!J$2:J$401,0)),"")</f>
        <v/>
      </c>
      <c r="H19" s="19" t="str">
        <f>IFERROR(INDEX(DATA2028!D$2:D$401,MATCH(2,DATA2028!J$2:J$401,0)),"")</f>
        <v/>
      </c>
      <c r="J19" s="18" t="str">
        <f>IFERROR(INDEX(DATA2028!B$2:B$401,MATCH(2,DATA2028!K$2:K$401,0)),"")</f>
        <v/>
      </c>
      <c r="K19" s="19" t="str">
        <f>IFERROR(INDEX(DATA2028!C$2:C$401,MATCH(2,DATA2028!K$2:K$401,0)),"")</f>
        <v/>
      </c>
      <c r="L19" s="19" t="str">
        <f>IFERROR(INDEX(DATA2028!D$2:D$401,MATCH(2,DATA2028!K$2:K$401,0)),"")</f>
        <v/>
      </c>
      <c r="N19" s="18" t="str">
        <f>IFERROR(INDEX(DATA2028!B$2:B$401,MATCH(2,DATA2028!L$2:L$401,0)),"")</f>
        <v/>
      </c>
      <c r="O19" s="19" t="str">
        <f>IFERROR(INDEX(DATA2028!C$2:C$401,MATCH(2,DATA2028!L$2:L$401,0)),"")</f>
        <v/>
      </c>
      <c r="P19" s="19" t="str">
        <f>IFERROR(INDEX(DATA2028!D$2:D$401,MATCH(2,DATA2028!L$2:L$401,0)),"")</f>
        <v/>
      </c>
    </row>
    <row r="20" spans="2:16" ht="18.75" customHeight="1">
      <c r="B20" s="16" t="str">
        <f>IFERROR(INDEX(DATA2028!B$2:B$401,MATCH(3,DATA2028!I$2:I$401,0)),"")</f>
        <v/>
      </c>
      <c r="C20" s="17" t="str">
        <f>IFERROR(INDEX(DATA2028!C$2:C$401,MATCH(3,DATA2028!I$2:I$401,0)),"")</f>
        <v/>
      </c>
      <c r="D20" s="17" t="str">
        <f>IFERROR(INDEX(DATA2028!D$2:D$401,MATCH(3,DATA2028!I$2:I$401,0)),"")</f>
        <v/>
      </c>
      <c r="F20" s="16" t="str">
        <f>IFERROR(INDEX(DATA2028!B$2:B$401,MATCH(3,DATA2028!J$2:J$401,0)),"")</f>
        <v/>
      </c>
      <c r="G20" s="17" t="str">
        <f>IFERROR(INDEX(DATA2028!C$2:C$401,MATCH(3,DATA2028!J$2:J$401,0)),"")</f>
        <v/>
      </c>
      <c r="H20" s="17" t="str">
        <f>IFERROR(INDEX(DATA2028!D$2:D$401,MATCH(3,DATA2028!J$2:J$401,0)),"")</f>
        <v/>
      </c>
      <c r="J20" s="16" t="str">
        <f>IFERROR(INDEX(DATA2028!B$2:B$401,MATCH(3,DATA2028!K$2:K$401,0)),"")</f>
        <v/>
      </c>
      <c r="K20" s="17" t="str">
        <f>IFERROR(INDEX(DATA2028!C$2:C$401,MATCH(3,DATA2028!K$2:K$401,0)),"")</f>
        <v/>
      </c>
      <c r="L20" s="17" t="str">
        <f>IFERROR(INDEX(DATA2028!D$2:D$401,MATCH(3,DATA2028!K$2:K$401,0)),"")</f>
        <v/>
      </c>
      <c r="N20" s="16" t="str">
        <f>IFERROR(INDEX(DATA2028!B$2:B$401,MATCH(3,DATA2028!L$2:L$401,0)),"")</f>
        <v/>
      </c>
      <c r="O20" s="17" t="str">
        <f>IFERROR(INDEX(DATA2028!C$2:C$401,MATCH(3,DATA2028!L$2:L$401,0)),"")</f>
        <v/>
      </c>
      <c r="P20" s="17" t="str">
        <f>IFERROR(INDEX(DATA2028!D$2:D$401,MATCH(3,DATA2028!L$2:L$401,0)),"")</f>
        <v/>
      </c>
    </row>
    <row r="21" spans="2:16" ht="18.75" customHeight="1">
      <c r="B21" s="18" t="str">
        <f>IFERROR(INDEX(DATA2028!B$2:B$401,MATCH(4,DATA2028!I$2:I$401,0)),"")</f>
        <v/>
      </c>
      <c r="C21" s="19" t="str">
        <f>IFERROR(INDEX(DATA2028!C$2:C$401,MATCH(4,DATA2028!I$2:I$401,0)),"")</f>
        <v/>
      </c>
      <c r="D21" s="19" t="str">
        <f>IFERROR(INDEX(DATA2028!D$2:D$401,MATCH(4,DATA2028!I$2:I$401,0)),"")</f>
        <v/>
      </c>
      <c r="F21" s="18" t="str">
        <f>IFERROR(INDEX(DATA2028!B$2:B$401,MATCH(4,DATA2028!J$2:J$401,0)),"")</f>
        <v/>
      </c>
      <c r="G21" s="19" t="str">
        <f>IFERROR(INDEX(DATA2028!C$2:C$401,MATCH(4,DATA2028!J$2:J$401,0)),"")</f>
        <v/>
      </c>
      <c r="H21" s="19" t="str">
        <f>IFERROR(INDEX(DATA2028!D$2:D$401,MATCH(4,DATA2028!J$2:J$401,0)),"")</f>
        <v/>
      </c>
      <c r="J21" s="18" t="str">
        <f>IFERROR(INDEX(DATA2028!B$2:B$401,MATCH(4,DATA2028!K$2:K$401,0)),"")</f>
        <v/>
      </c>
      <c r="K21" s="19" t="str">
        <f>IFERROR(INDEX(DATA2028!C$2:C$401,MATCH(4,DATA2028!K$2:K$401,0)),"")</f>
        <v/>
      </c>
      <c r="L21" s="19" t="str">
        <f>IFERROR(INDEX(DATA2028!D$2:D$401,MATCH(4,DATA2028!K$2:K$401,0)),"")</f>
        <v/>
      </c>
      <c r="N21" s="18" t="str">
        <f>IFERROR(INDEX(DATA2028!B$2:B$401,MATCH(4,DATA2028!L$2:L$401,0)),"")</f>
        <v/>
      </c>
      <c r="O21" s="19" t="str">
        <f>IFERROR(INDEX(DATA2028!C$2:C$401,MATCH(4,DATA2028!L$2:L$401,0)),"")</f>
        <v/>
      </c>
      <c r="P21" s="19" t="str">
        <f>IFERROR(INDEX(DATA2028!D$2:D$401,MATCH(4,DATA2028!L$2:L$401,0)),"")</f>
        <v/>
      </c>
    </row>
    <row r="22" spans="2:16" ht="18.75" customHeight="1">
      <c r="B22" s="16" t="str">
        <f>IFERROR(INDEX(DATA2028!B$2:B$401,MATCH(5,DATA2028!I$2:I$401,0)),"")</f>
        <v/>
      </c>
      <c r="C22" s="17" t="str">
        <f>IFERROR(INDEX(DATA2028!C$2:C$401,MATCH(5,DATA2028!I$2:I$401,0)),"")</f>
        <v/>
      </c>
      <c r="D22" s="17" t="str">
        <f>IFERROR(INDEX(DATA2028!D$2:D$401,MATCH(5,DATA2028!I$2:I$401,0)),"")</f>
        <v/>
      </c>
      <c r="F22" s="16" t="str">
        <f>IFERROR(INDEX(DATA2028!B$2:B$401,MATCH(5,DATA2028!J$2:J$401,0)),"")</f>
        <v/>
      </c>
      <c r="G22" s="17" t="str">
        <f>IFERROR(INDEX(DATA2028!C$2:C$401,MATCH(5,DATA2028!J$2:J$401,0)),"")</f>
        <v/>
      </c>
      <c r="H22" s="17" t="str">
        <f>IFERROR(INDEX(DATA2028!D$2:D$401,MATCH(5,DATA2028!J$2:J$401,0)),"")</f>
        <v/>
      </c>
      <c r="J22" s="16" t="str">
        <f>IFERROR(INDEX(DATA2028!B$2:B$401,MATCH(5,DATA2028!K$2:K$401,0)),"")</f>
        <v/>
      </c>
      <c r="K22" s="17" t="str">
        <f>IFERROR(INDEX(DATA2028!C$2:C$401,MATCH(5,DATA2028!K$2:K$401,0)),"")</f>
        <v/>
      </c>
      <c r="L22" s="17" t="str">
        <f>IFERROR(INDEX(DATA2028!D$2:D$401,MATCH(5,DATA2028!K$2:K$401,0)),"")</f>
        <v/>
      </c>
      <c r="N22" s="16" t="str">
        <f>IFERROR(INDEX(DATA2028!B$2:B$401,MATCH(5,DATA2028!L$2:L$401,0)),"")</f>
        <v/>
      </c>
      <c r="O22" s="17" t="str">
        <f>IFERROR(INDEX(DATA2028!C$2:C$401,MATCH(5,DATA2028!L$2:L$401,0)),"")</f>
        <v/>
      </c>
      <c r="P22" s="17" t="str">
        <f>IFERROR(INDEX(DATA2028!D$2:D$401,MATCH(5,DATA2028!L$2:L$401,0)),"")</f>
        <v/>
      </c>
    </row>
    <row r="23" spans="2:16" ht="18.75" customHeight="1">
      <c r="B23" s="18" t="str">
        <f>IFERROR(INDEX(DATA2028!B$2:B$401,MATCH(6,DATA2028!I$2:I$401,0)),"")</f>
        <v/>
      </c>
      <c r="C23" s="19" t="str">
        <f>IFERROR(INDEX(DATA2028!C$2:C$401,MATCH(6,DATA2028!I$2:I$401,0)),"")</f>
        <v/>
      </c>
      <c r="D23" s="19" t="str">
        <f>IFERROR(INDEX(DATA2028!D$2:D$401,MATCH(6,DATA2028!I$2:I$401,0)),"")</f>
        <v/>
      </c>
      <c r="F23" s="18" t="str">
        <f>IFERROR(INDEX(DATA2028!B$2:B$401,MATCH(6,DATA2028!J$2:J$401,0)),"")</f>
        <v/>
      </c>
      <c r="G23" s="19" t="str">
        <f>IFERROR(INDEX(DATA2028!C$2:C$401,MATCH(6,DATA2028!J$2:J$401,0)),"")</f>
        <v/>
      </c>
      <c r="H23" s="19" t="str">
        <f>IFERROR(INDEX(DATA2028!D$2:D$401,MATCH(6,DATA2028!J$2:J$401,0)),"")</f>
        <v/>
      </c>
      <c r="J23" s="18" t="str">
        <f>IFERROR(INDEX(DATA2028!B$2:B$401,MATCH(6,DATA2028!K$2:K$401,0)),"")</f>
        <v/>
      </c>
      <c r="K23" s="19" t="str">
        <f>IFERROR(INDEX(DATA2028!C$2:C$401,MATCH(6,DATA2028!K$2:K$401,0)),"")</f>
        <v/>
      </c>
      <c r="L23" s="19" t="str">
        <f>IFERROR(INDEX(DATA2028!D$2:D$401,MATCH(6,DATA2028!K$2:K$401,0)),"")</f>
        <v/>
      </c>
      <c r="N23" s="18" t="str">
        <f>IFERROR(INDEX(DATA2028!B$2:B$401,MATCH(6,DATA2028!L$2:L$401,0)),"")</f>
        <v/>
      </c>
      <c r="O23" s="19" t="str">
        <f>IFERROR(INDEX(DATA2028!C$2:C$401,MATCH(6,DATA2028!L$2:L$401,0)),"")</f>
        <v/>
      </c>
      <c r="P23" s="19" t="str">
        <f>IFERROR(INDEX(DATA2028!D$2:D$401,MATCH(6,DATA2028!L$2:L$401,0)),"")</f>
        <v/>
      </c>
    </row>
    <row r="24" spans="2:16" ht="18.75" customHeight="1">
      <c r="B24" s="16" t="str">
        <f>IFERROR(INDEX(DATA2028!B$2:B$401,MATCH(7,DATA2028!I$2:I$401,0)),"")</f>
        <v/>
      </c>
      <c r="C24" s="17" t="str">
        <f>IFERROR(INDEX(DATA2028!C$2:C$401,MATCH(7,DATA2028!I$2:I$401,0)),"")</f>
        <v/>
      </c>
      <c r="D24" s="17" t="str">
        <f>IFERROR(INDEX(DATA2028!D$2:D$401,MATCH(7,DATA2028!I$2:I$401,0)),"")</f>
        <v/>
      </c>
      <c r="F24" s="16" t="str">
        <f>IFERROR(INDEX(DATA2028!B$2:B$401,MATCH(7,DATA2028!J$2:J$401,0)),"")</f>
        <v/>
      </c>
      <c r="G24" s="17" t="str">
        <f>IFERROR(INDEX(DATA2028!C$2:C$401,MATCH(7,DATA2028!J$2:J$401,0)),"")</f>
        <v/>
      </c>
      <c r="H24" s="17" t="str">
        <f>IFERROR(INDEX(DATA2028!D$2:D$401,MATCH(7,DATA2028!J$2:J$401,0)),"")</f>
        <v/>
      </c>
      <c r="J24" s="16" t="str">
        <f>IFERROR(INDEX(DATA2028!B$2:B$401,MATCH(7,DATA2028!K$2:K$401,0)),"")</f>
        <v/>
      </c>
      <c r="K24" s="17" t="str">
        <f>IFERROR(INDEX(DATA2028!C$2:C$401,MATCH(7,DATA2028!K$2:K$401,0)),"")</f>
        <v/>
      </c>
      <c r="L24" s="17" t="str">
        <f>IFERROR(INDEX(DATA2028!D$2:D$401,MATCH(7,DATA2028!K$2:K$401,0)),"")</f>
        <v/>
      </c>
      <c r="N24" s="16" t="str">
        <f>IFERROR(INDEX(DATA2028!B$2:B$401,MATCH(7,DATA2028!L$2:L$401,0)),"")</f>
        <v/>
      </c>
      <c r="O24" s="17" t="str">
        <f>IFERROR(INDEX(DATA2028!C$2:C$401,MATCH(7,DATA2028!L$2:L$401,0)),"")</f>
        <v/>
      </c>
      <c r="P24" s="17" t="str">
        <f>IFERROR(INDEX(DATA2028!D$2:D$401,MATCH(7,DATA2028!L$2:L$401,0)),"")</f>
        <v/>
      </c>
    </row>
    <row r="25" spans="2:16" ht="18.75" customHeight="1">
      <c r="B25" s="18" t="str">
        <f>IFERROR(INDEX(DATA2028!B$2:B$401,MATCH(8,DATA2028!I$2:I$401,0)),"")</f>
        <v/>
      </c>
      <c r="C25" s="19" t="str">
        <f>IFERROR(INDEX(DATA2028!C$2:C$401,MATCH(8,DATA2028!I$2:I$401,0)),"")</f>
        <v/>
      </c>
      <c r="D25" s="19" t="str">
        <f>IFERROR(INDEX(DATA2028!D$2:D$401,MATCH(8,DATA2028!I$2:I$401,0)),"")</f>
        <v/>
      </c>
      <c r="F25" s="18" t="str">
        <f>IFERROR(INDEX(DATA2028!B$2:B$401,MATCH(8,DATA2028!J$2:J$401,0)),"")</f>
        <v/>
      </c>
      <c r="G25" s="19" t="str">
        <f>IFERROR(INDEX(DATA2028!C$2:C$401,MATCH(8,DATA2028!J$2:J$401,0)),"")</f>
        <v/>
      </c>
      <c r="H25" s="19" t="str">
        <f>IFERROR(INDEX(DATA2028!D$2:D$401,MATCH(8,DATA2028!J$2:J$401,0)),"")</f>
        <v/>
      </c>
      <c r="J25" s="18" t="str">
        <f>IFERROR(INDEX(DATA2028!B$2:B$401,MATCH(8,DATA2028!K$2:K$401,0)),"")</f>
        <v/>
      </c>
      <c r="K25" s="19" t="str">
        <f>IFERROR(INDEX(DATA2028!C$2:C$401,MATCH(8,DATA2028!K$2:K$401,0)),"")</f>
        <v/>
      </c>
      <c r="L25" s="19" t="str">
        <f>IFERROR(INDEX(DATA2028!D$2:D$401,MATCH(8,DATA2028!K$2:K$401,0)),"")</f>
        <v/>
      </c>
      <c r="N25" s="18" t="str">
        <f>IFERROR(INDEX(DATA2028!B$2:B$401,MATCH(8,DATA2028!L$2:L$401,0)),"")</f>
        <v/>
      </c>
      <c r="O25" s="19" t="str">
        <f>IFERROR(INDEX(DATA2028!C$2:C$401,MATCH(8,DATA2028!L$2:L$401,0)),"")</f>
        <v/>
      </c>
      <c r="P25" s="19" t="str">
        <f>IFERROR(INDEX(DATA2028!D$2:D$401,MATCH(8,DATA2028!L$2:L$401,0)),"")</f>
        <v/>
      </c>
    </row>
    <row r="26" spans="2:16" ht="18.75" customHeight="1">
      <c r="B26" s="16" t="str">
        <f>IFERROR(INDEX(DATA2028!B$2:B$401,MATCH(9,DATA2028!I$2:I$401,0)),"")</f>
        <v/>
      </c>
      <c r="C26" s="17" t="str">
        <f>IFERROR(INDEX(DATA2028!C$2:C$401,MATCH(9,DATA2028!I$2:I$401,0)),"")</f>
        <v/>
      </c>
      <c r="D26" s="17" t="str">
        <f>IFERROR(INDEX(DATA2028!D$2:D$401,MATCH(9,DATA2028!I$2:I$401,0)),"")</f>
        <v/>
      </c>
      <c r="F26" s="16" t="str">
        <f>IFERROR(INDEX(DATA2028!B$2:B$401,MATCH(9,DATA2028!J$2:J$401,0)),"")</f>
        <v/>
      </c>
      <c r="G26" s="17" t="str">
        <f>IFERROR(INDEX(DATA2028!C$2:C$401,MATCH(9,DATA2028!J$2:J$401,0)),"")</f>
        <v/>
      </c>
      <c r="H26" s="17" t="str">
        <f>IFERROR(INDEX(DATA2028!D$2:D$401,MATCH(9,DATA2028!J$2:J$401,0)),"")</f>
        <v/>
      </c>
      <c r="J26" s="16" t="str">
        <f>IFERROR(INDEX(DATA2028!B$2:B$401,MATCH(9,DATA2028!K$2:K$401,0)),"")</f>
        <v/>
      </c>
      <c r="K26" s="17" t="str">
        <f>IFERROR(INDEX(DATA2028!C$2:C$401,MATCH(9,DATA2028!K$2:K$401,0)),"")</f>
        <v/>
      </c>
      <c r="L26" s="17" t="str">
        <f>IFERROR(INDEX(DATA2028!D$2:D$401,MATCH(9,DATA2028!K$2:K$401,0)),"")</f>
        <v/>
      </c>
      <c r="N26" s="16" t="str">
        <f>IFERROR(INDEX(DATA2028!B$2:B$401,MATCH(9,DATA2028!L$2:L$401,0)),"")</f>
        <v/>
      </c>
      <c r="O26" s="17" t="str">
        <f>IFERROR(INDEX(DATA2028!C$2:C$401,MATCH(9,DATA2028!L$2:L$401,0)),"")</f>
        <v/>
      </c>
      <c r="P26" s="17" t="str">
        <f>IFERROR(INDEX(DATA2028!D$2:D$401,MATCH(9,DATA2028!L$2:L$401,0)),"")</f>
        <v/>
      </c>
    </row>
    <row r="27" spans="2:16" ht="18.75" customHeight="1">
      <c r="B27" s="18" t="str">
        <f>IFERROR(INDEX(DATA2028!B$2:B$401,MATCH(10,DATA2028!I$2:I$401,0)),"")</f>
        <v/>
      </c>
      <c r="C27" s="19" t="str">
        <f>IFERROR(INDEX(DATA2028!C$2:C$401,MATCH(10,DATA2028!I$2:I$401,0)),"")</f>
        <v/>
      </c>
      <c r="D27" s="19" t="str">
        <f>IFERROR(INDEX(DATA2028!D$2:D$401,MATCH(10,DATA2028!I$2:I$401,0)),"")</f>
        <v/>
      </c>
      <c r="F27" s="18" t="str">
        <f>IFERROR(INDEX(DATA2028!B$2:B$401,MATCH(10,DATA2028!J$2:J$401,0)),"")</f>
        <v/>
      </c>
      <c r="G27" s="19" t="str">
        <f>IFERROR(INDEX(DATA2028!C$2:C$401,MATCH(10,DATA2028!J$2:J$401,0)),"")</f>
        <v/>
      </c>
      <c r="H27" s="19" t="str">
        <f>IFERROR(INDEX(DATA2028!D$2:D$401,MATCH(10,DATA2028!J$2:J$401,0)),"")</f>
        <v/>
      </c>
      <c r="J27" s="18" t="str">
        <f>IFERROR(INDEX(DATA2028!B$2:B$401,MATCH(10,DATA2028!K$2:K$401,0)),"")</f>
        <v/>
      </c>
      <c r="K27" s="19" t="str">
        <f>IFERROR(INDEX(DATA2028!C$2:C$401,MATCH(10,DATA2028!K$2:K$401,0)),"")</f>
        <v/>
      </c>
      <c r="L27" s="19" t="str">
        <f>IFERROR(INDEX(DATA2028!D$2:D$401,MATCH(10,DATA2028!K$2:K$401,0)),"")</f>
        <v/>
      </c>
      <c r="N27" s="18" t="str">
        <f>IFERROR(INDEX(DATA2028!B$2:B$401,MATCH(10,DATA2028!L$2:L$401,0)),"")</f>
        <v/>
      </c>
      <c r="O27" s="19" t="str">
        <f>IFERROR(INDEX(DATA2028!C$2:C$401,MATCH(10,DATA2028!L$2:L$401,0)),"")</f>
        <v/>
      </c>
      <c r="P27" s="19" t="str">
        <f>IFERROR(INDEX(DATA2028!D$2:D$401,MATCH(10,DATA2028!L$2:L$401,0)),"")</f>
        <v/>
      </c>
    </row>
    <row r="28" spans="2:16" ht="18.75" customHeight="1">
      <c r="B28" s="16" t="str">
        <f>IFERROR(INDEX(DATA2028!B$2:B$401,MATCH(11,DATA2028!I$2:I$401,0)),"")</f>
        <v/>
      </c>
      <c r="C28" s="17" t="str">
        <f>IFERROR(INDEX(DATA2028!C$2:C$401,MATCH(11,DATA2028!I$2:I$401,0)),"")</f>
        <v/>
      </c>
      <c r="D28" s="17" t="str">
        <f>IFERROR(INDEX(DATA2028!D$2:D$401,MATCH(11,DATA2028!I$2:I$401,0)),"")</f>
        <v/>
      </c>
      <c r="F28" s="16" t="str">
        <f>IFERROR(INDEX(DATA2028!B$2:B$401,MATCH(11,DATA2028!J$2:J$401,0)),"")</f>
        <v/>
      </c>
      <c r="G28" s="17" t="str">
        <f>IFERROR(INDEX(DATA2028!C$2:C$401,MATCH(11,DATA2028!J$2:J$401,0)),"")</f>
        <v/>
      </c>
      <c r="H28" s="17" t="str">
        <f>IFERROR(INDEX(DATA2028!D$2:D$401,MATCH(11,DATA2028!J$2:J$401,0)),"")</f>
        <v/>
      </c>
      <c r="J28" s="16" t="str">
        <f>IFERROR(INDEX(DATA2028!B$2:B$401,MATCH(11,DATA2028!K$2:K$401,0)),"")</f>
        <v/>
      </c>
      <c r="K28" s="17" t="str">
        <f>IFERROR(INDEX(DATA2028!C$2:C$401,MATCH(11,DATA2028!K$2:K$401,0)),"")</f>
        <v/>
      </c>
      <c r="L28" s="17" t="str">
        <f>IFERROR(INDEX(DATA2028!D$2:D$401,MATCH(11,DATA2028!K$2:K$401,0)),"")</f>
        <v/>
      </c>
      <c r="N28" s="16" t="str">
        <f>IFERROR(INDEX(DATA2028!B$2:B$401,MATCH(11,DATA2028!L$2:L$401,0)),"")</f>
        <v/>
      </c>
      <c r="O28" s="17" t="str">
        <f>IFERROR(INDEX(DATA2028!C$2:C$401,MATCH(11,DATA2028!L$2:L$401,0)),"")</f>
        <v/>
      </c>
      <c r="P28" s="17" t="str">
        <f>IFERROR(INDEX(DATA2028!D$2:D$401,MATCH(11,DATA2028!L$2:L$401,0)),"")</f>
        <v/>
      </c>
    </row>
    <row r="29" spans="2:16" ht="18.75" customHeight="1">
      <c r="B29" s="18" t="str">
        <f>IFERROR(INDEX(DATA2028!B$2:B$401,MATCH(12,DATA2028!I$2:I$401,0)),"")</f>
        <v/>
      </c>
      <c r="C29" s="19" t="str">
        <f>IFERROR(INDEX(DATA2028!C$2:C$401,MATCH(12,DATA2028!I$2:I$401,0)),"")</f>
        <v/>
      </c>
      <c r="D29" s="19" t="str">
        <f>IFERROR(INDEX(DATA2028!D$2:D$401,MATCH(12,DATA2028!I$2:I$401,0)),"")</f>
        <v/>
      </c>
      <c r="F29" s="18" t="str">
        <f>IFERROR(INDEX(DATA2028!B$2:B$401,MATCH(12,DATA2028!J$2:J$401,0)),"")</f>
        <v/>
      </c>
      <c r="G29" s="19" t="str">
        <f>IFERROR(INDEX(DATA2028!C$2:C$401,MATCH(12,DATA2028!J$2:J$401,0)),"")</f>
        <v/>
      </c>
      <c r="H29" s="19" t="str">
        <f>IFERROR(INDEX(DATA2028!D$2:D$401,MATCH(12,DATA2028!J$2:J$401,0)),"")</f>
        <v/>
      </c>
      <c r="J29" s="18" t="str">
        <f>IFERROR(INDEX(DATA2028!B$2:B$401,MATCH(12,DATA2028!K$2:K$401,0)),"")</f>
        <v/>
      </c>
      <c r="K29" s="19" t="str">
        <f>IFERROR(INDEX(DATA2028!C$2:C$401,MATCH(12,DATA2028!K$2:K$401,0)),"")</f>
        <v/>
      </c>
      <c r="L29" s="19" t="str">
        <f>IFERROR(INDEX(DATA2028!D$2:D$401,MATCH(12,DATA2028!K$2:K$401,0)),"")</f>
        <v/>
      </c>
      <c r="N29" s="18" t="str">
        <f>IFERROR(INDEX(DATA2028!B$2:B$401,MATCH(12,DATA2028!L$2:L$401,0)),"")</f>
        <v/>
      </c>
      <c r="O29" s="19" t="str">
        <f>IFERROR(INDEX(DATA2028!C$2:C$401,MATCH(12,DATA2028!L$2:L$401,0)),"")</f>
        <v/>
      </c>
      <c r="P29" s="19" t="str">
        <f>IFERROR(INDEX(DATA2028!D$2:D$401,MATCH(12,DATA2028!L$2:L$401,0)),"")</f>
        <v/>
      </c>
    </row>
    <row r="30" spans="2:16" ht="18.75" customHeight="1">
      <c r="B30" s="16" t="str">
        <f>IFERROR(INDEX(DATA2028!B$2:B$401,MATCH(13,DATA2028!I$2:I$401,0)),"")</f>
        <v/>
      </c>
      <c r="C30" s="17" t="str">
        <f>IFERROR(INDEX(DATA2028!C$2:C$401,MATCH(13,DATA2028!I$2:I$401,0)),"")</f>
        <v/>
      </c>
      <c r="D30" s="17" t="str">
        <f>IFERROR(INDEX(DATA2028!D$2:D$401,MATCH(13,DATA2028!I$2:I$401,0)),"")</f>
        <v/>
      </c>
      <c r="F30" s="16" t="str">
        <f>IFERROR(INDEX(DATA2028!B$2:B$401,MATCH(13,DATA2028!J$2:J$401,0)),"")</f>
        <v/>
      </c>
      <c r="G30" s="17" t="str">
        <f>IFERROR(INDEX(DATA2028!C$2:C$401,MATCH(13,DATA2028!J$2:J$401,0)),"")</f>
        <v/>
      </c>
      <c r="H30" s="17" t="str">
        <f>IFERROR(INDEX(DATA2028!D$2:D$401,MATCH(13,DATA2028!J$2:J$401,0)),"")</f>
        <v/>
      </c>
      <c r="J30" s="16" t="str">
        <f>IFERROR(INDEX(DATA2028!B$2:B$401,MATCH(13,DATA2028!K$2:K$401,0)),"")</f>
        <v/>
      </c>
      <c r="K30" s="17" t="str">
        <f>IFERROR(INDEX(DATA2028!C$2:C$401,MATCH(13,DATA2028!K$2:K$401,0)),"")</f>
        <v/>
      </c>
      <c r="L30" s="17" t="str">
        <f>IFERROR(INDEX(DATA2028!D$2:D$401,MATCH(13,DATA2028!K$2:K$401,0)),"")</f>
        <v/>
      </c>
      <c r="N30" s="16" t="str">
        <f>IFERROR(INDEX(DATA2028!B$2:B$401,MATCH(13,DATA2028!L$2:L$401,0)),"")</f>
        <v/>
      </c>
      <c r="O30" s="17" t="str">
        <f>IFERROR(INDEX(DATA2028!C$2:C$401,MATCH(13,DATA2028!L$2:L$401,0)),"")</f>
        <v/>
      </c>
      <c r="P30" s="17" t="str">
        <f>IFERROR(INDEX(DATA2028!D$2:D$401,MATCH(13,DATA2028!L$2:L$401,0)),"")</f>
        <v/>
      </c>
    </row>
    <row r="31" spans="2:16" ht="18.75" customHeight="1">
      <c r="B31" s="18" t="str">
        <f>IFERROR(INDEX(DATA2028!B$2:B$401,MATCH(14,DATA2028!I$2:I$401,0)),"")</f>
        <v/>
      </c>
      <c r="C31" s="19" t="str">
        <f>IFERROR(INDEX(DATA2028!C$2:C$401,MATCH(14,DATA2028!I$2:I$401,0)),"")</f>
        <v/>
      </c>
      <c r="D31" s="19" t="str">
        <f>IFERROR(INDEX(DATA2028!D$2:D$401,MATCH(14,DATA2028!I$2:I$401,0)),"")</f>
        <v/>
      </c>
      <c r="F31" s="18" t="str">
        <f>IFERROR(INDEX(DATA2028!B$2:B$401,MATCH(14,DATA2028!J$2:J$401,0)),"")</f>
        <v/>
      </c>
      <c r="G31" s="19" t="str">
        <f>IFERROR(INDEX(DATA2028!C$2:C$401,MATCH(14,DATA2028!J$2:J$401,0)),"")</f>
        <v/>
      </c>
      <c r="H31" s="19" t="str">
        <f>IFERROR(INDEX(DATA2028!D$2:D$401,MATCH(14,DATA2028!J$2:J$401,0)),"")</f>
        <v/>
      </c>
      <c r="J31" s="18" t="str">
        <f>IFERROR(INDEX(DATA2028!B$2:B$401,MATCH(14,DATA2028!K$2:K$401,0)),"")</f>
        <v/>
      </c>
      <c r="K31" s="19" t="str">
        <f>IFERROR(INDEX(DATA2028!C$2:C$401,MATCH(14,DATA2028!K$2:K$401,0)),"")</f>
        <v/>
      </c>
      <c r="L31" s="19" t="str">
        <f>IFERROR(INDEX(DATA2028!D$2:D$401,MATCH(14,DATA2028!K$2:K$401,0)),"")</f>
        <v/>
      </c>
      <c r="N31" s="18" t="str">
        <f>IFERROR(INDEX(DATA2028!B$2:B$401,MATCH(14,DATA2028!L$2:L$401,0)),"")</f>
        <v/>
      </c>
      <c r="O31" s="19" t="str">
        <f>IFERROR(INDEX(DATA2028!C$2:C$401,MATCH(14,DATA2028!L$2:L$401,0)),"")</f>
        <v/>
      </c>
      <c r="P31" s="19" t="str">
        <f>IFERROR(INDEX(DATA2028!D$2:D$401,MATCH(14,DATA2028!L$2:L$401,0)),"")</f>
        <v/>
      </c>
    </row>
    <row r="32" spans="2:16" ht="18.75" customHeight="1">
      <c r="B32" s="16" t="str">
        <f>IFERROR(INDEX(DATA2028!B$2:B$401,MATCH(15,DATA2028!I$2:I$401,0)),"")</f>
        <v/>
      </c>
      <c r="C32" s="17" t="str">
        <f>IFERROR(INDEX(DATA2028!C$2:C$401,MATCH(15,DATA2028!I$2:I$401,0)),"")</f>
        <v/>
      </c>
      <c r="D32" s="17" t="str">
        <f>IFERROR(INDEX(DATA2028!D$2:D$401,MATCH(15,DATA2028!I$2:I$401,0)),"")</f>
        <v/>
      </c>
      <c r="F32" s="16" t="str">
        <f>IFERROR(INDEX(DATA2028!B$2:B$401,MATCH(15,DATA2028!J$2:J$401,0)),"")</f>
        <v/>
      </c>
      <c r="G32" s="17" t="str">
        <f>IFERROR(INDEX(DATA2028!C$2:C$401,MATCH(15,DATA2028!J$2:J$401,0)),"")</f>
        <v/>
      </c>
      <c r="H32" s="17" t="str">
        <f>IFERROR(INDEX(DATA2028!D$2:D$401,MATCH(15,DATA2028!J$2:J$401,0)),"")</f>
        <v/>
      </c>
      <c r="J32" s="16" t="str">
        <f>IFERROR(INDEX(DATA2028!B$2:B$401,MATCH(15,DATA2028!K$2:K$401,0)),"")</f>
        <v/>
      </c>
      <c r="K32" s="17" t="str">
        <f>IFERROR(INDEX(DATA2028!C$2:C$401,MATCH(15,DATA2028!K$2:K$401,0)),"")</f>
        <v/>
      </c>
      <c r="L32" s="17" t="str">
        <f>IFERROR(INDEX(DATA2028!D$2:D$401,MATCH(15,DATA2028!K$2:K$401,0)),"")</f>
        <v/>
      </c>
      <c r="N32" s="16" t="str">
        <f>IFERROR(INDEX(DATA2028!B$2:B$401,MATCH(15,DATA2028!L$2:L$401,0)),"")</f>
        <v/>
      </c>
      <c r="O32" s="17" t="str">
        <f>IFERROR(INDEX(DATA2028!C$2:C$401,MATCH(15,DATA2028!L$2:L$401,0)),"")</f>
        <v/>
      </c>
      <c r="P32" s="17" t="str">
        <f>IFERROR(INDEX(DATA2028!D$2:D$401,MATCH(15,DATA2028!L$2:L$401,0)),"")</f>
        <v/>
      </c>
    </row>
    <row r="33" spans="2:16" ht="18.75" customHeight="1">
      <c r="B33" s="18" t="str">
        <f>IFERROR(INDEX(DATA2028!B$2:B$401,MATCH(16,DATA2028!I$2:I$401,0)),"")</f>
        <v/>
      </c>
      <c r="C33" s="19" t="str">
        <f>IFERROR(INDEX(DATA2028!C$2:C$401,MATCH(16,DATA2028!I$2:I$401,0)),"")</f>
        <v/>
      </c>
      <c r="D33" s="19" t="str">
        <f>IFERROR(INDEX(DATA2028!D$2:D$401,MATCH(16,DATA2028!I$2:I$401,0)),"")</f>
        <v/>
      </c>
      <c r="F33" s="18" t="str">
        <f>IFERROR(INDEX(DATA2028!B$2:B$401,MATCH(16,DATA2028!J$2:J$401,0)),"")</f>
        <v/>
      </c>
      <c r="G33" s="19" t="str">
        <f>IFERROR(INDEX(DATA2028!C$2:C$401,MATCH(16,DATA2028!J$2:J$401,0)),"")</f>
        <v/>
      </c>
      <c r="H33" s="19" t="str">
        <f>IFERROR(INDEX(DATA2028!D$2:D$401,MATCH(16,DATA2028!J$2:J$401,0)),"")</f>
        <v/>
      </c>
      <c r="J33" s="18" t="str">
        <f>IFERROR(INDEX(DATA2028!B$2:B$401,MATCH(16,DATA2028!K$2:K$401,0)),"")</f>
        <v/>
      </c>
      <c r="K33" s="19" t="str">
        <f>IFERROR(INDEX(DATA2028!C$2:C$401,MATCH(16,DATA2028!K$2:K$401,0)),"")</f>
        <v/>
      </c>
      <c r="L33" s="19" t="str">
        <f>IFERROR(INDEX(DATA2028!D$2:D$401,MATCH(16,DATA2028!K$2:K$401,0)),"")</f>
        <v/>
      </c>
      <c r="N33" s="18" t="str">
        <f>IFERROR(INDEX(DATA2028!B$2:B$401,MATCH(16,DATA2028!L$2:L$401,0)),"")</f>
        <v/>
      </c>
      <c r="O33" s="19" t="str">
        <f>IFERROR(INDEX(DATA2028!C$2:C$401,MATCH(16,DATA2028!L$2:L$401,0)),"")</f>
        <v/>
      </c>
      <c r="P33" s="19" t="str">
        <f>IFERROR(INDEX(DATA2028!D$2:D$401,MATCH(16,DATA2028!L$2:L$401,0)),"")</f>
        <v/>
      </c>
    </row>
    <row r="34" spans="2:16" ht="18.75" customHeight="1">
      <c r="B34" s="16" t="str">
        <f>IFERROR(INDEX(DATA2028!B$2:B$401,MATCH(17,DATA2028!I$2:I$401,0)),"")</f>
        <v/>
      </c>
      <c r="C34" s="17" t="str">
        <f>IFERROR(INDEX(DATA2028!C$2:C$401,MATCH(17,DATA2028!I$2:I$401,0)),"")</f>
        <v/>
      </c>
      <c r="D34" s="17" t="str">
        <f>IFERROR(INDEX(DATA2028!D$2:D$401,MATCH(17,DATA2028!I$2:I$401,0)),"")</f>
        <v/>
      </c>
      <c r="F34" s="16" t="str">
        <f>IFERROR(INDEX(DATA2028!B$2:B$401,MATCH(17,DATA2028!J$2:J$401,0)),"")</f>
        <v/>
      </c>
      <c r="G34" s="17" t="str">
        <f>IFERROR(INDEX(DATA2028!C$2:C$401,MATCH(17,DATA2028!J$2:J$401,0)),"")</f>
        <v/>
      </c>
      <c r="H34" s="17" t="str">
        <f>IFERROR(INDEX(DATA2028!D$2:D$401,MATCH(17,DATA2028!J$2:J$401,0)),"")</f>
        <v/>
      </c>
      <c r="J34" s="16" t="str">
        <f>IFERROR(INDEX(DATA2028!B$2:B$401,MATCH(17,DATA2028!K$2:K$401,0)),"")</f>
        <v/>
      </c>
      <c r="K34" s="17" t="str">
        <f>IFERROR(INDEX(DATA2028!C$2:C$401,MATCH(17,DATA2028!K$2:K$401,0)),"")</f>
        <v/>
      </c>
      <c r="L34" s="17" t="str">
        <f>IFERROR(INDEX(DATA2028!D$2:D$401,MATCH(17,DATA2028!K$2:K$401,0)),"")</f>
        <v/>
      </c>
      <c r="N34" s="16" t="str">
        <f>IFERROR(INDEX(DATA2028!B$2:B$401,MATCH(17,DATA2028!L$2:L$401,0)),"")</f>
        <v/>
      </c>
      <c r="O34" s="17" t="str">
        <f>IFERROR(INDEX(DATA2028!C$2:C$401,MATCH(17,DATA2028!L$2:L$401,0)),"")</f>
        <v/>
      </c>
      <c r="P34" s="17" t="str">
        <f>IFERROR(INDEX(DATA2028!D$2:D$401,MATCH(17,DATA2028!L$2:L$401,0)),"")</f>
        <v/>
      </c>
    </row>
    <row r="35" spans="2:16" ht="18.75" customHeight="1">
      <c r="B35" s="18" t="str">
        <f>IFERROR(INDEX(DATA2028!B$2:B$401,MATCH(18,DATA2028!I$2:I$401,0)),"")</f>
        <v/>
      </c>
      <c r="C35" s="19" t="str">
        <f>IFERROR(INDEX(DATA2028!C$2:C$401,MATCH(18,DATA2028!I$2:I$401,0)),"")</f>
        <v/>
      </c>
      <c r="D35" s="19" t="str">
        <f>IFERROR(INDEX(DATA2028!D$2:D$401,MATCH(18,DATA2028!I$2:I$401,0)),"")</f>
        <v/>
      </c>
      <c r="F35" s="18" t="str">
        <f>IFERROR(INDEX(DATA2028!B$2:B$401,MATCH(18,DATA2028!J$2:J$401,0)),"")</f>
        <v/>
      </c>
      <c r="G35" s="19" t="str">
        <f>IFERROR(INDEX(DATA2028!C$2:C$401,MATCH(18,DATA2028!J$2:J$401,0)),"")</f>
        <v/>
      </c>
      <c r="H35" s="19" t="str">
        <f>IFERROR(INDEX(DATA2028!D$2:D$401,MATCH(18,DATA2028!J$2:J$401,0)),"")</f>
        <v/>
      </c>
      <c r="J35" s="18" t="str">
        <f>IFERROR(INDEX(DATA2028!B$2:B$401,MATCH(18,DATA2028!K$2:K$401,0)),"")</f>
        <v/>
      </c>
      <c r="K35" s="19" t="str">
        <f>IFERROR(INDEX(DATA2028!C$2:C$401,MATCH(18,DATA2028!K$2:K$401,0)),"")</f>
        <v/>
      </c>
      <c r="L35" s="19" t="str">
        <f>IFERROR(INDEX(DATA2028!D$2:D$401,MATCH(18,DATA2028!K$2:K$401,0)),"")</f>
        <v/>
      </c>
      <c r="N35" s="18" t="str">
        <f>IFERROR(INDEX(DATA2028!B$2:B$401,MATCH(18,DATA2028!L$2:L$401,0)),"")</f>
        <v/>
      </c>
      <c r="O35" s="19" t="str">
        <f>IFERROR(INDEX(DATA2028!C$2:C$401,MATCH(18,DATA2028!L$2:L$401,0)),"")</f>
        <v/>
      </c>
      <c r="P35" s="19" t="str">
        <f>IFERROR(INDEX(DATA2028!D$2:D$401,MATCH(18,DATA2028!L$2:L$401,0)),"")</f>
        <v/>
      </c>
    </row>
    <row r="36" spans="2:16" ht="18.75" customHeight="1">
      <c r="B36" s="16" t="str">
        <f>IFERROR(INDEX(DATA2028!B$2:B$401,MATCH(19,DATA2028!I$2:I$401,0)),"")</f>
        <v/>
      </c>
      <c r="C36" s="17" t="str">
        <f>IFERROR(INDEX(DATA2028!C$2:C$401,MATCH(19,DATA2028!I$2:I$401,0)),"")</f>
        <v/>
      </c>
      <c r="D36" s="17" t="str">
        <f>IFERROR(INDEX(DATA2028!D$2:D$401,MATCH(19,DATA2028!I$2:I$401,0)),"")</f>
        <v/>
      </c>
      <c r="F36" s="16" t="str">
        <f>IFERROR(INDEX(DATA2028!B$2:B$401,MATCH(19,DATA2028!J$2:J$401,0)),"")</f>
        <v/>
      </c>
      <c r="G36" s="17" t="str">
        <f>IFERROR(INDEX(DATA2028!C$2:C$401,MATCH(19,DATA2028!J$2:J$401,0)),"")</f>
        <v/>
      </c>
      <c r="H36" s="17" t="str">
        <f>IFERROR(INDEX(DATA2028!D$2:D$401,MATCH(19,DATA2028!J$2:J$401,0)),"")</f>
        <v/>
      </c>
      <c r="J36" s="16" t="str">
        <f>IFERROR(INDEX(DATA2028!B$2:B$401,MATCH(19,DATA2028!K$2:K$401,0)),"")</f>
        <v/>
      </c>
      <c r="K36" s="17" t="str">
        <f>IFERROR(INDEX(DATA2028!C$2:C$401,MATCH(19,DATA2028!K$2:K$401,0)),"")</f>
        <v/>
      </c>
      <c r="L36" s="17" t="str">
        <f>IFERROR(INDEX(DATA2028!D$2:D$401,MATCH(19,DATA2028!K$2:K$401,0)),"")</f>
        <v/>
      </c>
      <c r="N36" s="16" t="str">
        <f>IFERROR(INDEX(DATA2028!B$2:B$401,MATCH(19,DATA2028!L$2:L$401,0)),"")</f>
        <v/>
      </c>
      <c r="O36" s="17" t="str">
        <f>IFERROR(INDEX(DATA2028!C$2:C$401,MATCH(19,DATA2028!L$2:L$401,0)),"")</f>
        <v/>
      </c>
      <c r="P36" s="17" t="str">
        <f>IFERROR(INDEX(DATA2028!D$2:D$401,MATCH(19,DATA2028!L$2:L$401,0)),"")</f>
        <v/>
      </c>
    </row>
    <row r="37" spans="2:16" ht="18.75" customHeight="1">
      <c r="B37" s="18" t="str">
        <f>IFERROR(INDEX(DATA2028!B$2:B$401,MATCH(20,DATA2028!I$2:I$401,0)),"")</f>
        <v/>
      </c>
      <c r="C37" s="19" t="str">
        <f>IFERROR(INDEX(DATA2028!C$2:C$401,MATCH(20,DATA2028!I$2:I$401,0)),"")</f>
        <v/>
      </c>
      <c r="D37" s="19" t="str">
        <f>IFERROR(INDEX(DATA2028!D$2:D$401,MATCH(20,DATA2028!I$2:I$401,0)),"")</f>
        <v/>
      </c>
      <c r="F37" s="18" t="str">
        <f>IFERROR(INDEX(DATA2028!B$2:B$401,MATCH(20,DATA2028!J$2:J$401,0)),"")</f>
        <v/>
      </c>
      <c r="G37" s="19" t="str">
        <f>IFERROR(INDEX(DATA2028!C$2:C$401,MATCH(20,DATA2028!J$2:J$401,0)),"")</f>
        <v/>
      </c>
      <c r="H37" s="19" t="str">
        <f>IFERROR(INDEX(DATA2028!D$2:D$401,MATCH(20,DATA2028!J$2:J$401,0)),"")</f>
        <v/>
      </c>
      <c r="J37" s="18" t="str">
        <f>IFERROR(INDEX(DATA2028!B$2:B$401,MATCH(20,DATA2028!K$2:K$401,0)),"")</f>
        <v/>
      </c>
      <c r="K37" s="19" t="str">
        <f>IFERROR(INDEX(DATA2028!C$2:C$401,MATCH(20,DATA2028!K$2:K$401,0)),"")</f>
        <v/>
      </c>
      <c r="L37" s="19" t="str">
        <f>IFERROR(INDEX(DATA2028!D$2:D$401,MATCH(20,DATA2028!K$2:K$401,0)),"")</f>
        <v/>
      </c>
      <c r="N37" s="18" t="str">
        <f>IFERROR(INDEX(DATA2028!B$2:B$401,MATCH(20,DATA2028!L$2:L$401,0)),"")</f>
        <v/>
      </c>
      <c r="O37" s="19" t="str">
        <f>IFERROR(INDEX(DATA2028!C$2:C$401,MATCH(20,DATA2028!L$2:L$401,0)),"")</f>
        <v/>
      </c>
      <c r="P37" s="19" t="str">
        <f>IFERROR(INDEX(DATA2028!D$2:D$401,MATCH(20,DATA2028!L$2:L$401,0)),"")</f>
        <v/>
      </c>
    </row>
    <row r="38" spans="2:16" ht="18.75" customHeight="1">
      <c r="B38" s="16" t="str">
        <f>IFERROR(INDEX(DATA2028!B$2:B$401,MATCH(21,DATA2028!I$2:I$401,0)),"")</f>
        <v/>
      </c>
      <c r="C38" s="17" t="str">
        <f>IFERROR(INDEX(DATA2028!C$2:C$401,MATCH(21,DATA2028!I$2:I$401,0)),"")</f>
        <v/>
      </c>
      <c r="D38" s="17" t="str">
        <f>IFERROR(INDEX(DATA2028!D$2:D$401,MATCH(21,DATA2028!I$2:I$401,0)),"")</f>
        <v/>
      </c>
      <c r="F38" s="16" t="str">
        <f>IFERROR(INDEX(DATA2028!B$2:B$401,MATCH(21,DATA2028!J$2:J$401,0)),"")</f>
        <v/>
      </c>
      <c r="G38" s="17" t="str">
        <f>IFERROR(INDEX(DATA2028!C$2:C$401,MATCH(21,DATA2028!J$2:J$401,0)),"")</f>
        <v/>
      </c>
      <c r="H38" s="17" t="str">
        <f>IFERROR(INDEX(DATA2028!D$2:D$401,MATCH(21,DATA2028!J$2:J$401,0)),"")</f>
        <v/>
      </c>
      <c r="J38" s="16" t="str">
        <f>IFERROR(INDEX(DATA2028!B$2:B$401,MATCH(21,DATA2028!K$2:K$401,0)),"")</f>
        <v/>
      </c>
      <c r="K38" s="17" t="str">
        <f>IFERROR(INDEX(DATA2028!C$2:C$401,MATCH(21,DATA2028!K$2:K$401,0)),"")</f>
        <v/>
      </c>
      <c r="L38" s="17" t="str">
        <f>IFERROR(INDEX(DATA2028!D$2:D$401,MATCH(21,DATA2028!K$2:K$401,0)),"")</f>
        <v/>
      </c>
      <c r="N38" s="16" t="str">
        <f>IFERROR(INDEX(DATA2028!B$2:B$401,MATCH(21,DATA2028!L$2:L$401,0)),"")</f>
        <v/>
      </c>
      <c r="O38" s="17" t="str">
        <f>IFERROR(INDEX(DATA2028!C$2:C$401,MATCH(21,DATA2028!L$2:L$401,0)),"")</f>
        <v/>
      </c>
      <c r="P38" s="17" t="str">
        <f>IFERROR(INDEX(DATA2028!D$2:D$401,MATCH(21,DATA2028!L$2:L$401,0)),"")</f>
        <v/>
      </c>
    </row>
    <row r="39" spans="2:16" ht="18.75" customHeight="1">
      <c r="B39" s="18" t="str">
        <f>IFERROR(INDEX(DATA2028!B$2:B$401,MATCH(22,DATA2028!I$2:I$401,0)),"")</f>
        <v/>
      </c>
      <c r="C39" s="19" t="str">
        <f>IFERROR(INDEX(DATA2028!C$2:C$401,MATCH(22,DATA2028!I$2:I$401,0)),"")</f>
        <v/>
      </c>
      <c r="D39" s="19" t="str">
        <f>IFERROR(INDEX(DATA2028!D$2:D$401,MATCH(22,DATA2028!I$2:I$401,0)),"")</f>
        <v/>
      </c>
      <c r="F39" s="18" t="str">
        <f>IFERROR(INDEX(DATA2028!B$2:B$401,MATCH(22,DATA2028!J$2:J$401,0)),"")</f>
        <v/>
      </c>
      <c r="G39" s="19" t="str">
        <f>IFERROR(INDEX(DATA2028!C$2:C$401,MATCH(22,DATA2028!J$2:J$401,0)),"")</f>
        <v/>
      </c>
      <c r="H39" s="19" t="str">
        <f>IFERROR(INDEX(DATA2028!D$2:D$401,MATCH(22,DATA2028!J$2:J$401,0)),"")</f>
        <v/>
      </c>
      <c r="J39" s="18" t="str">
        <f>IFERROR(INDEX(DATA2028!B$2:B$401,MATCH(22,DATA2028!K$2:K$401,0)),"")</f>
        <v/>
      </c>
      <c r="K39" s="19" t="str">
        <f>IFERROR(INDEX(DATA2028!C$2:C$401,MATCH(22,DATA2028!K$2:K$401,0)),"")</f>
        <v/>
      </c>
      <c r="L39" s="19" t="str">
        <f>IFERROR(INDEX(DATA2028!D$2:D$401,MATCH(22,DATA2028!K$2:K$401,0)),"")</f>
        <v/>
      </c>
      <c r="N39" s="18" t="str">
        <f>IFERROR(INDEX(DATA2028!B$2:B$401,MATCH(22,DATA2028!L$2:L$401,0)),"")</f>
        <v/>
      </c>
      <c r="O39" s="19" t="str">
        <f>IFERROR(INDEX(DATA2028!C$2:C$401,MATCH(22,DATA2028!L$2:L$401,0)),"")</f>
        <v/>
      </c>
      <c r="P39" s="19" t="str">
        <f>IFERROR(INDEX(DATA2028!D$2:D$401,MATCH(22,DATA2028!L$2:L$401,0)),"")</f>
        <v/>
      </c>
    </row>
    <row r="40" spans="2:16" ht="18.75" customHeight="1">
      <c r="B40" s="16" t="str">
        <f>IFERROR(INDEX(DATA2028!B$2:B$401,MATCH(23,DATA2028!I$2:I$401,0)),"")</f>
        <v/>
      </c>
      <c r="C40" s="17" t="str">
        <f>IFERROR(INDEX(DATA2028!C$2:C$401,MATCH(23,DATA2028!I$2:I$401,0)),"")</f>
        <v/>
      </c>
      <c r="D40" s="17" t="str">
        <f>IFERROR(INDEX(DATA2028!D$2:D$401,MATCH(23,DATA2028!I$2:I$401,0)),"")</f>
        <v/>
      </c>
      <c r="F40" s="16" t="str">
        <f>IFERROR(INDEX(DATA2028!B$2:B$401,MATCH(23,DATA2028!J$2:J$401,0)),"")</f>
        <v/>
      </c>
      <c r="G40" s="17" t="str">
        <f>IFERROR(INDEX(DATA2028!C$2:C$401,MATCH(23,DATA2028!J$2:J$401,0)),"")</f>
        <v/>
      </c>
      <c r="H40" s="17" t="str">
        <f>IFERROR(INDEX(DATA2028!D$2:D$401,MATCH(23,DATA2028!J$2:J$401,0)),"")</f>
        <v/>
      </c>
      <c r="J40" s="16" t="str">
        <f>IFERROR(INDEX(DATA2028!B$2:B$401,MATCH(23,DATA2028!K$2:K$401,0)),"")</f>
        <v/>
      </c>
      <c r="K40" s="17" t="str">
        <f>IFERROR(INDEX(DATA2028!C$2:C$401,MATCH(23,DATA2028!K$2:K$401,0)),"")</f>
        <v/>
      </c>
      <c r="L40" s="17" t="str">
        <f>IFERROR(INDEX(DATA2028!D$2:D$401,MATCH(23,DATA2028!K$2:K$401,0)),"")</f>
        <v/>
      </c>
      <c r="N40" s="16" t="str">
        <f>IFERROR(INDEX(DATA2028!B$2:B$401,MATCH(23,DATA2028!L$2:L$401,0)),"")</f>
        <v/>
      </c>
      <c r="O40" s="17" t="str">
        <f>IFERROR(INDEX(DATA2028!C$2:C$401,MATCH(23,DATA2028!L$2:L$401,0)),"")</f>
        <v/>
      </c>
      <c r="P40" s="17" t="str">
        <f>IFERROR(INDEX(DATA2028!D$2:D$401,MATCH(23,DATA2028!L$2:L$401,0)),"")</f>
        <v/>
      </c>
    </row>
    <row r="41" spans="2:16" ht="18.75" customHeight="1">
      <c r="B41" s="18" t="str">
        <f>IFERROR(INDEX(DATA2028!B$2:B$401,MATCH(24,DATA2028!I$2:I$401,0)),"")</f>
        <v/>
      </c>
      <c r="C41" s="19" t="str">
        <f>IFERROR(INDEX(DATA2028!C$2:C$401,MATCH(24,DATA2028!I$2:I$401,0)),"")</f>
        <v/>
      </c>
      <c r="D41" s="19" t="str">
        <f>IFERROR(INDEX(DATA2028!D$2:D$401,MATCH(24,DATA2028!I$2:I$401,0)),"")</f>
        <v/>
      </c>
      <c r="F41" s="18" t="str">
        <f>IFERROR(INDEX(DATA2028!B$2:B$401,MATCH(24,DATA2028!J$2:J$401,0)),"")</f>
        <v/>
      </c>
      <c r="G41" s="19" t="str">
        <f>IFERROR(INDEX(DATA2028!C$2:C$401,MATCH(24,DATA2028!J$2:J$401,0)),"")</f>
        <v/>
      </c>
      <c r="H41" s="19" t="str">
        <f>IFERROR(INDEX(DATA2028!D$2:D$401,MATCH(24,DATA2028!J$2:J$401,0)),"")</f>
        <v/>
      </c>
      <c r="J41" s="18" t="str">
        <f>IFERROR(INDEX(DATA2028!B$2:B$401,MATCH(24,DATA2028!K$2:K$401,0)),"")</f>
        <v/>
      </c>
      <c r="K41" s="19" t="str">
        <f>IFERROR(INDEX(DATA2028!C$2:C$401,MATCH(24,DATA2028!K$2:K$401,0)),"")</f>
        <v/>
      </c>
      <c r="L41" s="19" t="str">
        <f>IFERROR(INDEX(DATA2028!D$2:D$401,MATCH(24,DATA2028!K$2:K$401,0)),"")</f>
        <v/>
      </c>
      <c r="N41" s="18" t="str">
        <f>IFERROR(INDEX(DATA2028!B$2:B$401,MATCH(24,DATA2028!L$2:L$401,0)),"")</f>
        <v/>
      </c>
      <c r="O41" s="19" t="str">
        <f>IFERROR(INDEX(DATA2028!C$2:C$401,MATCH(24,DATA2028!L$2:L$401,0)),"")</f>
        <v/>
      </c>
      <c r="P41" s="19" t="str">
        <f>IFERROR(INDEX(DATA2028!D$2:D$401,MATCH(24,DATA2028!L$2:L$401,0)),"")</f>
        <v/>
      </c>
    </row>
    <row r="42" spans="2:16" ht="18.75" customHeight="1">
      <c r="B42" s="16" t="str">
        <f>IFERROR(INDEX(DATA2028!B$2:B$401,MATCH(25,DATA2028!I$2:I$401,0)),"")</f>
        <v/>
      </c>
      <c r="C42" s="17" t="str">
        <f>IFERROR(INDEX(DATA2028!C$2:C$401,MATCH(25,DATA2028!I$2:I$401,0)),"")</f>
        <v/>
      </c>
      <c r="D42" s="17" t="str">
        <f>IFERROR(INDEX(DATA2028!D$2:D$401,MATCH(25,DATA2028!I$2:I$401,0)),"")</f>
        <v/>
      </c>
      <c r="F42" s="16" t="str">
        <f>IFERROR(INDEX(DATA2028!B$2:B$401,MATCH(25,DATA2028!J$2:J$401,0)),"")</f>
        <v/>
      </c>
      <c r="G42" s="17" t="str">
        <f>IFERROR(INDEX(DATA2028!C$2:C$401,MATCH(25,DATA2028!J$2:J$401,0)),"")</f>
        <v/>
      </c>
      <c r="H42" s="17" t="str">
        <f>IFERROR(INDEX(DATA2028!D$2:D$401,MATCH(25,DATA2028!J$2:J$401,0)),"")</f>
        <v/>
      </c>
      <c r="J42" s="16" t="str">
        <f>IFERROR(INDEX(DATA2028!B$2:B$401,MATCH(25,DATA2028!K$2:K$401,0)),"")</f>
        <v/>
      </c>
      <c r="K42" s="17" t="str">
        <f>IFERROR(INDEX(DATA2028!C$2:C$401,MATCH(25,DATA2028!K$2:K$401,0)),"")</f>
        <v/>
      </c>
      <c r="L42" s="17" t="str">
        <f>IFERROR(INDEX(DATA2028!D$2:D$401,MATCH(25,DATA2028!K$2:K$401,0)),"")</f>
        <v/>
      </c>
      <c r="N42" s="16" t="str">
        <f>IFERROR(INDEX(DATA2028!B$2:B$401,MATCH(25,DATA2028!L$2:L$401,0)),"")</f>
        <v/>
      </c>
      <c r="O42" s="17" t="str">
        <f>IFERROR(INDEX(DATA2028!C$2:C$401,MATCH(25,DATA2028!L$2:L$401,0)),"")</f>
        <v/>
      </c>
      <c r="P42" s="17" t="str">
        <f>IFERROR(INDEX(DATA2028!D$2:D$401,MATCH(25,DATA2028!L$2:L$401,0)),"")</f>
        <v/>
      </c>
    </row>
    <row r="43" spans="2:16" ht="18.75" customHeight="1">
      <c r="B43" s="18" t="str">
        <f>IFERROR(INDEX(DATA2028!B$2:B$401,MATCH(26,DATA2028!I$2:I$401,0)),"")</f>
        <v/>
      </c>
      <c r="C43" s="19" t="str">
        <f>IFERROR(INDEX(DATA2028!C$2:C$401,MATCH(26,DATA2028!I$2:I$401,0)),"")</f>
        <v/>
      </c>
      <c r="D43" s="19" t="str">
        <f>IFERROR(INDEX(DATA2028!D$2:D$401,MATCH(26,DATA2028!I$2:I$401,0)),"")</f>
        <v/>
      </c>
      <c r="F43" s="18" t="str">
        <f>IFERROR(INDEX(DATA2028!B$2:B$401,MATCH(26,DATA2028!J$2:J$401,0)),"")</f>
        <v/>
      </c>
      <c r="G43" s="19" t="str">
        <f>IFERROR(INDEX(DATA2028!C$2:C$401,MATCH(26,DATA2028!J$2:J$401,0)),"")</f>
        <v/>
      </c>
      <c r="H43" s="19" t="str">
        <f>IFERROR(INDEX(DATA2028!D$2:D$401,MATCH(26,DATA2028!J$2:J$401,0)),"")</f>
        <v/>
      </c>
      <c r="J43" s="18" t="str">
        <f>IFERROR(INDEX(DATA2028!B$2:B$401,MATCH(26,DATA2028!K$2:K$401,0)),"")</f>
        <v/>
      </c>
      <c r="K43" s="19" t="str">
        <f>IFERROR(INDEX(DATA2028!C$2:C$401,MATCH(26,DATA2028!K$2:K$401,0)),"")</f>
        <v/>
      </c>
      <c r="L43" s="19" t="str">
        <f>IFERROR(INDEX(DATA2028!D$2:D$401,MATCH(26,DATA2028!K$2:K$401,0)),"")</f>
        <v/>
      </c>
      <c r="N43" s="18" t="str">
        <f>IFERROR(INDEX(DATA2028!B$2:B$401,MATCH(26,DATA2028!L$2:L$401,0)),"")</f>
        <v/>
      </c>
      <c r="O43" s="19" t="str">
        <f>IFERROR(INDEX(DATA2028!C$2:C$401,MATCH(26,DATA2028!L$2:L$401,0)),"")</f>
        <v/>
      </c>
      <c r="P43" s="19" t="str">
        <f>IFERROR(INDEX(DATA2028!D$2:D$401,MATCH(26,DATA2028!L$2:L$401,0)),"")</f>
        <v/>
      </c>
    </row>
    <row r="44" spans="2:16" ht="18.75" customHeight="1">
      <c r="B44" s="16" t="str">
        <f>IFERROR(INDEX(DATA2028!B$2:B$401,MATCH(27,DATA2028!I$2:I$401,0)),"")</f>
        <v/>
      </c>
      <c r="C44" s="17" t="str">
        <f>IFERROR(INDEX(DATA2028!C$2:C$401,MATCH(27,DATA2028!I$2:I$401,0)),"")</f>
        <v/>
      </c>
      <c r="D44" s="17" t="str">
        <f>IFERROR(INDEX(DATA2028!D$2:D$401,MATCH(27,DATA2028!I$2:I$401,0)),"")</f>
        <v/>
      </c>
      <c r="F44" s="16" t="str">
        <f>IFERROR(INDEX(DATA2028!B$2:B$401,MATCH(27,DATA2028!J$2:J$401,0)),"")</f>
        <v/>
      </c>
      <c r="G44" s="17" t="str">
        <f>IFERROR(INDEX(DATA2028!C$2:C$401,MATCH(27,DATA2028!J$2:J$401,0)),"")</f>
        <v/>
      </c>
      <c r="H44" s="17" t="str">
        <f>IFERROR(INDEX(DATA2028!D$2:D$401,MATCH(27,DATA2028!J$2:J$401,0)),"")</f>
        <v/>
      </c>
      <c r="J44" s="16" t="str">
        <f>IFERROR(INDEX(DATA2028!B$2:B$401,MATCH(27,DATA2028!K$2:K$401,0)),"")</f>
        <v/>
      </c>
      <c r="K44" s="17" t="str">
        <f>IFERROR(INDEX(DATA2028!C$2:C$401,MATCH(27,DATA2028!K$2:K$401,0)),"")</f>
        <v/>
      </c>
      <c r="L44" s="17" t="str">
        <f>IFERROR(INDEX(DATA2028!D$2:D$401,MATCH(27,DATA2028!K$2:K$401,0)),"")</f>
        <v/>
      </c>
      <c r="N44" s="16" t="str">
        <f>IFERROR(INDEX(DATA2028!B$2:B$401,MATCH(27,DATA2028!L$2:L$401,0)),"")</f>
        <v/>
      </c>
      <c r="O44" s="17" t="str">
        <f>IFERROR(INDEX(DATA2028!C$2:C$401,MATCH(27,DATA2028!L$2:L$401,0)),"")</f>
        <v/>
      </c>
      <c r="P44" s="17" t="str">
        <f>IFERROR(INDEX(DATA2028!D$2:D$401,MATCH(27,DATA2028!L$2:L$401,0)),"")</f>
        <v/>
      </c>
    </row>
    <row r="45" spans="2:16" ht="18.75" customHeight="1">
      <c r="B45" s="18" t="str">
        <f>IFERROR(INDEX(DATA2028!B$2:B$401,MATCH(28,DATA2028!I$2:I$401,0)),"")</f>
        <v/>
      </c>
      <c r="C45" s="19" t="str">
        <f>IFERROR(INDEX(DATA2028!C$2:C$401,MATCH(28,DATA2028!I$2:I$401,0)),"")</f>
        <v/>
      </c>
      <c r="D45" s="19" t="str">
        <f>IFERROR(INDEX(DATA2028!D$2:D$401,MATCH(28,DATA2028!I$2:I$401,0)),"")</f>
        <v/>
      </c>
      <c r="F45" s="18" t="str">
        <f>IFERROR(INDEX(DATA2028!B$2:B$401,MATCH(28,DATA2028!J$2:J$401,0)),"")</f>
        <v/>
      </c>
      <c r="G45" s="19" t="str">
        <f>IFERROR(INDEX(DATA2028!C$2:C$401,MATCH(28,DATA2028!J$2:J$401,0)),"")</f>
        <v/>
      </c>
      <c r="H45" s="19" t="str">
        <f>IFERROR(INDEX(DATA2028!D$2:D$401,MATCH(28,DATA2028!J$2:J$401,0)),"")</f>
        <v/>
      </c>
      <c r="J45" s="18" t="str">
        <f>IFERROR(INDEX(DATA2028!B$2:B$401,MATCH(28,DATA2028!K$2:K$401,0)),"")</f>
        <v/>
      </c>
      <c r="K45" s="19" t="str">
        <f>IFERROR(INDEX(DATA2028!C$2:C$401,MATCH(28,DATA2028!K$2:K$401,0)),"")</f>
        <v/>
      </c>
      <c r="L45" s="19" t="str">
        <f>IFERROR(INDEX(DATA2028!D$2:D$401,MATCH(28,DATA2028!K$2:K$401,0)),"")</f>
        <v/>
      </c>
      <c r="N45" s="18" t="str">
        <f>IFERROR(INDEX(DATA2028!B$2:B$401,MATCH(28,DATA2028!L$2:L$401,0)),"")</f>
        <v/>
      </c>
      <c r="O45" s="19" t="str">
        <f>IFERROR(INDEX(DATA2028!C$2:C$401,MATCH(28,DATA2028!L$2:L$401,0)),"")</f>
        <v/>
      </c>
      <c r="P45" s="19" t="str">
        <f>IFERROR(INDEX(DATA2028!D$2:D$401,MATCH(28,DATA2028!L$2:L$401,0)),"")</f>
        <v/>
      </c>
    </row>
    <row r="46" spans="2:16" ht="18.75" customHeight="1">
      <c r="B46" s="16" t="str">
        <f>IFERROR(INDEX(DATA2028!B$2:B$401,MATCH(29,DATA2028!I$2:I$401,0)),"")</f>
        <v/>
      </c>
      <c r="C46" s="17" t="str">
        <f>IFERROR(INDEX(DATA2028!C$2:C$401,MATCH(29,DATA2028!I$2:I$401,0)),"")</f>
        <v/>
      </c>
      <c r="D46" s="17" t="str">
        <f>IFERROR(INDEX(DATA2028!D$2:D$401,MATCH(29,DATA2028!I$2:I$401,0)),"")</f>
        <v/>
      </c>
      <c r="F46" s="16" t="str">
        <f>IFERROR(INDEX(DATA2028!B$2:B$401,MATCH(29,DATA2028!J$2:J$401,0)),"")</f>
        <v/>
      </c>
      <c r="G46" s="17" t="str">
        <f>IFERROR(INDEX(DATA2028!C$2:C$401,MATCH(29,DATA2028!J$2:J$401,0)),"")</f>
        <v/>
      </c>
      <c r="H46" s="17" t="str">
        <f>IFERROR(INDEX(DATA2028!D$2:D$401,MATCH(29,DATA2028!J$2:J$401,0)),"")</f>
        <v/>
      </c>
      <c r="J46" s="16" t="str">
        <f>IFERROR(INDEX(DATA2028!B$2:B$401,MATCH(29,DATA2028!K$2:K$401,0)),"")</f>
        <v/>
      </c>
      <c r="K46" s="17" t="str">
        <f>IFERROR(INDEX(DATA2028!C$2:C$401,MATCH(29,DATA2028!K$2:K$401,0)),"")</f>
        <v/>
      </c>
      <c r="L46" s="17" t="str">
        <f>IFERROR(INDEX(DATA2028!D$2:D$401,MATCH(29,DATA2028!K$2:K$401,0)),"")</f>
        <v/>
      </c>
      <c r="N46" s="16" t="str">
        <f>IFERROR(INDEX(DATA2028!B$2:B$401,MATCH(29,DATA2028!L$2:L$401,0)),"")</f>
        <v/>
      </c>
      <c r="O46" s="17" t="str">
        <f>IFERROR(INDEX(DATA2028!C$2:C$401,MATCH(29,DATA2028!L$2:L$401,0)),"")</f>
        <v/>
      </c>
      <c r="P46" s="17" t="str">
        <f>IFERROR(INDEX(DATA2028!D$2:D$401,MATCH(29,DATA2028!L$2:L$401,0)),"")</f>
        <v/>
      </c>
    </row>
    <row r="47" spans="2:16" ht="18.75" customHeight="1">
      <c r="B47" s="18" t="str">
        <f>IFERROR(INDEX(DATA2028!B$2:B$401,MATCH(30,DATA2028!I$2:I$401,0)),"")</f>
        <v/>
      </c>
      <c r="C47" s="19" t="str">
        <f>IFERROR(INDEX(DATA2028!C$2:C$401,MATCH(30,DATA2028!I$2:I$401,0)),"")</f>
        <v/>
      </c>
      <c r="D47" s="19" t="str">
        <f>IFERROR(INDEX(DATA2028!D$2:D$401,MATCH(30,DATA2028!I$2:I$401,0)),"")</f>
        <v/>
      </c>
      <c r="F47" s="18" t="str">
        <f>IFERROR(INDEX(DATA2028!B$2:B$401,MATCH(30,DATA2028!J$2:J$401,0)),"")</f>
        <v/>
      </c>
      <c r="G47" s="19" t="str">
        <f>IFERROR(INDEX(DATA2028!C$2:C$401,MATCH(30,DATA2028!J$2:J$401,0)),"")</f>
        <v/>
      </c>
      <c r="H47" s="19" t="str">
        <f>IFERROR(INDEX(DATA2028!D$2:D$401,MATCH(30,DATA2028!J$2:J$401,0)),"")</f>
        <v/>
      </c>
      <c r="J47" s="18" t="str">
        <f>IFERROR(INDEX(DATA2028!B$2:B$401,MATCH(30,DATA2028!K$2:K$401,0)),"")</f>
        <v/>
      </c>
      <c r="K47" s="19" t="str">
        <f>IFERROR(INDEX(DATA2028!C$2:C$401,MATCH(30,DATA2028!K$2:K$401,0)),"")</f>
        <v/>
      </c>
      <c r="L47" s="19" t="str">
        <f>IFERROR(INDEX(DATA2028!D$2:D$401,MATCH(30,DATA2028!K$2:K$401,0)),"")</f>
        <v/>
      </c>
      <c r="N47" s="18" t="str">
        <f>IFERROR(INDEX(DATA2028!B$2:B$401,MATCH(30,DATA2028!L$2:L$401,0)),"")</f>
        <v/>
      </c>
      <c r="O47" s="19" t="str">
        <f>IFERROR(INDEX(DATA2028!C$2:C$401,MATCH(30,DATA2028!L$2:L$401,0)),"")</f>
        <v/>
      </c>
      <c r="P47" s="19" t="str">
        <f>IFERROR(INDEX(DATA2028!D$2:D$401,MATCH(30,DATA2028!L$2:L$401,0)),"")</f>
        <v/>
      </c>
    </row>
    <row r="48" spans="2:16" ht="18.75" customHeight="1">
      <c r="B48" s="16" t="str">
        <f>IFERROR(INDEX(DATA2028!B$2:B$401,MATCH(31,DATA2028!I$2:I$401,0)),"")</f>
        <v/>
      </c>
      <c r="C48" s="17" t="str">
        <f>IFERROR(INDEX(DATA2028!C$2:C$401,MATCH(31,DATA2028!I$2:I$401,0)),"")</f>
        <v/>
      </c>
      <c r="D48" s="17" t="str">
        <f>IFERROR(INDEX(DATA2028!D$2:D$401,MATCH(31,DATA2028!I$2:I$401,0)),"")</f>
        <v/>
      </c>
      <c r="F48" s="16" t="str">
        <f>IFERROR(INDEX(DATA2028!B$2:B$401,MATCH(31,DATA2028!J$2:J$401,0)),"")</f>
        <v/>
      </c>
      <c r="G48" s="17" t="str">
        <f>IFERROR(INDEX(DATA2028!C$2:C$401,MATCH(31,DATA2028!J$2:J$401,0)),"")</f>
        <v/>
      </c>
      <c r="H48" s="17" t="str">
        <f>IFERROR(INDEX(DATA2028!D$2:D$401,MATCH(31,DATA2028!J$2:J$401,0)),"")</f>
        <v/>
      </c>
      <c r="J48" s="16" t="str">
        <f>IFERROR(INDEX(DATA2028!B$2:B$401,MATCH(31,DATA2028!K$2:K$401,0)),"")</f>
        <v/>
      </c>
      <c r="K48" s="17" t="str">
        <f>IFERROR(INDEX(DATA2028!C$2:C$401,MATCH(31,DATA2028!K$2:K$401,0)),"")</f>
        <v/>
      </c>
      <c r="L48" s="17" t="str">
        <f>IFERROR(INDEX(DATA2028!D$2:D$401,MATCH(31,DATA2028!K$2:K$401,0)),"")</f>
        <v/>
      </c>
      <c r="N48" s="16" t="str">
        <f>IFERROR(INDEX(DATA2028!B$2:B$401,MATCH(31,DATA2028!L$2:L$401,0)),"")</f>
        <v/>
      </c>
      <c r="O48" s="17" t="str">
        <f>IFERROR(INDEX(DATA2028!C$2:C$401,MATCH(31,DATA2028!L$2:L$401,0)),"")</f>
        <v/>
      </c>
      <c r="P48" s="17" t="str">
        <f>IFERROR(INDEX(DATA2028!D$2:D$401,MATCH(31,DATA2028!L$2:L$401,0)),"")</f>
        <v/>
      </c>
    </row>
    <row r="49" spans="2:16" ht="18.75" customHeight="1">
      <c r="B49" s="18" t="str">
        <f>IFERROR(INDEX(DATA2028!B$2:B$401,MATCH(32,DATA2028!I$2:I$401,0)),"")</f>
        <v/>
      </c>
      <c r="C49" s="19" t="str">
        <f>IFERROR(INDEX(DATA2028!C$2:C$401,MATCH(32,DATA2028!I$2:I$401,0)),"")</f>
        <v/>
      </c>
      <c r="D49" s="19" t="str">
        <f>IFERROR(INDEX(DATA2028!D$2:D$401,MATCH(32,DATA2028!I$2:I$401,0)),"")</f>
        <v/>
      </c>
      <c r="F49" s="18" t="str">
        <f>IFERROR(INDEX(DATA2028!B$2:B$401,MATCH(32,DATA2028!J$2:J$401,0)),"")</f>
        <v/>
      </c>
      <c r="G49" s="19" t="str">
        <f>IFERROR(INDEX(DATA2028!C$2:C$401,MATCH(32,DATA2028!J$2:J$401,0)),"")</f>
        <v/>
      </c>
      <c r="H49" s="19" t="str">
        <f>IFERROR(INDEX(DATA2028!D$2:D$401,MATCH(32,DATA2028!J$2:J$401,0)),"")</f>
        <v/>
      </c>
      <c r="J49" s="18" t="str">
        <f>IFERROR(INDEX(DATA2028!B$2:B$401,MATCH(32,DATA2028!K$2:K$401,0)),"")</f>
        <v/>
      </c>
      <c r="K49" s="19" t="str">
        <f>IFERROR(INDEX(DATA2028!C$2:C$401,MATCH(32,DATA2028!K$2:K$401,0)),"")</f>
        <v/>
      </c>
      <c r="L49" s="19" t="str">
        <f>IFERROR(INDEX(DATA2028!D$2:D$401,MATCH(32,DATA2028!K$2:K$401,0)),"")</f>
        <v/>
      </c>
      <c r="N49" s="18" t="str">
        <f>IFERROR(INDEX(DATA2028!B$2:B$401,MATCH(32,DATA2028!L$2:L$401,0)),"")</f>
        <v/>
      </c>
      <c r="O49" s="19" t="str">
        <f>IFERROR(INDEX(DATA2028!C$2:C$401,MATCH(32,DATA2028!L$2:L$401,0)),"")</f>
        <v/>
      </c>
      <c r="P49" s="19" t="str">
        <f>IFERROR(INDEX(DATA2028!D$2:D$401,MATCH(32,DATA2028!L$2:L$401,0)),"")</f>
        <v/>
      </c>
    </row>
    <row r="50" spans="2:16" ht="18.75" customHeight="1">
      <c r="B50" s="16" t="str">
        <f>IFERROR(INDEX(DATA2028!B$2:B$401,MATCH(33,DATA2028!I$2:I$401,0)),"")</f>
        <v/>
      </c>
      <c r="C50" s="17" t="str">
        <f>IFERROR(INDEX(DATA2028!C$2:C$401,MATCH(33,DATA2028!I$2:I$401,0)),"")</f>
        <v/>
      </c>
      <c r="D50" s="17" t="str">
        <f>IFERROR(INDEX(DATA2028!D$2:D$401,MATCH(33,DATA2028!I$2:I$401,0)),"")</f>
        <v/>
      </c>
      <c r="F50" s="16" t="str">
        <f>IFERROR(INDEX(DATA2028!B$2:B$401,MATCH(33,DATA2028!J$2:J$401,0)),"")</f>
        <v/>
      </c>
      <c r="G50" s="17" t="str">
        <f>IFERROR(INDEX(DATA2028!C$2:C$401,MATCH(33,DATA2028!J$2:J$401,0)),"")</f>
        <v/>
      </c>
      <c r="H50" s="17" t="str">
        <f>IFERROR(INDEX(DATA2028!D$2:D$401,MATCH(33,DATA2028!J$2:J$401,0)),"")</f>
        <v/>
      </c>
      <c r="J50" s="16" t="str">
        <f>IFERROR(INDEX(DATA2028!B$2:B$401,MATCH(33,DATA2028!K$2:K$401,0)),"")</f>
        <v/>
      </c>
      <c r="K50" s="17" t="str">
        <f>IFERROR(INDEX(DATA2028!C$2:C$401,MATCH(33,DATA2028!K$2:K$401,0)),"")</f>
        <v/>
      </c>
      <c r="L50" s="17" t="str">
        <f>IFERROR(INDEX(DATA2028!D$2:D$401,MATCH(33,DATA2028!K$2:K$401,0)),"")</f>
        <v/>
      </c>
      <c r="N50" s="16" t="str">
        <f>IFERROR(INDEX(DATA2028!B$2:B$401,MATCH(33,DATA2028!L$2:L$401,0)),"")</f>
        <v/>
      </c>
      <c r="O50" s="17" t="str">
        <f>IFERROR(INDEX(DATA2028!C$2:C$401,MATCH(33,DATA2028!L$2:L$401,0)),"")</f>
        <v/>
      </c>
      <c r="P50" s="17" t="str">
        <f>IFERROR(INDEX(DATA2028!D$2:D$401,MATCH(33,DATA2028!L$2:L$401,0)),"")</f>
        <v/>
      </c>
    </row>
    <row r="51" spans="2:16" ht="18.75" customHeight="1">
      <c r="B51" s="18" t="str">
        <f>IFERROR(INDEX(DATA2028!B$2:B$401,MATCH(34,DATA2028!I$2:I$401,0)),"")</f>
        <v/>
      </c>
      <c r="C51" s="19" t="str">
        <f>IFERROR(INDEX(DATA2028!C$2:C$401,MATCH(34,DATA2028!I$2:I$401,0)),"")</f>
        <v/>
      </c>
      <c r="D51" s="19" t="str">
        <f>IFERROR(INDEX(DATA2028!D$2:D$401,MATCH(34,DATA2028!I$2:I$401,0)),"")</f>
        <v/>
      </c>
      <c r="F51" s="18" t="str">
        <f>IFERROR(INDEX(DATA2028!B$2:B$401,MATCH(34,DATA2028!J$2:J$401,0)),"")</f>
        <v/>
      </c>
      <c r="G51" s="19" t="str">
        <f>IFERROR(INDEX(DATA2028!C$2:C$401,MATCH(34,DATA2028!J$2:J$401,0)),"")</f>
        <v/>
      </c>
      <c r="H51" s="19" t="str">
        <f>IFERROR(INDEX(DATA2028!D$2:D$401,MATCH(34,DATA2028!J$2:J$401,0)),"")</f>
        <v/>
      </c>
      <c r="J51" s="18" t="str">
        <f>IFERROR(INDEX(DATA2028!B$2:B$401,MATCH(34,DATA2028!K$2:K$401,0)),"")</f>
        <v/>
      </c>
      <c r="K51" s="19" t="str">
        <f>IFERROR(INDEX(DATA2028!C$2:C$401,MATCH(34,DATA2028!K$2:K$401,0)),"")</f>
        <v/>
      </c>
      <c r="L51" s="19" t="str">
        <f>IFERROR(INDEX(DATA2028!D$2:D$401,MATCH(34,DATA2028!K$2:K$401,0)),"")</f>
        <v/>
      </c>
      <c r="N51" s="18" t="str">
        <f>IFERROR(INDEX(DATA2028!B$2:B$401,MATCH(34,DATA2028!L$2:L$401,0)),"")</f>
        <v/>
      </c>
      <c r="O51" s="19" t="str">
        <f>IFERROR(INDEX(DATA2028!C$2:C$401,MATCH(34,DATA2028!L$2:L$401,0)),"")</f>
        <v/>
      </c>
      <c r="P51" s="19" t="str">
        <f>IFERROR(INDEX(DATA2028!D$2:D$401,MATCH(34,DATA2028!L$2:L$401,0)),"")</f>
        <v/>
      </c>
    </row>
    <row r="52" spans="2:16" ht="18.75" customHeight="1">
      <c r="B52" s="16" t="str">
        <f>IFERROR(INDEX(DATA2028!B$2:B$401,MATCH(35,DATA2028!I$2:I$401,0)),"")</f>
        <v/>
      </c>
      <c r="C52" s="17" t="str">
        <f>IFERROR(INDEX(DATA2028!C$2:C$401,MATCH(35,DATA2028!I$2:I$401,0)),"")</f>
        <v/>
      </c>
      <c r="D52" s="17" t="str">
        <f>IFERROR(INDEX(DATA2028!D$2:D$401,MATCH(35,DATA2028!I$2:I$401,0)),"")</f>
        <v/>
      </c>
      <c r="F52" s="16" t="str">
        <f>IFERROR(INDEX(DATA2028!B$2:B$401,MATCH(35,DATA2028!J$2:J$401,0)),"")</f>
        <v/>
      </c>
      <c r="G52" s="17" t="str">
        <f>IFERROR(INDEX(DATA2028!C$2:C$401,MATCH(35,DATA2028!J$2:J$401,0)),"")</f>
        <v/>
      </c>
      <c r="H52" s="17" t="str">
        <f>IFERROR(INDEX(DATA2028!D$2:D$401,MATCH(35,DATA2028!J$2:J$401,0)),"")</f>
        <v/>
      </c>
      <c r="J52" s="16" t="str">
        <f>IFERROR(INDEX(DATA2028!B$2:B$401,MATCH(35,DATA2028!K$2:K$401,0)),"")</f>
        <v/>
      </c>
      <c r="K52" s="17" t="str">
        <f>IFERROR(INDEX(DATA2028!C$2:C$401,MATCH(35,DATA2028!K$2:K$401,0)),"")</f>
        <v/>
      </c>
      <c r="L52" s="17" t="str">
        <f>IFERROR(INDEX(DATA2028!D$2:D$401,MATCH(35,DATA2028!K$2:K$401,0)),"")</f>
        <v/>
      </c>
      <c r="N52" s="16" t="str">
        <f>IFERROR(INDEX(DATA2028!B$2:B$401,MATCH(35,DATA2028!L$2:L$401,0)),"")</f>
        <v/>
      </c>
      <c r="O52" s="17" t="str">
        <f>IFERROR(INDEX(DATA2028!C$2:C$401,MATCH(35,DATA2028!L$2:L$401,0)),"")</f>
        <v/>
      </c>
      <c r="P52" s="17" t="str">
        <f>IFERROR(INDEX(DATA2028!D$2:D$401,MATCH(35,DATA2028!L$2:L$401,0)),"")</f>
        <v/>
      </c>
    </row>
    <row r="53" spans="2:16" ht="18.75" customHeight="1">
      <c r="B53" s="18" t="str">
        <f>IFERROR(INDEX(DATA2028!B$2:B$401,MATCH(36,DATA2028!I$2:I$401,0)),"")</f>
        <v/>
      </c>
      <c r="C53" s="19" t="str">
        <f>IFERROR(INDEX(DATA2028!C$2:C$401,MATCH(36,DATA2028!I$2:I$401,0)),"")</f>
        <v/>
      </c>
      <c r="D53" s="19" t="str">
        <f>IFERROR(INDEX(DATA2028!D$2:D$401,MATCH(36,DATA2028!I$2:I$401,0)),"")</f>
        <v/>
      </c>
      <c r="F53" s="18" t="str">
        <f>IFERROR(INDEX(DATA2028!B$2:B$401,MATCH(36,DATA2028!J$2:J$401,0)),"")</f>
        <v/>
      </c>
      <c r="G53" s="19" t="str">
        <f>IFERROR(INDEX(DATA2028!C$2:C$401,MATCH(36,DATA2028!J$2:J$401,0)),"")</f>
        <v/>
      </c>
      <c r="H53" s="19" t="str">
        <f>IFERROR(INDEX(DATA2028!D$2:D$401,MATCH(36,DATA2028!J$2:J$401,0)),"")</f>
        <v/>
      </c>
      <c r="J53" s="18" t="str">
        <f>IFERROR(INDEX(DATA2028!B$2:B$401,MATCH(36,DATA2028!K$2:K$401,0)),"")</f>
        <v/>
      </c>
      <c r="K53" s="19" t="str">
        <f>IFERROR(INDEX(DATA2028!C$2:C$401,MATCH(36,DATA2028!K$2:K$401,0)),"")</f>
        <v/>
      </c>
      <c r="L53" s="19" t="str">
        <f>IFERROR(INDEX(DATA2028!D$2:D$401,MATCH(36,DATA2028!K$2:K$401,0)),"")</f>
        <v/>
      </c>
      <c r="N53" s="18" t="str">
        <f>IFERROR(INDEX(DATA2028!B$2:B$401,MATCH(36,DATA2028!L$2:L$401,0)),"")</f>
        <v/>
      </c>
      <c r="O53" s="19" t="str">
        <f>IFERROR(INDEX(DATA2028!C$2:C$401,MATCH(36,DATA2028!L$2:L$401,0)),"")</f>
        <v/>
      </c>
      <c r="P53" s="19" t="str">
        <f>IFERROR(INDEX(DATA2028!D$2:D$401,MATCH(36,DATA2028!L$2:L$401,0)),"")</f>
        <v/>
      </c>
    </row>
    <row r="54" spans="2:16" ht="18.75" customHeight="1">
      <c r="B54" s="16" t="str">
        <f>IFERROR(INDEX(DATA2028!B$2:B$401,MATCH(37,DATA2028!I$2:I$401,0)),"")</f>
        <v/>
      </c>
      <c r="C54" s="17" t="str">
        <f>IFERROR(INDEX(DATA2028!C$2:C$401,MATCH(37,DATA2028!I$2:I$401,0)),"")</f>
        <v/>
      </c>
      <c r="D54" s="17" t="str">
        <f>IFERROR(INDEX(DATA2028!D$2:D$401,MATCH(37,DATA2028!I$2:I$401,0)),"")</f>
        <v/>
      </c>
      <c r="F54" s="16" t="str">
        <f>IFERROR(INDEX(DATA2028!B$2:B$401,MATCH(37,DATA2028!J$2:J$401,0)),"")</f>
        <v/>
      </c>
      <c r="G54" s="17" t="str">
        <f>IFERROR(INDEX(DATA2028!C$2:C$401,MATCH(37,DATA2028!J$2:J$401,0)),"")</f>
        <v/>
      </c>
      <c r="H54" s="17" t="str">
        <f>IFERROR(INDEX(DATA2028!D$2:D$401,MATCH(37,DATA2028!J$2:J$401,0)),"")</f>
        <v/>
      </c>
      <c r="J54" s="16" t="str">
        <f>IFERROR(INDEX(DATA2028!B$2:B$401,MATCH(37,DATA2028!K$2:K$401,0)),"")</f>
        <v/>
      </c>
      <c r="K54" s="17" t="str">
        <f>IFERROR(INDEX(DATA2028!C$2:C$401,MATCH(37,DATA2028!K$2:K$401,0)),"")</f>
        <v/>
      </c>
      <c r="L54" s="17" t="str">
        <f>IFERROR(INDEX(DATA2028!D$2:D$401,MATCH(37,DATA2028!K$2:K$401,0)),"")</f>
        <v/>
      </c>
      <c r="N54" s="16" t="str">
        <f>IFERROR(INDEX(DATA2028!B$2:B$401,MATCH(37,DATA2028!L$2:L$401,0)),"")</f>
        <v/>
      </c>
      <c r="O54" s="17" t="str">
        <f>IFERROR(INDEX(DATA2028!C$2:C$401,MATCH(37,DATA2028!L$2:L$401,0)),"")</f>
        <v/>
      </c>
      <c r="P54" s="17" t="str">
        <f>IFERROR(INDEX(DATA2028!D$2:D$401,MATCH(37,DATA2028!L$2:L$401,0)),"")</f>
        <v/>
      </c>
    </row>
    <row r="55" spans="2:16" ht="18.75" customHeight="1">
      <c r="B55" s="18" t="str">
        <f>IFERROR(INDEX(DATA2028!B$2:B$401,MATCH(38,DATA2028!I$2:I$401,0)),"")</f>
        <v/>
      </c>
      <c r="C55" s="19" t="str">
        <f>IFERROR(INDEX(DATA2028!C$2:C$401,MATCH(38,DATA2028!I$2:I$401,0)),"")</f>
        <v/>
      </c>
      <c r="D55" s="19" t="str">
        <f>IFERROR(INDEX(DATA2028!D$2:D$401,MATCH(38,DATA2028!I$2:I$401,0)),"")</f>
        <v/>
      </c>
      <c r="F55" s="18" t="str">
        <f>IFERROR(INDEX(DATA2028!B$2:B$401,MATCH(38,DATA2028!J$2:J$401,0)),"")</f>
        <v/>
      </c>
      <c r="G55" s="19" t="str">
        <f>IFERROR(INDEX(DATA2028!C$2:C$401,MATCH(38,DATA2028!J$2:J$401,0)),"")</f>
        <v/>
      </c>
      <c r="H55" s="19" t="str">
        <f>IFERROR(INDEX(DATA2028!D$2:D$401,MATCH(38,DATA2028!J$2:J$401,0)),"")</f>
        <v/>
      </c>
      <c r="J55" s="18" t="str">
        <f>IFERROR(INDEX(DATA2028!B$2:B$401,MATCH(38,DATA2028!K$2:K$401,0)),"")</f>
        <v/>
      </c>
      <c r="K55" s="19" t="str">
        <f>IFERROR(INDEX(DATA2028!C$2:C$401,MATCH(38,DATA2028!K$2:K$401,0)),"")</f>
        <v/>
      </c>
      <c r="L55" s="19" t="str">
        <f>IFERROR(INDEX(DATA2028!D$2:D$401,MATCH(38,DATA2028!K$2:K$401,0)),"")</f>
        <v/>
      </c>
      <c r="N55" s="18" t="str">
        <f>IFERROR(INDEX(DATA2028!B$2:B$401,MATCH(38,DATA2028!L$2:L$401,0)),"")</f>
        <v/>
      </c>
      <c r="O55" s="19" t="str">
        <f>IFERROR(INDEX(DATA2028!C$2:C$401,MATCH(38,DATA2028!L$2:L$401,0)),"")</f>
        <v/>
      </c>
      <c r="P55" s="19" t="str">
        <f>IFERROR(INDEX(DATA2028!D$2:D$401,MATCH(38,DATA2028!L$2:L$401,0)),"")</f>
        <v/>
      </c>
    </row>
    <row r="56" spans="2:16" ht="18.75" customHeight="1">
      <c r="B56" s="16" t="str">
        <f>IFERROR(INDEX(DATA2028!B$2:B$401,MATCH(39,DATA2028!I$2:I$401,0)),"")</f>
        <v/>
      </c>
      <c r="C56" s="17" t="str">
        <f>IFERROR(INDEX(DATA2028!C$2:C$401,MATCH(39,DATA2028!I$2:I$401,0)),"")</f>
        <v/>
      </c>
      <c r="D56" s="17" t="str">
        <f>IFERROR(INDEX(DATA2028!D$2:D$401,MATCH(39,DATA2028!I$2:I$401,0)),"")</f>
        <v/>
      </c>
      <c r="F56" s="16" t="str">
        <f>IFERROR(INDEX(DATA2028!B$2:B$401,MATCH(39,DATA2028!J$2:J$401,0)),"")</f>
        <v/>
      </c>
      <c r="G56" s="17" t="str">
        <f>IFERROR(INDEX(DATA2028!C$2:C$401,MATCH(39,DATA2028!J$2:J$401,0)),"")</f>
        <v/>
      </c>
      <c r="H56" s="17" t="str">
        <f>IFERROR(INDEX(DATA2028!D$2:D$401,MATCH(39,DATA2028!J$2:J$401,0)),"")</f>
        <v/>
      </c>
      <c r="J56" s="16" t="str">
        <f>IFERROR(INDEX(DATA2028!B$2:B$401,MATCH(39,DATA2028!K$2:K$401,0)),"")</f>
        <v/>
      </c>
      <c r="K56" s="17" t="str">
        <f>IFERROR(INDEX(DATA2028!C$2:C$401,MATCH(39,DATA2028!K$2:K$401,0)),"")</f>
        <v/>
      </c>
      <c r="L56" s="17" t="str">
        <f>IFERROR(INDEX(DATA2028!D$2:D$401,MATCH(39,DATA2028!K$2:K$401,0)),"")</f>
        <v/>
      </c>
      <c r="N56" s="16" t="str">
        <f>IFERROR(INDEX(DATA2028!B$2:B$401,MATCH(39,DATA2028!L$2:L$401,0)),"")</f>
        <v/>
      </c>
      <c r="O56" s="17" t="str">
        <f>IFERROR(INDEX(DATA2028!C$2:C$401,MATCH(39,DATA2028!L$2:L$401,0)),"")</f>
        <v/>
      </c>
      <c r="P56" s="17" t="str">
        <f>IFERROR(INDEX(DATA2028!D$2:D$401,MATCH(39,DATA2028!L$2:L$401,0)),"")</f>
        <v/>
      </c>
    </row>
    <row r="57" spans="2:16" ht="18.75" customHeight="1">
      <c r="B57" s="18" t="str">
        <f>IFERROR(INDEX(DATA2028!B$2:B$401,MATCH(40,DATA2028!I$2:I$401,0)),"")</f>
        <v/>
      </c>
      <c r="C57" s="19" t="str">
        <f>IFERROR(INDEX(DATA2028!C$2:C$401,MATCH(40,DATA2028!I$2:I$401,0)),"")</f>
        <v/>
      </c>
      <c r="D57" s="19" t="str">
        <f>IFERROR(INDEX(DATA2028!D$2:D$401,MATCH(40,DATA2028!I$2:I$401,0)),"")</f>
        <v/>
      </c>
      <c r="F57" s="18" t="str">
        <f>IFERROR(INDEX(DATA2028!B$2:B$401,MATCH(40,DATA2028!J$2:J$401,0)),"")</f>
        <v/>
      </c>
      <c r="G57" s="19" t="str">
        <f>IFERROR(INDEX(DATA2028!C$2:C$401,MATCH(40,DATA2028!J$2:J$401,0)),"")</f>
        <v/>
      </c>
      <c r="H57" s="19" t="str">
        <f>IFERROR(INDEX(DATA2028!D$2:D$401,MATCH(40,DATA2028!J$2:J$401,0)),"")</f>
        <v/>
      </c>
      <c r="J57" s="18" t="str">
        <f>IFERROR(INDEX(DATA2028!B$2:B$401,MATCH(40,DATA2028!K$2:K$401,0)),"")</f>
        <v/>
      </c>
      <c r="K57" s="19" t="str">
        <f>IFERROR(INDEX(DATA2028!C$2:C$401,MATCH(40,DATA2028!K$2:K$401,0)),"")</f>
        <v/>
      </c>
      <c r="L57" s="19" t="str">
        <f>IFERROR(INDEX(DATA2028!D$2:D$401,MATCH(40,DATA2028!K$2:K$401,0)),"")</f>
        <v/>
      </c>
      <c r="N57" s="18" t="str">
        <f>IFERROR(INDEX(DATA2028!B$2:B$401,MATCH(40,DATA2028!L$2:L$401,0)),"")</f>
        <v/>
      </c>
      <c r="O57" s="19" t="str">
        <f>IFERROR(INDEX(DATA2028!C$2:C$401,MATCH(40,DATA2028!L$2:L$401,0)),"")</f>
        <v/>
      </c>
      <c r="P57" s="19" t="str">
        <f>IFERROR(INDEX(DATA2028!D$2:D$401,MATCH(40,DATA2028!L$2:L$401,0)),"")</f>
        <v/>
      </c>
    </row>
    <row r="58" spans="2:16" ht="18.75" customHeight="1">
      <c r="B58" s="16" t="str">
        <f>IFERROR(INDEX(DATA2028!B$2:B$401,MATCH(41,DATA2028!I$2:I$401,0)),"")</f>
        <v/>
      </c>
      <c r="C58" s="17" t="str">
        <f>IFERROR(INDEX(DATA2028!C$2:C$401,MATCH(41,DATA2028!I$2:I$401,0)),"")</f>
        <v/>
      </c>
      <c r="D58" s="17" t="str">
        <f>IFERROR(INDEX(DATA2028!D$2:D$401,MATCH(41,DATA2028!I$2:I$401,0)),"")</f>
        <v/>
      </c>
      <c r="F58" s="16" t="str">
        <f>IFERROR(INDEX(DATA2028!B$2:B$401,MATCH(41,DATA2028!J$2:J$401,0)),"")</f>
        <v/>
      </c>
      <c r="G58" s="17" t="str">
        <f>IFERROR(INDEX(DATA2028!C$2:C$401,MATCH(41,DATA2028!J$2:J$401,0)),"")</f>
        <v/>
      </c>
      <c r="H58" s="17" t="str">
        <f>IFERROR(INDEX(DATA2028!D$2:D$401,MATCH(41,DATA2028!J$2:J$401,0)),"")</f>
        <v/>
      </c>
      <c r="J58" s="16" t="str">
        <f>IFERROR(INDEX(DATA2028!B$2:B$401,MATCH(41,DATA2028!K$2:K$401,0)),"")</f>
        <v/>
      </c>
      <c r="K58" s="17" t="str">
        <f>IFERROR(INDEX(DATA2028!C$2:C$401,MATCH(41,DATA2028!K$2:K$401,0)),"")</f>
        <v/>
      </c>
      <c r="L58" s="17" t="str">
        <f>IFERROR(INDEX(DATA2028!D$2:D$401,MATCH(41,DATA2028!K$2:K$401,0)),"")</f>
        <v/>
      </c>
      <c r="N58" s="16" t="str">
        <f>IFERROR(INDEX(DATA2028!B$2:B$401,MATCH(41,DATA2028!L$2:L$401,0)),"")</f>
        <v/>
      </c>
      <c r="O58" s="17" t="str">
        <f>IFERROR(INDEX(DATA2028!C$2:C$401,MATCH(41,DATA2028!L$2:L$401,0)),"")</f>
        <v/>
      </c>
      <c r="P58" s="17" t="str">
        <f>IFERROR(INDEX(DATA2028!D$2:D$401,MATCH(41,DATA2028!L$2:L$401,0)),"")</f>
        <v/>
      </c>
    </row>
    <row r="59" spans="2:16" ht="18.75" customHeight="1">
      <c r="B59" s="18" t="str">
        <f>IFERROR(INDEX(DATA2028!B$2:B$401,MATCH(42,DATA2028!I$2:I$401,0)),"")</f>
        <v/>
      </c>
      <c r="C59" s="19" t="str">
        <f>IFERROR(INDEX(DATA2028!C$2:C$401,MATCH(42,DATA2028!I$2:I$401,0)),"")</f>
        <v/>
      </c>
      <c r="D59" s="19" t="str">
        <f>IFERROR(INDEX(DATA2028!D$2:D$401,MATCH(42,DATA2028!I$2:I$401,0)),"")</f>
        <v/>
      </c>
      <c r="F59" s="18" t="str">
        <f>IFERROR(INDEX(DATA2028!B$2:B$401,MATCH(42,DATA2028!J$2:J$401,0)),"")</f>
        <v/>
      </c>
      <c r="G59" s="19" t="str">
        <f>IFERROR(INDEX(DATA2028!C$2:C$401,MATCH(42,DATA2028!J$2:J$401,0)),"")</f>
        <v/>
      </c>
      <c r="H59" s="19" t="str">
        <f>IFERROR(INDEX(DATA2028!D$2:D$401,MATCH(42,DATA2028!J$2:J$401,0)),"")</f>
        <v/>
      </c>
      <c r="J59" s="18" t="str">
        <f>IFERROR(INDEX(DATA2028!B$2:B$401,MATCH(42,DATA2028!K$2:K$401,0)),"")</f>
        <v/>
      </c>
      <c r="K59" s="19" t="str">
        <f>IFERROR(INDEX(DATA2028!C$2:C$401,MATCH(42,DATA2028!K$2:K$401,0)),"")</f>
        <v/>
      </c>
      <c r="L59" s="19" t="str">
        <f>IFERROR(INDEX(DATA2028!D$2:D$401,MATCH(42,DATA2028!K$2:K$401,0)),"")</f>
        <v/>
      </c>
      <c r="N59" s="18" t="str">
        <f>IFERROR(INDEX(DATA2028!B$2:B$401,MATCH(42,DATA2028!L$2:L$401,0)),"")</f>
        <v/>
      </c>
      <c r="O59" s="19" t="str">
        <f>IFERROR(INDEX(DATA2028!C$2:C$401,MATCH(42,DATA2028!L$2:L$401,0)),"")</f>
        <v/>
      </c>
      <c r="P59" s="19" t="str">
        <f>IFERROR(INDEX(DATA2028!D$2:D$401,MATCH(42,DATA2028!L$2:L$401,0)),"")</f>
        <v/>
      </c>
    </row>
    <row r="60" spans="2:16" ht="18.75" customHeight="1">
      <c r="B60" s="16" t="str">
        <f>IFERROR(INDEX(DATA2028!B$2:B$401,MATCH(43,DATA2028!I$2:I$401,0)),"")</f>
        <v/>
      </c>
      <c r="C60" s="17" t="str">
        <f>IFERROR(INDEX(DATA2028!C$2:C$401,MATCH(43,DATA2028!I$2:I$401,0)),"")</f>
        <v/>
      </c>
      <c r="D60" s="17" t="str">
        <f>IFERROR(INDEX(DATA2028!D$2:D$401,MATCH(43,DATA2028!I$2:I$401,0)),"")</f>
        <v/>
      </c>
      <c r="F60" s="16" t="str">
        <f>IFERROR(INDEX(DATA2028!B$2:B$401,MATCH(43,DATA2028!J$2:J$401,0)),"")</f>
        <v/>
      </c>
      <c r="G60" s="17" t="str">
        <f>IFERROR(INDEX(DATA2028!C$2:C$401,MATCH(43,DATA2028!J$2:J$401,0)),"")</f>
        <v/>
      </c>
      <c r="H60" s="17" t="str">
        <f>IFERROR(INDEX(DATA2028!D$2:D$401,MATCH(43,DATA2028!J$2:J$401,0)),"")</f>
        <v/>
      </c>
      <c r="J60" s="16" t="str">
        <f>IFERROR(INDEX(DATA2028!B$2:B$401,MATCH(43,DATA2028!K$2:K$401,0)),"")</f>
        <v/>
      </c>
      <c r="K60" s="17" t="str">
        <f>IFERROR(INDEX(DATA2028!C$2:C$401,MATCH(43,DATA2028!K$2:K$401,0)),"")</f>
        <v/>
      </c>
      <c r="L60" s="17" t="str">
        <f>IFERROR(INDEX(DATA2028!D$2:D$401,MATCH(43,DATA2028!K$2:K$401,0)),"")</f>
        <v/>
      </c>
      <c r="N60" s="16" t="str">
        <f>IFERROR(INDEX(DATA2028!B$2:B$401,MATCH(43,DATA2028!L$2:L$401,0)),"")</f>
        <v/>
      </c>
      <c r="O60" s="17" t="str">
        <f>IFERROR(INDEX(DATA2028!C$2:C$401,MATCH(43,DATA2028!L$2:L$401,0)),"")</f>
        <v/>
      </c>
      <c r="P60" s="17" t="str">
        <f>IFERROR(INDEX(DATA2028!D$2:D$401,MATCH(43,DATA2028!L$2:L$401,0)),"")</f>
        <v/>
      </c>
    </row>
    <row r="61" spans="2:16" ht="18.75" customHeight="1">
      <c r="B61" s="18" t="str">
        <f>IFERROR(INDEX(DATA2028!B$2:B$401,MATCH(44,DATA2028!I$2:I$401,0)),"")</f>
        <v/>
      </c>
      <c r="C61" s="19" t="str">
        <f>IFERROR(INDEX(DATA2028!C$2:C$401,MATCH(44,DATA2028!I$2:I$401,0)),"")</f>
        <v/>
      </c>
      <c r="D61" s="19" t="str">
        <f>IFERROR(INDEX(DATA2028!D$2:D$401,MATCH(44,DATA2028!I$2:I$401,0)),"")</f>
        <v/>
      </c>
      <c r="F61" s="18" t="str">
        <f>IFERROR(INDEX(DATA2028!B$2:B$401,MATCH(44,DATA2028!J$2:J$401,0)),"")</f>
        <v/>
      </c>
      <c r="G61" s="19" t="str">
        <f>IFERROR(INDEX(DATA2028!C$2:C$401,MATCH(44,DATA2028!J$2:J$401,0)),"")</f>
        <v/>
      </c>
      <c r="H61" s="19" t="str">
        <f>IFERROR(INDEX(DATA2028!D$2:D$401,MATCH(44,DATA2028!J$2:J$401,0)),"")</f>
        <v/>
      </c>
      <c r="J61" s="18" t="str">
        <f>IFERROR(INDEX(DATA2028!B$2:B$401,MATCH(44,DATA2028!K$2:K$401,0)),"")</f>
        <v/>
      </c>
      <c r="K61" s="19" t="str">
        <f>IFERROR(INDEX(DATA2028!C$2:C$401,MATCH(44,DATA2028!K$2:K$401,0)),"")</f>
        <v/>
      </c>
      <c r="L61" s="19" t="str">
        <f>IFERROR(INDEX(DATA2028!D$2:D$401,MATCH(44,DATA2028!K$2:K$401,0)),"")</f>
        <v/>
      </c>
      <c r="N61" s="18" t="str">
        <f>IFERROR(INDEX(DATA2028!B$2:B$401,MATCH(44,DATA2028!L$2:L$401,0)),"")</f>
        <v/>
      </c>
      <c r="O61" s="19" t="str">
        <f>IFERROR(INDEX(DATA2028!C$2:C$401,MATCH(44,DATA2028!L$2:L$401,0)),"")</f>
        <v/>
      </c>
      <c r="P61" s="19" t="str">
        <f>IFERROR(INDEX(DATA2028!D$2:D$401,MATCH(44,DATA2028!L$2:L$401,0)),"")</f>
        <v/>
      </c>
    </row>
    <row r="62" spans="2:16" ht="18.75" customHeight="1">
      <c r="B62" s="16" t="str">
        <f>IFERROR(INDEX(DATA2028!B$2:B$401,MATCH(45,DATA2028!I$2:I$401,0)),"")</f>
        <v/>
      </c>
      <c r="C62" s="17" t="str">
        <f>IFERROR(INDEX(DATA2028!C$2:C$401,MATCH(45,DATA2028!I$2:I$401,0)),"")</f>
        <v/>
      </c>
      <c r="D62" s="17" t="str">
        <f>IFERROR(INDEX(DATA2028!D$2:D$401,MATCH(45,DATA2028!I$2:I$401,0)),"")</f>
        <v/>
      </c>
      <c r="F62" s="16" t="str">
        <f>IFERROR(INDEX(DATA2028!B$2:B$401,MATCH(45,DATA2028!J$2:J$401,0)),"")</f>
        <v/>
      </c>
      <c r="G62" s="17" t="str">
        <f>IFERROR(INDEX(DATA2028!C$2:C$401,MATCH(45,DATA2028!J$2:J$401,0)),"")</f>
        <v/>
      </c>
      <c r="H62" s="17" t="str">
        <f>IFERROR(INDEX(DATA2028!D$2:D$401,MATCH(45,DATA2028!J$2:J$401,0)),"")</f>
        <v/>
      </c>
      <c r="J62" s="16" t="str">
        <f>IFERROR(INDEX(DATA2028!B$2:B$401,MATCH(45,DATA2028!K$2:K$401,0)),"")</f>
        <v/>
      </c>
      <c r="K62" s="17" t="str">
        <f>IFERROR(INDEX(DATA2028!C$2:C$401,MATCH(45,DATA2028!K$2:K$401,0)),"")</f>
        <v/>
      </c>
      <c r="L62" s="17" t="str">
        <f>IFERROR(INDEX(DATA2028!D$2:D$401,MATCH(45,DATA2028!K$2:K$401,0)),"")</f>
        <v/>
      </c>
      <c r="N62" s="16" t="str">
        <f>IFERROR(INDEX(DATA2028!B$2:B$401,MATCH(45,DATA2028!L$2:L$401,0)),"")</f>
        <v/>
      </c>
      <c r="O62" s="17" t="str">
        <f>IFERROR(INDEX(DATA2028!C$2:C$401,MATCH(45,DATA2028!L$2:L$401,0)),"")</f>
        <v/>
      </c>
      <c r="P62" s="17" t="str">
        <f>IFERROR(INDEX(DATA2028!D$2:D$401,MATCH(45,DATA2028!L$2:L$401,0)),"")</f>
        <v/>
      </c>
    </row>
    <row r="63" spans="2:16" ht="18.75" customHeight="1">
      <c r="B63" s="18" t="str">
        <f>IFERROR(INDEX(DATA2028!B$2:B$401,MATCH(46,DATA2028!I$2:I$401,0)),"")</f>
        <v/>
      </c>
      <c r="C63" s="19" t="str">
        <f>IFERROR(INDEX(DATA2028!C$2:C$401,MATCH(46,DATA2028!I$2:I$401,0)),"")</f>
        <v/>
      </c>
      <c r="D63" s="19" t="str">
        <f>IFERROR(INDEX(DATA2028!D$2:D$401,MATCH(46,DATA2028!I$2:I$401,0)),"")</f>
        <v/>
      </c>
      <c r="F63" s="18" t="str">
        <f>IFERROR(INDEX(DATA2028!B$2:B$401,MATCH(46,DATA2028!J$2:J$401,0)),"")</f>
        <v/>
      </c>
      <c r="G63" s="19" t="str">
        <f>IFERROR(INDEX(DATA2028!C$2:C$401,MATCH(46,DATA2028!J$2:J$401,0)),"")</f>
        <v/>
      </c>
      <c r="H63" s="19" t="str">
        <f>IFERROR(INDEX(DATA2028!D$2:D$401,MATCH(46,DATA2028!J$2:J$401,0)),"")</f>
        <v/>
      </c>
      <c r="J63" s="18" t="str">
        <f>IFERROR(INDEX(DATA2028!B$2:B$401,MATCH(46,DATA2028!K$2:K$401,0)),"")</f>
        <v/>
      </c>
      <c r="K63" s="19" t="str">
        <f>IFERROR(INDEX(DATA2028!C$2:C$401,MATCH(46,DATA2028!K$2:K$401,0)),"")</f>
        <v/>
      </c>
      <c r="L63" s="19" t="str">
        <f>IFERROR(INDEX(DATA2028!D$2:D$401,MATCH(46,DATA2028!K$2:K$401,0)),"")</f>
        <v/>
      </c>
      <c r="N63" s="18" t="str">
        <f>IFERROR(INDEX(DATA2028!B$2:B$401,MATCH(46,DATA2028!L$2:L$401,0)),"")</f>
        <v/>
      </c>
      <c r="O63" s="19" t="str">
        <f>IFERROR(INDEX(DATA2028!C$2:C$401,MATCH(46,DATA2028!L$2:L$401,0)),"")</f>
        <v/>
      </c>
      <c r="P63" s="19" t="str">
        <f>IFERROR(INDEX(DATA2028!D$2:D$401,MATCH(46,DATA2028!L$2:L$401,0)),"")</f>
        <v/>
      </c>
    </row>
    <row r="64" spans="2:16" ht="18.75" customHeight="1">
      <c r="B64" s="16" t="str">
        <f>IFERROR(INDEX(DATA2028!B$2:B$401,MATCH(47,DATA2028!I$2:I$401,0)),"")</f>
        <v/>
      </c>
      <c r="C64" s="17" t="str">
        <f>IFERROR(INDEX(DATA2028!C$2:C$401,MATCH(47,DATA2028!I$2:I$401,0)),"")</f>
        <v/>
      </c>
      <c r="D64" s="17" t="str">
        <f>IFERROR(INDEX(DATA2028!D$2:D$401,MATCH(47,DATA2028!I$2:I$401,0)),"")</f>
        <v/>
      </c>
      <c r="F64" s="16" t="str">
        <f>IFERROR(INDEX(DATA2028!B$2:B$401,MATCH(47,DATA2028!J$2:J$401,0)),"")</f>
        <v/>
      </c>
      <c r="G64" s="17" t="str">
        <f>IFERROR(INDEX(DATA2028!C$2:C$401,MATCH(47,DATA2028!J$2:J$401,0)),"")</f>
        <v/>
      </c>
      <c r="H64" s="17" t="str">
        <f>IFERROR(INDEX(DATA2028!D$2:D$401,MATCH(47,DATA2028!J$2:J$401,0)),"")</f>
        <v/>
      </c>
      <c r="J64" s="16" t="str">
        <f>IFERROR(INDEX(DATA2028!B$2:B$401,MATCH(47,DATA2028!K$2:K$401,0)),"")</f>
        <v/>
      </c>
      <c r="K64" s="17" t="str">
        <f>IFERROR(INDEX(DATA2028!C$2:C$401,MATCH(47,DATA2028!K$2:K$401,0)),"")</f>
        <v/>
      </c>
      <c r="L64" s="17" t="str">
        <f>IFERROR(INDEX(DATA2028!D$2:D$401,MATCH(47,DATA2028!K$2:K$401,0)),"")</f>
        <v/>
      </c>
      <c r="N64" s="16" t="str">
        <f>IFERROR(INDEX(DATA2028!B$2:B$401,MATCH(47,DATA2028!L$2:L$401,0)),"")</f>
        <v/>
      </c>
      <c r="O64" s="17" t="str">
        <f>IFERROR(INDEX(DATA2028!C$2:C$401,MATCH(47,DATA2028!L$2:L$401,0)),"")</f>
        <v/>
      </c>
      <c r="P64" s="17" t="str">
        <f>IFERROR(INDEX(DATA2028!D$2:D$401,MATCH(47,DATA2028!L$2:L$401,0)),"")</f>
        <v/>
      </c>
    </row>
    <row r="65" spans="2:16" ht="18.75" customHeight="1">
      <c r="B65" s="18" t="str">
        <f>IFERROR(INDEX(DATA2028!B$2:B$401,MATCH(48,DATA2028!I$2:I$401,0)),"")</f>
        <v/>
      </c>
      <c r="C65" s="19" t="str">
        <f>IFERROR(INDEX(DATA2028!C$2:C$401,MATCH(48,DATA2028!I$2:I$401,0)),"")</f>
        <v/>
      </c>
      <c r="D65" s="19" t="str">
        <f>IFERROR(INDEX(DATA2028!D$2:D$401,MATCH(48,DATA2028!I$2:I$401,0)),"")</f>
        <v/>
      </c>
      <c r="F65" s="18" t="str">
        <f>IFERROR(INDEX(DATA2028!B$2:B$401,MATCH(48,DATA2028!J$2:J$401,0)),"")</f>
        <v/>
      </c>
      <c r="G65" s="19" t="str">
        <f>IFERROR(INDEX(DATA2028!C$2:C$401,MATCH(48,DATA2028!J$2:J$401,0)),"")</f>
        <v/>
      </c>
      <c r="H65" s="19" t="str">
        <f>IFERROR(INDEX(DATA2028!D$2:D$401,MATCH(48,DATA2028!J$2:J$401,0)),"")</f>
        <v/>
      </c>
      <c r="J65" s="18" t="str">
        <f>IFERROR(INDEX(DATA2028!B$2:B$401,MATCH(48,DATA2028!K$2:K$401,0)),"")</f>
        <v/>
      </c>
      <c r="K65" s="19" t="str">
        <f>IFERROR(INDEX(DATA2028!C$2:C$401,MATCH(48,DATA2028!K$2:K$401,0)),"")</f>
        <v/>
      </c>
      <c r="L65" s="19" t="str">
        <f>IFERROR(INDEX(DATA2028!D$2:D$401,MATCH(48,DATA2028!K$2:K$401,0)),"")</f>
        <v/>
      </c>
      <c r="N65" s="18" t="str">
        <f>IFERROR(INDEX(DATA2028!B$2:B$401,MATCH(48,DATA2028!L$2:L$401,0)),"")</f>
        <v/>
      </c>
      <c r="O65" s="19" t="str">
        <f>IFERROR(INDEX(DATA2028!C$2:C$401,MATCH(48,DATA2028!L$2:L$401,0)),"")</f>
        <v/>
      </c>
      <c r="P65" s="19" t="str">
        <f>IFERROR(INDEX(DATA2028!D$2:D$401,MATCH(48,DATA2028!L$2:L$401,0)),"")</f>
        <v/>
      </c>
    </row>
    <row r="66" spans="2:16" ht="18.75" customHeight="1">
      <c r="B66" s="16" t="str">
        <f>IFERROR(INDEX(DATA2028!B$2:B$401,MATCH(49,DATA2028!I$2:I$401,0)),"")</f>
        <v/>
      </c>
      <c r="C66" s="17" t="str">
        <f>IFERROR(INDEX(DATA2028!C$2:C$401,MATCH(49,DATA2028!I$2:I$401,0)),"")</f>
        <v/>
      </c>
      <c r="D66" s="17" t="str">
        <f>IFERROR(INDEX(DATA2028!D$2:D$401,MATCH(49,DATA2028!I$2:I$401,0)),"")</f>
        <v/>
      </c>
      <c r="F66" s="16" t="str">
        <f>IFERROR(INDEX(DATA2028!B$2:B$401,MATCH(49,DATA2028!J$2:J$401,0)),"")</f>
        <v/>
      </c>
      <c r="G66" s="17" t="str">
        <f>IFERROR(INDEX(DATA2028!C$2:C$401,MATCH(49,DATA2028!J$2:J$401,0)),"")</f>
        <v/>
      </c>
      <c r="H66" s="17" t="str">
        <f>IFERROR(INDEX(DATA2028!D$2:D$401,MATCH(49,DATA2028!J$2:J$401,0)),"")</f>
        <v/>
      </c>
      <c r="J66" s="16" t="str">
        <f>IFERROR(INDEX(DATA2028!B$2:B$401,MATCH(49,DATA2028!K$2:K$401,0)),"")</f>
        <v/>
      </c>
      <c r="K66" s="17" t="str">
        <f>IFERROR(INDEX(DATA2028!C$2:C$401,MATCH(49,DATA2028!K$2:K$401,0)),"")</f>
        <v/>
      </c>
      <c r="L66" s="17" t="str">
        <f>IFERROR(INDEX(DATA2028!D$2:D$401,MATCH(49,DATA2028!K$2:K$401,0)),"")</f>
        <v/>
      </c>
      <c r="N66" s="16" t="str">
        <f>IFERROR(INDEX(DATA2028!B$2:B$401,MATCH(49,DATA2028!L$2:L$401,0)),"")</f>
        <v/>
      </c>
      <c r="O66" s="17" t="str">
        <f>IFERROR(INDEX(DATA2028!C$2:C$401,MATCH(49,DATA2028!L$2:L$401,0)),"")</f>
        <v/>
      </c>
      <c r="P66" s="17" t="str">
        <f>IFERROR(INDEX(DATA2028!D$2:D$401,MATCH(49,DATA2028!L$2:L$401,0)),"")</f>
        <v/>
      </c>
    </row>
    <row r="67" spans="2:16" ht="18.75" customHeight="1">
      <c r="B67" s="18" t="str">
        <f>IFERROR(INDEX(DATA2028!B$2:B$401,MATCH(50,DATA2028!I$2:I$401,0)),"")</f>
        <v/>
      </c>
      <c r="C67" s="19" t="str">
        <f>IFERROR(INDEX(DATA2028!C$2:C$401,MATCH(50,DATA2028!I$2:I$401,0)),"")</f>
        <v/>
      </c>
      <c r="D67" s="19" t="str">
        <f>IFERROR(INDEX(DATA2028!D$2:D$401,MATCH(50,DATA2028!I$2:I$401,0)),"")</f>
        <v/>
      </c>
      <c r="F67" s="18" t="str">
        <f>IFERROR(INDEX(DATA2028!B$2:B$401,MATCH(50,DATA2028!J$2:J$401,0)),"")</f>
        <v/>
      </c>
      <c r="G67" s="19" t="str">
        <f>IFERROR(INDEX(DATA2028!C$2:C$401,MATCH(50,DATA2028!J$2:J$401,0)),"")</f>
        <v/>
      </c>
      <c r="H67" s="19" t="str">
        <f>IFERROR(INDEX(DATA2028!D$2:D$401,MATCH(50,DATA2028!J$2:J$401,0)),"")</f>
        <v/>
      </c>
      <c r="J67" s="18" t="str">
        <f>IFERROR(INDEX(DATA2028!B$2:B$401,MATCH(50,DATA2028!K$2:K$401,0)),"")</f>
        <v/>
      </c>
      <c r="K67" s="19" t="str">
        <f>IFERROR(INDEX(DATA2028!C$2:C$401,MATCH(50,DATA2028!K$2:K$401,0)),"")</f>
        <v/>
      </c>
      <c r="L67" s="19" t="str">
        <f>IFERROR(INDEX(DATA2028!D$2:D$401,MATCH(50,DATA2028!K$2:K$401,0)),"")</f>
        <v/>
      </c>
      <c r="N67" s="18" t="str">
        <f>IFERROR(INDEX(DATA2028!B$2:B$401,MATCH(50,DATA2028!L$2:L$401,0)),"")</f>
        <v/>
      </c>
      <c r="O67" s="19" t="str">
        <f>IFERROR(INDEX(DATA2028!C$2:C$401,MATCH(50,DATA2028!L$2:L$401,0)),"")</f>
        <v/>
      </c>
      <c r="P67" s="19" t="str">
        <f>IFERROR(INDEX(DATA2028!D$2:D$401,MATCH(50,DATA2028!L$2:L$401,0)),"")</f>
        <v/>
      </c>
    </row>
    <row r="68" spans="2:16" ht="18.75" customHeight="1">
      <c r="B68" s="16" t="str">
        <f>IFERROR(INDEX(DATA2028!B$2:B$401,MATCH(51,DATA2028!I$2:I$401,0)),"")</f>
        <v/>
      </c>
      <c r="C68" s="17" t="str">
        <f>IFERROR(INDEX(DATA2028!C$2:C$401,MATCH(51,DATA2028!I$2:I$401,0)),"")</f>
        <v/>
      </c>
      <c r="D68" s="17" t="str">
        <f>IFERROR(INDEX(DATA2028!D$2:D$401,MATCH(51,DATA2028!I$2:I$401,0)),"")</f>
        <v/>
      </c>
      <c r="F68" s="16" t="str">
        <f>IFERROR(INDEX(DATA2028!B$2:B$401,MATCH(51,DATA2028!J$2:J$401,0)),"")</f>
        <v/>
      </c>
      <c r="G68" s="17" t="str">
        <f>IFERROR(INDEX(DATA2028!C$2:C$401,MATCH(51,DATA2028!J$2:J$401,0)),"")</f>
        <v/>
      </c>
      <c r="H68" s="17" t="str">
        <f>IFERROR(INDEX(DATA2028!D$2:D$401,MATCH(51,DATA2028!J$2:J$401,0)),"")</f>
        <v/>
      </c>
      <c r="J68" s="16" t="str">
        <f>IFERROR(INDEX(DATA2028!B$2:B$401,MATCH(51,DATA2028!K$2:K$401,0)),"")</f>
        <v/>
      </c>
      <c r="K68" s="17" t="str">
        <f>IFERROR(INDEX(DATA2028!C$2:C$401,MATCH(51,DATA2028!K$2:K$401,0)),"")</f>
        <v/>
      </c>
      <c r="L68" s="17" t="str">
        <f>IFERROR(INDEX(DATA2028!D$2:D$401,MATCH(51,DATA2028!K$2:K$401,0)),"")</f>
        <v/>
      </c>
      <c r="N68" s="16" t="str">
        <f>IFERROR(INDEX(DATA2028!B$2:B$401,MATCH(51,DATA2028!L$2:L$401,0)),"")</f>
        <v/>
      </c>
      <c r="O68" s="17" t="str">
        <f>IFERROR(INDEX(DATA2028!C$2:C$401,MATCH(51,DATA2028!L$2:L$401,0)),"")</f>
        <v/>
      </c>
      <c r="P68" s="17" t="str">
        <f>IFERROR(INDEX(DATA2028!D$2:D$401,MATCH(51,DATA2028!L$2:L$401,0)),"")</f>
        <v/>
      </c>
    </row>
    <row r="69" spans="2:16" ht="18.75" customHeight="1">
      <c r="B69" s="18" t="str">
        <f>IFERROR(INDEX(DATA2028!B$2:B$401,MATCH(52,DATA2028!I$2:I$401,0)),"")</f>
        <v/>
      </c>
      <c r="C69" s="19" t="str">
        <f>IFERROR(INDEX(DATA2028!C$2:C$401,MATCH(52,DATA2028!I$2:I$401,0)),"")</f>
        <v/>
      </c>
      <c r="D69" s="19" t="str">
        <f>IFERROR(INDEX(DATA2028!D$2:D$401,MATCH(52,DATA2028!I$2:I$401,0)),"")</f>
        <v/>
      </c>
      <c r="F69" s="18" t="str">
        <f>IFERROR(INDEX(DATA2028!B$2:B$401,MATCH(52,DATA2028!J$2:J$401,0)),"")</f>
        <v/>
      </c>
      <c r="G69" s="19" t="str">
        <f>IFERROR(INDEX(DATA2028!C$2:C$401,MATCH(52,DATA2028!J$2:J$401,0)),"")</f>
        <v/>
      </c>
      <c r="H69" s="19" t="str">
        <f>IFERROR(INDEX(DATA2028!D$2:D$401,MATCH(52,DATA2028!J$2:J$401,0)),"")</f>
        <v/>
      </c>
      <c r="J69" s="18" t="str">
        <f>IFERROR(INDEX(DATA2028!B$2:B$401,MATCH(52,DATA2028!K$2:K$401,0)),"")</f>
        <v/>
      </c>
      <c r="K69" s="19" t="str">
        <f>IFERROR(INDEX(DATA2028!C$2:C$401,MATCH(52,DATA2028!K$2:K$401,0)),"")</f>
        <v/>
      </c>
      <c r="L69" s="19" t="str">
        <f>IFERROR(INDEX(DATA2028!D$2:D$401,MATCH(52,DATA2028!K$2:K$401,0)),"")</f>
        <v/>
      </c>
      <c r="N69" s="18" t="str">
        <f>IFERROR(INDEX(DATA2028!B$2:B$401,MATCH(52,DATA2028!L$2:L$401,0)),"")</f>
        <v/>
      </c>
      <c r="O69" s="19" t="str">
        <f>IFERROR(INDEX(DATA2028!C$2:C$401,MATCH(52,DATA2028!L$2:L$401,0)),"")</f>
        <v/>
      </c>
      <c r="P69" s="19" t="str">
        <f>IFERROR(INDEX(DATA2028!D$2:D$401,MATCH(52,DATA2028!L$2:L$401,0)),"")</f>
        <v/>
      </c>
    </row>
    <row r="70" spans="2:16" ht="18.75" customHeight="1">
      <c r="B70" s="16" t="str">
        <f>IFERROR(INDEX(DATA2028!B$2:B$401,MATCH(53,DATA2028!I$2:I$401,0)),"")</f>
        <v/>
      </c>
      <c r="C70" s="17" t="str">
        <f>IFERROR(INDEX(DATA2028!C$2:C$401,MATCH(53,DATA2028!I$2:I$401,0)),"")</f>
        <v/>
      </c>
      <c r="D70" s="17" t="str">
        <f>IFERROR(INDEX(DATA2028!D$2:D$401,MATCH(53,DATA2028!I$2:I$401,0)),"")</f>
        <v/>
      </c>
      <c r="F70" s="16" t="str">
        <f>IFERROR(INDEX(DATA2028!B$2:B$401,MATCH(53,DATA2028!J$2:J$401,0)),"")</f>
        <v/>
      </c>
      <c r="G70" s="17" t="str">
        <f>IFERROR(INDEX(DATA2028!C$2:C$401,MATCH(53,DATA2028!J$2:J$401,0)),"")</f>
        <v/>
      </c>
      <c r="H70" s="17" t="str">
        <f>IFERROR(INDEX(DATA2028!D$2:D$401,MATCH(53,DATA2028!J$2:J$401,0)),"")</f>
        <v/>
      </c>
      <c r="J70" s="16" t="str">
        <f>IFERROR(INDEX(DATA2028!B$2:B$401,MATCH(53,DATA2028!K$2:K$401,0)),"")</f>
        <v/>
      </c>
      <c r="K70" s="17" t="str">
        <f>IFERROR(INDEX(DATA2028!C$2:C$401,MATCH(53,DATA2028!K$2:K$401,0)),"")</f>
        <v/>
      </c>
      <c r="L70" s="17" t="str">
        <f>IFERROR(INDEX(DATA2028!D$2:D$401,MATCH(53,DATA2028!K$2:K$401,0)),"")</f>
        <v/>
      </c>
      <c r="N70" s="16" t="str">
        <f>IFERROR(INDEX(DATA2028!B$2:B$401,MATCH(53,DATA2028!L$2:L$401,0)),"")</f>
        <v/>
      </c>
      <c r="O70" s="17" t="str">
        <f>IFERROR(INDEX(DATA2028!C$2:C$401,MATCH(53,DATA2028!L$2:L$401,0)),"")</f>
        <v/>
      </c>
      <c r="P70" s="17" t="str">
        <f>IFERROR(INDEX(DATA2028!D$2:D$401,MATCH(53,DATA2028!L$2:L$401,0)),"")</f>
        <v/>
      </c>
    </row>
    <row r="71" spans="2:16" ht="18.75" customHeight="1">
      <c r="B71" s="18" t="str">
        <f>IFERROR(INDEX(DATA2028!B$2:B$401,MATCH(54,DATA2028!I$2:I$401,0)),"")</f>
        <v/>
      </c>
      <c r="C71" s="19" t="str">
        <f>IFERROR(INDEX(DATA2028!C$2:C$401,MATCH(54,DATA2028!I$2:I$401,0)),"")</f>
        <v/>
      </c>
      <c r="D71" s="19" t="str">
        <f>IFERROR(INDEX(DATA2028!D$2:D$401,MATCH(54,DATA2028!I$2:I$401,0)),"")</f>
        <v/>
      </c>
      <c r="F71" s="18" t="str">
        <f>IFERROR(INDEX(DATA2028!B$2:B$401,MATCH(54,DATA2028!J$2:J$401,0)),"")</f>
        <v/>
      </c>
      <c r="G71" s="19" t="str">
        <f>IFERROR(INDEX(DATA2028!C$2:C$401,MATCH(54,DATA2028!J$2:J$401,0)),"")</f>
        <v/>
      </c>
      <c r="H71" s="19" t="str">
        <f>IFERROR(INDEX(DATA2028!D$2:D$401,MATCH(54,DATA2028!J$2:J$401,0)),"")</f>
        <v/>
      </c>
      <c r="J71" s="18" t="str">
        <f>IFERROR(INDEX(DATA2028!B$2:B$401,MATCH(54,DATA2028!K$2:K$401,0)),"")</f>
        <v/>
      </c>
      <c r="K71" s="19" t="str">
        <f>IFERROR(INDEX(DATA2028!C$2:C$401,MATCH(54,DATA2028!K$2:K$401,0)),"")</f>
        <v/>
      </c>
      <c r="L71" s="19" t="str">
        <f>IFERROR(INDEX(DATA2028!D$2:D$401,MATCH(54,DATA2028!K$2:K$401,0)),"")</f>
        <v/>
      </c>
      <c r="N71" s="18" t="str">
        <f>IFERROR(INDEX(DATA2028!B$2:B$401,MATCH(54,DATA2028!L$2:L$401,0)),"")</f>
        <v/>
      </c>
      <c r="O71" s="19" t="str">
        <f>IFERROR(INDEX(DATA2028!C$2:C$401,MATCH(54,DATA2028!L$2:L$401,0)),"")</f>
        <v/>
      </c>
      <c r="P71" s="19" t="str">
        <f>IFERROR(INDEX(DATA2028!D$2:D$401,MATCH(54,DATA2028!L$2:L$401,0)),"")</f>
        <v/>
      </c>
    </row>
    <row r="72" spans="2:16" ht="18.75" customHeight="1">
      <c r="B72" s="16" t="str">
        <f>IFERROR(INDEX(DATA2028!B$2:B$401,MATCH(55,DATA2028!I$2:I$401,0)),"")</f>
        <v/>
      </c>
      <c r="C72" s="17" t="str">
        <f>IFERROR(INDEX(DATA2028!C$2:C$401,MATCH(55,DATA2028!I$2:I$401,0)),"")</f>
        <v/>
      </c>
      <c r="D72" s="17" t="str">
        <f>IFERROR(INDEX(DATA2028!D$2:D$401,MATCH(55,DATA2028!I$2:I$401,0)),"")</f>
        <v/>
      </c>
      <c r="F72" s="16" t="str">
        <f>IFERROR(INDEX(DATA2028!B$2:B$401,MATCH(55,DATA2028!J$2:J$401,0)),"")</f>
        <v/>
      </c>
      <c r="G72" s="17" t="str">
        <f>IFERROR(INDEX(DATA2028!C$2:C$401,MATCH(55,DATA2028!J$2:J$401,0)),"")</f>
        <v/>
      </c>
      <c r="H72" s="17" t="str">
        <f>IFERROR(INDEX(DATA2028!D$2:D$401,MATCH(55,DATA2028!J$2:J$401,0)),"")</f>
        <v/>
      </c>
      <c r="J72" s="16" t="str">
        <f>IFERROR(INDEX(DATA2028!B$2:B$401,MATCH(55,DATA2028!K$2:K$401,0)),"")</f>
        <v/>
      </c>
      <c r="K72" s="17" t="str">
        <f>IFERROR(INDEX(DATA2028!C$2:C$401,MATCH(55,DATA2028!K$2:K$401,0)),"")</f>
        <v/>
      </c>
      <c r="L72" s="17" t="str">
        <f>IFERROR(INDEX(DATA2028!D$2:D$401,MATCH(55,DATA2028!K$2:K$401,0)),"")</f>
        <v/>
      </c>
      <c r="N72" s="16" t="str">
        <f>IFERROR(INDEX(DATA2028!B$2:B$401,MATCH(55,DATA2028!L$2:L$401,0)),"")</f>
        <v/>
      </c>
      <c r="O72" s="17" t="str">
        <f>IFERROR(INDEX(DATA2028!C$2:C$401,MATCH(55,DATA2028!L$2:L$401,0)),"")</f>
        <v/>
      </c>
      <c r="P72" s="17" t="str">
        <f>IFERROR(INDEX(DATA2028!D$2:D$401,MATCH(55,DATA2028!L$2:L$401,0)),"")</f>
        <v/>
      </c>
    </row>
    <row r="73" spans="2:16" ht="18.75" customHeight="1">
      <c r="B73" s="18" t="str">
        <f>IFERROR(INDEX(DATA2028!B$2:B$401,MATCH(56,DATA2028!I$2:I$401,0)),"")</f>
        <v/>
      </c>
      <c r="C73" s="19" t="str">
        <f>IFERROR(INDEX(DATA2028!C$2:C$401,MATCH(56,DATA2028!I$2:I$401,0)),"")</f>
        <v/>
      </c>
      <c r="D73" s="19" t="str">
        <f>IFERROR(INDEX(DATA2028!D$2:D$401,MATCH(56,DATA2028!I$2:I$401,0)),"")</f>
        <v/>
      </c>
      <c r="F73" s="18" t="str">
        <f>IFERROR(INDEX(DATA2028!B$2:B$401,MATCH(56,DATA2028!J$2:J$401,0)),"")</f>
        <v/>
      </c>
      <c r="G73" s="19" t="str">
        <f>IFERROR(INDEX(DATA2028!C$2:C$401,MATCH(56,DATA2028!J$2:J$401,0)),"")</f>
        <v/>
      </c>
      <c r="H73" s="19" t="str">
        <f>IFERROR(INDEX(DATA2028!D$2:D$401,MATCH(56,DATA2028!J$2:J$401,0)),"")</f>
        <v/>
      </c>
      <c r="J73" s="18" t="str">
        <f>IFERROR(INDEX(DATA2028!B$2:B$401,MATCH(56,DATA2028!K$2:K$401,0)),"")</f>
        <v/>
      </c>
      <c r="K73" s="19" t="str">
        <f>IFERROR(INDEX(DATA2028!C$2:C$401,MATCH(56,DATA2028!K$2:K$401,0)),"")</f>
        <v/>
      </c>
      <c r="L73" s="19" t="str">
        <f>IFERROR(INDEX(DATA2028!D$2:D$401,MATCH(56,DATA2028!K$2:K$401,0)),"")</f>
        <v/>
      </c>
      <c r="N73" s="18" t="str">
        <f>IFERROR(INDEX(DATA2028!B$2:B$401,MATCH(56,DATA2028!L$2:L$401,0)),"")</f>
        <v/>
      </c>
      <c r="O73" s="19" t="str">
        <f>IFERROR(INDEX(DATA2028!C$2:C$401,MATCH(56,DATA2028!L$2:L$401,0)),"")</f>
        <v/>
      </c>
      <c r="P73" s="19" t="str">
        <f>IFERROR(INDEX(DATA2028!D$2:D$401,MATCH(56,DATA2028!L$2:L$401,0)),"")</f>
        <v/>
      </c>
    </row>
    <row r="74" spans="2:16" ht="18.75" customHeight="1">
      <c r="B74" s="16" t="str">
        <f>IFERROR(INDEX(DATA2028!B$2:B$401,MATCH(57,DATA2028!I$2:I$401,0)),"")</f>
        <v/>
      </c>
      <c r="C74" s="17" t="str">
        <f>IFERROR(INDEX(DATA2028!C$2:C$401,MATCH(57,DATA2028!I$2:I$401,0)),"")</f>
        <v/>
      </c>
      <c r="D74" s="17" t="str">
        <f>IFERROR(INDEX(DATA2028!D$2:D$401,MATCH(57,DATA2028!I$2:I$401,0)),"")</f>
        <v/>
      </c>
      <c r="F74" s="16" t="str">
        <f>IFERROR(INDEX(DATA2028!B$2:B$401,MATCH(57,DATA2028!J$2:J$401,0)),"")</f>
        <v/>
      </c>
      <c r="G74" s="17" t="str">
        <f>IFERROR(INDEX(DATA2028!C$2:C$401,MATCH(57,DATA2028!J$2:J$401,0)),"")</f>
        <v/>
      </c>
      <c r="H74" s="17" t="str">
        <f>IFERROR(INDEX(DATA2028!D$2:D$401,MATCH(57,DATA2028!J$2:J$401,0)),"")</f>
        <v/>
      </c>
      <c r="J74" s="16" t="str">
        <f>IFERROR(INDEX(DATA2028!B$2:B$401,MATCH(57,DATA2028!K$2:K$401,0)),"")</f>
        <v/>
      </c>
      <c r="K74" s="17" t="str">
        <f>IFERROR(INDEX(DATA2028!C$2:C$401,MATCH(57,DATA2028!K$2:K$401,0)),"")</f>
        <v/>
      </c>
      <c r="L74" s="17" t="str">
        <f>IFERROR(INDEX(DATA2028!D$2:D$401,MATCH(57,DATA2028!K$2:K$401,0)),"")</f>
        <v/>
      </c>
      <c r="N74" s="16" t="str">
        <f>IFERROR(INDEX(DATA2028!B$2:B$401,MATCH(57,DATA2028!L$2:L$401,0)),"")</f>
        <v/>
      </c>
      <c r="O74" s="17" t="str">
        <f>IFERROR(INDEX(DATA2028!C$2:C$401,MATCH(57,DATA2028!L$2:L$401,0)),"")</f>
        <v/>
      </c>
      <c r="P74" s="17" t="str">
        <f>IFERROR(INDEX(DATA2028!D$2:D$401,MATCH(57,DATA2028!L$2:L$401,0)),"")</f>
        <v/>
      </c>
    </row>
    <row r="75" spans="2:16" ht="18.75" customHeight="1">
      <c r="B75" s="18" t="str">
        <f>IFERROR(INDEX(DATA2028!B$2:B$401,MATCH(58,DATA2028!I$2:I$401,0)),"")</f>
        <v/>
      </c>
      <c r="C75" s="19" t="str">
        <f>IFERROR(INDEX(DATA2028!C$2:C$401,MATCH(58,DATA2028!I$2:I$401,0)),"")</f>
        <v/>
      </c>
      <c r="D75" s="19" t="str">
        <f>IFERROR(INDEX(DATA2028!D$2:D$401,MATCH(58,DATA2028!I$2:I$401,0)),"")</f>
        <v/>
      </c>
      <c r="F75" s="18" t="str">
        <f>IFERROR(INDEX(DATA2028!B$2:B$401,MATCH(58,DATA2028!J$2:J$401,0)),"")</f>
        <v/>
      </c>
      <c r="G75" s="19" t="str">
        <f>IFERROR(INDEX(DATA2028!C$2:C$401,MATCH(58,DATA2028!J$2:J$401,0)),"")</f>
        <v/>
      </c>
      <c r="H75" s="19" t="str">
        <f>IFERROR(INDEX(DATA2028!D$2:D$401,MATCH(58,DATA2028!J$2:J$401,0)),"")</f>
        <v/>
      </c>
      <c r="J75" s="18" t="str">
        <f>IFERROR(INDEX(DATA2028!B$2:B$401,MATCH(58,DATA2028!K$2:K$401,0)),"")</f>
        <v/>
      </c>
      <c r="K75" s="19" t="str">
        <f>IFERROR(INDEX(DATA2028!C$2:C$401,MATCH(58,DATA2028!K$2:K$401,0)),"")</f>
        <v/>
      </c>
      <c r="L75" s="19" t="str">
        <f>IFERROR(INDEX(DATA2028!D$2:D$401,MATCH(58,DATA2028!K$2:K$401,0)),"")</f>
        <v/>
      </c>
      <c r="N75" s="18" t="str">
        <f>IFERROR(INDEX(DATA2028!B$2:B$401,MATCH(58,DATA2028!L$2:L$401,0)),"")</f>
        <v/>
      </c>
      <c r="O75" s="19" t="str">
        <f>IFERROR(INDEX(DATA2028!C$2:C$401,MATCH(58,DATA2028!L$2:L$401,0)),"")</f>
        <v/>
      </c>
      <c r="P75" s="19" t="str">
        <f>IFERROR(INDEX(DATA2028!D$2:D$401,MATCH(58,DATA2028!L$2:L$401,0)),"")</f>
        <v/>
      </c>
    </row>
    <row r="76" spans="2:16" ht="18.75" customHeight="1">
      <c r="B76" s="16" t="str">
        <f>IFERROR(INDEX(DATA2028!B$2:B$401,MATCH(59,DATA2028!I$2:I$401,0)),"")</f>
        <v/>
      </c>
      <c r="C76" s="17" t="str">
        <f>IFERROR(INDEX(DATA2028!C$2:C$401,MATCH(59,DATA2028!I$2:I$401,0)),"")</f>
        <v/>
      </c>
      <c r="D76" s="17" t="str">
        <f>IFERROR(INDEX(DATA2028!D$2:D$401,MATCH(59,DATA2028!I$2:I$401,0)),"")</f>
        <v/>
      </c>
      <c r="F76" s="16" t="str">
        <f>IFERROR(INDEX(DATA2028!B$2:B$401,MATCH(59,DATA2028!J$2:J$401,0)),"")</f>
        <v/>
      </c>
      <c r="G76" s="17" t="str">
        <f>IFERROR(INDEX(DATA2028!C$2:C$401,MATCH(59,DATA2028!J$2:J$401,0)),"")</f>
        <v/>
      </c>
      <c r="H76" s="17" t="str">
        <f>IFERROR(INDEX(DATA2028!D$2:D$401,MATCH(59,DATA2028!J$2:J$401,0)),"")</f>
        <v/>
      </c>
      <c r="J76" s="16" t="str">
        <f>IFERROR(INDEX(DATA2028!B$2:B$401,MATCH(59,DATA2028!K$2:K$401,0)),"")</f>
        <v/>
      </c>
      <c r="K76" s="17" t="str">
        <f>IFERROR(INDEX(DATA2028!C$2:C$401,MATCH(59,DATA2028!K$2:K$401,0)),"")</f>
        <v/>
      </c>
      <c r="L76" s="17" t="str">
        <f>IFERROR(INDEX(DATA2028!D$2:D$401,MATCH(59,DATA2028!K$2:K$401,0)),"")</f>
        <v/>
      </c>
      <c r="N76" s="16" t="str">
        <f>IFERROR(INDEX(DATA2028!B$2:B$401,MATCH(59,DATA2028!L$2:L$401,0)),"")</f>
        <v/>
      </c>
      <c r="O76" s="17" t="str">
        <f>IFERROR(INDEX(DATA2028!C$2:C$401,MATCH(59,DATA2028!L$2:L$401,0)),"")</f>
        <v/>
      </c>
      <c r="P76" s="17" t="str">
        <f>IFERROR(INDEX(DATA2028!D$2:D$401,MATCH(59,DATA2028!L$2:L$401,0)),"")</f>
        <v/>
      </c>
    </row>
    <row r="77" spans="2:16" ht="18.75" customHeight="1">
      <c r="B77" s="18" t="str">
        <f>IFERROR(INDEX(DATA2028!B$2:B$401,MATCH(60,DATA2028!I$2:I$401,0)),"")</f>
        <v/>
      </c>
      <c r="C77" s="19" t="str">
        <f>IFERROR(INDEX(DATA2028!C$2:C$401,MATCH(60,DATA2028!I$2:I$401,0)),"")</f>
        <v/>
      </c>
      <c r="D77" s="19" t="str">
        <f>IFERROR(INDEX(DATA2028!D$2:D$401,MATCH(60,DATA2028!I$2:I$401,0)),"")</f>
        <v/>
      </c>
      <c r="F77" s="18" t="str">
        <f>IFERROR(INDEX(DATA2028!B$2:B$401,MATCH(60,DATA2028!J$2:J$401,0)),"")</f>
        <v/>
      </c>
      <c r="G77" s="19" t="str">
        <f>IFERROR(INDEX(DATA2028!C$2:C$401,MATCH(60,DATA2028!J$2:J$401,0)),"")</f>
        <v/>
      </c>
      <c r="H77" s="19" t="str">
        <f>IFERROR(INDEX(DATA2028!D$2:D$401,MATCH(60,DATA2028!J$2:J$401,0)),"")</f>
        <v/>
      </c>
      <c r="J77" s="18" t="str">
        <f>IFERROR(INDEX(DATA2028!B$2:B$401,MATCH(60,DATA2028!K$2:K$401,0)),"")</f>
        <v/>
      </c>
      <c r="K77" s="19" t="str">
        <f>IFERROR(INDEX(DATA2028!C$2:C$401,MATCH(60,DATA2028!K$2:K$401,0)),"")</f>
        <v/>
      </c>
      <c r="L77" s="19" t="str">
        <f>IFERROR(INDEX(DATA2028!D$2:D$401,MATCH(60,DATA2028!K$2:K$401,0)),"")</f>
        <v/>
      </c>
      <c r="N77" s="18" t="str">
        <f>IFERROR(INDEX(DATA2028!B$2:B$401,MATCH(60,DATA2028!L$2:L$401,0)),"")</f>
        <v/>
      </c>
      <c r="O77" s="19" t="str">
        <f>IFERROR(INDEX(DATA2028!C$2:C$401,MATCH(60,DATA2028!L$2:L$401,0)),"")</f>
        <v/>
      </c>
      <c r="P77" s="19" t="str">
        <f>IFERROR(INDEX(DATA2028!D$2:D$401,MATCH(60,DATA2028!L$2:L$401,0)),"")</f>
        <v/>
      </c>
    </row>
    <row r="78" spans="2:16" ht="18.75" customHeight="1">
      <c r="B78" s="16" t="str">
        <f>IFERROR(INDEX(DATA2028!B$2:B$401,MATCH(61,DATA2028!I$2:I$401,0)),"")</f>
        <v/>
      </c>
      <c r="C78" s="17" t="str">
        <f>IFERROR(INDEX(DATA2028!C$2:C$401,MATCH(61,DATA2028!I$2:I$401,0)),"")</f>
        <v/>
      </c>
      <c r="D78" s="17" t="str">
        <f>IFERROR(INDEX(DATA2028!D$2:D$401,MATCH(61,DATA2028!I$2:I$401,0)),"")</f>
        <v/>
      </c>
      <c r="F78" s="16" t="str">
        <f>IFERROR(INDEX(DATA2028!B$2:B$401,MATCH(61,DATA2028!J$2:J$401,0)),"")</f>
        <v/>
      </c>
      <c r="G78" s="17" t="str">
        <f>IFERROR(INDEX(DATA2028!C$2:C$401,MATCH(61,DATA2028!J$2:J$401,0)),"")</f>
        <v/>
      </c>
      <c r="H78" s="17" t="str">
        <f>IFERROR(INDEX(DATA2028!D$2:D$401,MATCH(61,DATA2028!J$2:J$401,0)),"")</f>
        <v/>
      </c>
      <c r="J78" s="16" t="str">
        <f>IFERROR(INDEX(DATA2028!B$2:B$401,MATCH(61,DATA2028!K$2:K$401,0)),"")</f>
        <v/>
      </c>
      <c r="K78" s="17" t="str">
        <f>IFERROR(INDEX(DATA2028!C$2:C$401,MATCH(61,DATA2028!K$2:K$401,0)),"")</f>
        <v/>
      </c>
      <c r="L78" s="17" t="str">
        <f>IFERROR(INDEX(DATA2028!D$2:D$401,MATCH(61,DATA2028!K$2:K$401,0)),"")</f>
        <v/>
      </c>
      <c r="N78" s="16" t="str">
        <f>IFERROR(INDEX(DATA2028!B$2:B$401,MATCH(61,DATA2028!L$2:L$401,0)),"")</f>
        <v/>
      </c>
      <c r="O78" s="17" t="str">
        <f>IFERROR(INDEX(DATA2028!C$2:C$401,MATCH(61,DATA2028!L$2:L$401,0)),"")</f>
        <v/>
      </c>
      <c r="P78" s="17" t="str">
        <f>IFERROR(INDEX(DATA2028!D$2:D$401,MATCH(61,DATA2028!L$2:L$401,0)),"")</f>
        <v/>
      </c>
    </row>
    <row r="79" spans="2:16" ht="18.75" customHeight="1">
      <c r="B79" s="18" t="str">
        <f>IFERROR(INDEX(DATA2028!B$2:B$401,MATCH(62,DATA2028!I$2:I$401,0)),"")</f>
        <v/>
      </c>
      <c r="C79" s="19" t="str">
        <f>IFERROR(INDEX(DATA2028!C$2:C$401,MATCH(62,DATA2028!I$2:I$401,0)),"")</f>
        <v/>
      </c>
      <c r="D79" s="19" t="str">
        <f>IFERROR(INDEX(DATA2028!D$2:D$401,MATCH(62,DATA2028!I$2:I$401,0)),"")</f>
        <v/>
      </c>
      <c r="F79" s="18" t="str">
        <f>IFERROR(INDEX(DATA2028!B$2:B$401,MATCH(62,DATA2028!J$2:J$401,0)),"")</f>
        <v/>
      </c>
      <c r="G79" s="19" t="str">
        <f>IFERROR(INDEX(DATA2028!C$2:C$401,MATCH(62,DATA2028!J$2:J$401,0)),"")</f>
        <v/>
      </c>
      <c r="H79" s="19" t="str">
        <f>IFERROR(INDEX(DATA2028!D$2:D$401,MATCH(62,DATA2028!J$2:J$401,0)),"")</f>
        <v/>
      </c>
      <c r="J79" s="18" t="str">
        <f>IFERROR(INDEX(DATA2028!B$2:B$401,MATCH(62,DATA2028!K$2:K$401,0)),"")</f>
        <v/>
      </c>
      <c r="K79" s="19" t="str">
        <f>IFERROR(INDEX(DATA2028!C$2:C$401,MATCH(62,DATA2028!K$2:K$401,0)),"")</f>
        <v/>
      </c>
      <c r="L79" s="19" t="str">
        <f>IFERROR(INDEX(DATA2028!D$2:D$401,MATCH(62,DATA2028!K$2:K$401,0)),"")</f>
        <v/>
      </c>
      <c r="N79" s="18" t="str">
        <f>IFERROR(INDEX(DATA2028!B$2:B$401,MATCH(62,DATA2028!L$2:L$401,0)),"")</f>
        <v/>
      </c>
      <c r="O79" s="19" t="str">
        <f>IFERROR(INDEX(DATA2028!C$2:C$401,MATCH(62,DATA2028!L$2:L$401,0)),"")</f>
        <v/>
      </c>
      <c r="P79" s="19" t="str">
        <f>IFERROR(INDEX(DATA2028!D$2:D$401,MATCH(62,DATA2028!L$2:L$401,0)),"")</f>
        <v/>
      </c>
    </row>
    <row r="80" spans="2:16" ht="18.75" customHeight="1">
      <c r="B80" s="16" t="str">
        <f>IFERROR(INDEX(DATA2028!B$2:B$401,MATCH(63,DATA2028!I$2:I$401,0)),"")</f>
        <v/>
      </c>
      <c r="C80" s="17" t="str">
        <f>IFERROR(INDEX(DATA2028!C$2:C$401,MATCH(63,DATA2028!I$2:I$401,0)),"")</f>
        <v/>
      </c>
      <c r="D80" s="17" t="str">
        <f>IFERROR(INDEX(DATA2028!D$2:D$401,MATCH(63,DATA2028!I$2:I$401,0)),"")</f>
        <v/>
      </c>
      <c r="F80" s="16" t="str">
        <f>IFERROR(INDEX(DATA2028!B$2:B$401,MATCH(63,DATA2028!J$2:J$401,0)),"")</f>
        <v/>
      </c>
      <c r="G80" s="17" t="str">
        <f>IFERROR(INDEX(DATA2028!C$2:C$401,MATCH(63,DATA2028!J$2:J$401,0)),"")</f>
        <v/>
      </c>
      <c r="H80" s="17" t="str">
        <f>IFERROR(INDEX(DATA2028!D$2:D$401,MATCH(63,DATA2028!J$2:J$401,0)),"")</f>
        <v/>
      </c>
      <c r="J80" s="16" t="str">
        <f>IFERROR(INDEX(DATA2028!B$2:B$401,MATCH(63,DATA2028!K$2:K$401,0)),"")</f>
        <v/>
      </c>
      <c r="K80" s="17" t="str">
        <f>IFERROR(INDEX(DATA2028!C$2:C$401,MATCH(63,DATA2028!K$2:K$401,0)),"")</f>
        <v/>
      </c>
      <c r="L80" s="17" t="str">
        <f>IFERROR(INDEX(DATA2028!D$2:D$401,MATCH(63,DATA2028!K$2:K$401,0)),"")</f>
        <v/>
      </c>
      <c r="N80" s="16" t="str">
        <f>IFERROR(INDEX(DATA2028!B$2:B$401,MATCH(63,DATA2028!L$2:L$401,0)),"")</f>
        <v/>
      </c>
      <c r="O80" s="17" t="str">
        <f>IFERROR(INDEX(DATA2028!C$2:C$401,MATCH(63,DATA2028!L$2:L$401,0)),"")</f>
        <v/>
      </c>
      <c r="P80" s="17" t="str">
        <f>IFERROR(INDEX(DATA2028!D$2:D$401,MATCH(63,DATA2028!L$2:L$401,0)),"")</f>
        <v/>
      </c>
    </row>
    <row r="81" spans="2:16" ht="18.75" customHeight="1">
      <c r="B81" s="18" t="str">
        <f>IFERROR(INDEX(DATA2028!B$2:B$401,MATCH(64,DATA2028!I$2:I$401,0)),"")</f>
        <v/>
      </c>
      <c r="C81" s="19" t="str">
        <f>IFERROR(INDEX(DATA2028!C$2:C$401,MATCH(64,DATA2028!I$2:I$401,0)),"")</f>
        <v/>
      </c>
      <c r="D81" s="19" t="str">
        <f>IFERROR(INDEX(DATA2028!D$2:D$401,MATCH(64,DATA2028!I$2:I$401,0)),"")</f>
        <v/>
      </c>
      <c r="F81" s="18" t="str">
        <f>IFERROR(INDEX(DATA2028!B$2:B$401,MATCH(64,DATA2028!J$2:J$401,0)),"")</f>
        <v/>
      </c>
      <c r="G81" s="19" t="str">
        <f>IFERROR(INDEX(DATA2028!C$2:C$401,MATCH(64,DATA2028!J$2:J$401,0)),"")</f>
        <v/>
      </c>
      <c r="H81" s="19" t="str">
        <f>IFERROR(INDEX(DATA2028!D$2:D$401,MATCH(64,DATA2028!J$2:J$401,0)),"")</f>
        <v/>
      </c>
      <c r="J81" s="18" t="str">
        <f>IFERROR(INDEX(DATA2028!B$2:B$401,MATCH(64,DATA2028!K$2:K$401,0)),"")</f>
        <v/>
      </c>
      <c r="K81" s="19" t="str">
        <f>IFERROR(INDEX(DATA2028!C$2:C$401,MATCH(64,DATA2028!K$2:K$401,0)),"")</f>
        <v/>
      </c>
      <c r="L81" s="19" t="str">
        <f>IFERROR(INDEX(DATA2028!D$2:D$401,MATCH(64,DATA2028!K$2:K$401,0)),"")</f>
        <v/>
      </c>
      <c r="N81" s="18" t="str">
        <f>IFERROR(INDEX(DATA2028!B$2:B$401,MATCH(64,DATA2028!L$2:L$401,0)),"")</f>
        <v/>
      </c>
      <c r="O81" s="19" t="str">
        <f>IFERROR(INDEX(DATA2028!C$2:C$401,MATCH(64,DATA2028!L$2:L$401,0)),"")</f>
        <v/>
      </c>
      <c r="P81" s="19" t="str">
        <f>IFERROR(INDEX(DATA2028!D$2:D$401,MATCH(64,DATA2028!L$2:L$401,0)),"")</f>
        <v/>
      </c>
    </row>
    <row r="82" spans="2:16" ht="18.75" customHeight="1">
      <c r="B82" s="16" t="str">
        <f>IFERROR(INDEX(DATA2028!B$2:B$401,MATCH(65,DATA2028!I$2:I$401,0)),"")</f>
        <v/>
      </c>
      <c r="C82" s="17" t="str">
        <f>IFERROR(INDEX(DATA2028!C$2:C$401,MATCH(65,DATA2028!I$2:I$401,0)),"")</f>
        <v/>
      </c>
      <c r="D82" s="17" t="str">
        <f>IFERROR(INDEX(DATA2028!D$2:D$401,MATCH(65,DATA2028!I$2:I$401,0)),"")</f>
        <v/>
      </c>
      <c r="F82" s="16" t="str">
        <f>IFERROR(INDEX(DATA2028!B$2:B$401,MATCH(65,DATA2028!J$2:J$401,0)),"")</f>
        <v/>
      </c>
      <c r="G82" s="17" t="str">
        <f>IFERROR(INDEX(DATA2028!C$2:C$401,MATCH(65,DATA2028!J$2:J$401,0)),"")</f>
        <v/>
      </c>
      <c r="H82" s="17" t="str">
        <f>IFERROR(INDEX(DATA2028!D$2:D$401,MATCH(65,DATA2028!J$2:J$401,0)),"")</f>
        <v/>
      </c>
      <c r="J82" s="16" t="str">
        <f>IFERROR(INDEX(DATA2028!B$2:B$401,MATCH(65,DATA2028!K$2:K$401,0)),"")</f>
        <v/>
      </c>
      <c r="K82" s="17" t="str">
        <f>IFERROR(INDEX(DATA2028!C$2:C$401,MATCH(65,DATA2028!K$2:K$401,0)),"")</f>
        <v/>
      </c>
      <c r="L82" s="17" t="str">
        <f>IFERROR(INDEX(DATA2028!D$2:D$401,MATCH(65,DATA2028!K$2:K$401,0)),"")</f>
        <v/>
      </c>
      <c r="N82" s="16" t="str">
        <f>IFERROR(INDEX(DATA2028!B$2:B$401,MATCH(65,DATA2028!L$2:L$401,0)),"")</f>
        <v/>
      </c>
      <c r="O82" s="17" t="str">
        <f>IFERROR(INDEX(DATA2028!C$2:C$401,MATCH(65,DATA2028!L$2:L$401,0)),"")</f>
        <v/>
      </c>
      <c r="P82" s="17" t="str">
        <f>IFERROR(INDEX(DATA2028!D$2:D$401,MATCH(65,DATA2028!L$2:L$401,0)),"")</f>
        <v/>
      </c>
    </row>
    <row r="83" spans="2:16" ht="18.75" customHeight="1">
      <c r="B83" s="18" t="str">
        <f>IFERROR(INDEX(DATA2028!B$2:B$401,MATCH(66,DATA2028!I$2:I$401,0)),"")</f>
        <v/>
      </c>
      <c r="C83" s="19" t="str">
        <f>IFERROR(INDEX(DATA2028!C$2:C$401,MATCH(66,DATA2028!I$2:I$401,0)),"")</f>
        <v/>
      </c>
      <c r="D83" s="19" t="str">
        <f>IFERROR(INDEX(DATA2028!D$2:D$401,MATCH(66,DATA2028!I$2:I$401,0)),"")</f>
        <v/>
      </c>
      <c r="F83" s="18" t="str">
        <f>IFERROR(INDEX(DATA2028!B$2:B$401,MATCH(66,DATA2028!J$2:J$401,0)),"")</f>
        <v/>
      </c>
      <c r="G83" s="19" t="str">
        <f>IFERROR(INDEX(DATA2028!C$2:C$401,MATCH(66,DATA2028!J$2:J$401,0)),"")</f>
        <v/>
      </c>
      <c r="H83" s="19" t="str">
        <f>IFERROR(INDEX(DATA2028!D$2:D$401,MATCH(66,DATA2028!J$2:J$401,0)),"")</f>
        <v/>
      </c>
      <c r="J83" s="18" t="str">
        <f>IFERROR(INDEX(DATA2028!B$2:B$401,MATCH(66,DATA2028!K$2:K$401,0)),"")</f>
        <v/>
      </c>
      <c r="K83" s="19" t="str">
        <f>IFERROR(INDEX(DATA2028!C$2:C$401,MATCH(66,DATA2028!K$2:K$401,0)),"")</f>
        <v/>
      </c>
      <c r="L83" s="19" t="str">
        <f>IFERROR(INDEX(DATA2028!D$2:D$401,MATCH(66,DATA2028!K$2:K$401,0)),"")</f>
        <v/>
      </c>
      <c r="N83" s="18" t="str">
        <f>IFERROR(INDEX(DATA2028!B$2:B$401,MATCH(66,DATA2028!L$2:L$401,0)),"")</f>
        <v/>
      </c>
      <c r="O83" s="19" t="str">
        <f>IFERROR(INDEX(DATA2028!C$2:C$401,MATCH(66,DATA2028!L$2:L$401,0)),"")</f>
        <v/>
      </c>
      <c r="P83" s="19" t="str">
        <f>IFERROR(INDEX(DATA2028!D$2:D$401,MATCH(66,DATA2028!L$2:L$401,0)),"")</f>
        <v/>
      </c>
    </row>
    <row r="84" spans="2:16" ht="18.75" customHeight="1">
      <c r="B84" s="16" t="str">
        <f>IFERROR(INDEX(DATA2028!B$2:B$401,MATCH(67,DATA2028!I$2:I$401,0)),"")</f>
        <v/>
      </c>
      <c r="C84" s="17" t="str">
        <f>IFERROR(INDEX(DATA2028!C$2:C$401,MATCH(67,DATA2028!I$2:I$401,0)),"")</f>
        <v/>
      </c>
      <c r="D84" s="17" t="str">
        <f>IFERROR(INDEX(DATA2028!D$2:D$401,MATCH(67,DATA2028!I$2:I$401,0)),"")</f>
        <v/>
      </c>
      <c r="F84" s="16" t="str">
        <f>IFERROR(INDEX(DATA2028!B$2:B$401,MATCH(67,DATA2028!J$2:J$401,0)),"")</f>
        <v/>
      </c>
      <c r="G84" s="17" t="str">
        <f>IFERROR(INDEX(DATA2028!C$2:C$401,MATCH(67,DATA2028!J$2:J$401,0)),"")</f>
        <v/>
      </c>
      <c r="H84" s="17" t="str">
        <f>IFERROR(INDEX(DATA2028!D$2:D$401,MATCH(67,DATA2028!J$2:J$401,0)),"")</f>
        <v/>
      </c>
      <c r="J84" s="16" t="str">
        <f>IFERROR(INDEX(DATA2028!B$2:B$401,MATCH(67,DATA2028!K$2:K$401,0)),"")</f>
        <v/>
      </c>
      <c r="K84" s="17" t="str">
        <f>IFERROR(INDEX(DATA2028!C$2:C$401,MATCH(67,DATA2028!K$2:K$401,0)),"")</f>
        <v/>
      </c>
      <c r="L84" s="17" t="str">
        <f>IFERROR(INDEX(DATA2028!D$2:D$401,MATCH(67,DATA2028!K$2:K$401,0)),"")</f>
        <v/>
      </c>
      <c r="N84" s="16" t="str">
        <f>IFERROR(INDEX(DATA2028!B$2:B$401,MATCH(67,DATA2028!L$2:L$401,0)),"")</f>
        <v/>
      </c>
      <c r="O84" s="17" t="str">
        <f>IFERROR(INDEX(DATA2028!C$2:C$401,MATCH(67,DATA2028!L$2:L$401,0)),"")</f>
        <v/>
      </c>
      <c r="P84" s="17" t="str">
        <f>IFERROR(INDEX(DATA2028!D$2:D$401,MATCH(67,DATA2028!L$2:L$401,0)),"")</f>
        <v/>
      </c>
    </row>
    <row r="85" spans="2:16" ht="18.75" customHeight="1">
      <c r="B85" s="18" t="str">
        <f>IFERROR(INDEX(DATA2028!B$2:B$401,MATCH(68,DATA2028!I$2:I$401,0)),"")</f>
        <v/>
      </c>
      <c r="C85" s="19" t="str">
        <f>IFERROR(INDEX(DATA2028!C$2:C$401,MATCH(68,DATA2028!I$2:I$401,0)),"")</f>
        <v/>
      </c>
      <c r="D85" s="19" t="str">
        <f>IFERROR(INDEX(DATA2028!D$2:D$401,MATCH(68,DATA2028!I$2:I$401,0)),"")</f>
        <v/>
      </c>
      <c r="F85" s="18" t="str">
        <f>IFERROR(INDEX(DATA2028!B$2:B$401,MATCH(68,DATA2028!J$2:J$401,0)),"")</f>
        <v/>
      </c>
      <c r="G85" s="19" t="str">
        <f>IFERROR(INDEX(DATA2028!C$2:C$401,MATCH(68,DATA2028!J$2:J$401,0)),"")</f>
        <v/>
      </c>
      <c r="H85" s="19" t="str">
        <f>IFERROR(INDEX(DATA2028!D$2:D$401,MATCH(68,DATA2028!J$2:J$401,0)),"")</f>
        <v/>
      </c>
      <c r="J85" s="18" t="str">
        <f>IFERROR(INDEX(DATA2028!B$2:B$401,MATCH(68,DATA2028!K$2:K$401,0)),"")</f>
        <v/>
      </c>
      <c r="K85" s="19" t="str">
        <f>IFERROR(INDEX(DATA2028!C$2:C$401,MATCH(68,DATA2028!K$2:K$401,0)),"")</f>
        <v/>
      </c>
      <c r="L85" s="19" t="str">
        <f>IFERROR(INDEX(DATA2028!D$2:D$401,MATCH(68,DATA2028!K$2:K$401,0)),"")</f>
        <v/>
      </c>
      <c r="N85" s="18" t="str">
        <f>IFERROR(INDEX(DATA2028!B$2:B$401,MATCH(68,DATA2028!L$2:L$401,0)),"")</f>
        <v/>
      </c>
      <c r="O85" s="19" t="str">
        <f>IFERROR(INDEX(DATA2028!C$2:C$401,MATCH(68,DATA2028!L$2:L$401,0)),"")</f>
        <v/>
      </c>
      <c r="P85" s="19" t="str">
        <f>IFERROR(INDEX(DATA2028!D$2:D$401,MATCH(68,DATA2028!L$2:L$401,0)),"")</f>
        <v/>
      </c>
    </row>
    <row r="86" spans="2:16" ht="18.75" customHeight="1">
      <c r="B86" s="16" t="str">
        <f>IFERROR(INDEX(DATA2028!B$2:B$401,MATCH(69,DATA2028!I$2:I$401,0)),"")</f>
        <v/>
      </c>
      <c r="C86" s="17" t="str">
        <f>IFERROR(INDEX(DATA2028!C$2:C$401,MATCH(69,DATA2028!I$2:I$401,0)),"")</f>
        <v/>
      </c>
      <c r="D86" s="17" t="str">
        <f>IFERROR(INDEX(DATA2028!D$2:D$401,MATCH(69,DATA2028!I$2:I$401,0)),"")</f>
        <v/>
      </c>
      <c r="F86" s="16" t="str">
        <f>IFERROR(INDEX(DATA2028!B$2:B$401,MATCH(69,DATA2028!J$2:J$401,0)),"")</f>
        <v/>
      </c>
      <c r="G86" s="17" t="str">
        <f>IFERROR(INDEX(DATA2028!C$2:C$401,MATCH(69,DATA2028!J$2:J$401,0)),"")</f>
        <v/>
      </c>
      <c r="H86" s="17" t="str">
        <f>IFERROR(INDEX(DATA2028!D$2:D$401,MATCH(69,DATA2028!J$2:J$401,0)),"")</f>
        <v/>
      </c>
      <c r="J86" s="16" t="str">
        <f>IFERROR(INDEX(DATA2028!B$2:B$401,MATCH(69,DATA2028!K$2:K$401,0)),"")</f>
        <v/>
      </c>
      <c r="K86" s="17" t="str">
        <f>IFERROR(INDEX(DATA2028!C$2:C$401,MATCH(69,DATA2028!K$2:K$401,0)),"")</f>
        <v/>
      </c>
      <c r="L86" s="17" t="str">
        <f>IFERROR(INDEX(DATA2028!D$2:D$401,MATCH(69,DATA2028!K$2:K$401,0)),"")</f>
        <v/>
      </c>
      <c r="N86" s="16" t="str">
        <f>IFERROR(INDEX(DATA2028!B$2:B$401,MATCH(69,DATA2028!L$2:L$401,0)),"")</f>
        <v/>
      </c>
      <c r="O86" s="17" t="str">
        <f>IFERROR(INDEX(DATA2028!C$2:C$401,MATCH(69,DATA2028!L$2:L$401,0)),"")</f>
        <v/>
      </c>
      <c r="P86" s="17" t="str">
        <f>IFERROR(INDEX(DATA2028!D$2:D$401,MATCH(69,DATA2028!L$2:L$401,0)),"")</f>
        <v/>
      </c>
    </row>
    <row r="87" spans="2:16" ht="18.75" customHeight="1">
      <c r="B87" s="18" t="str">
        <f>IFERROR(INDEX(DATA2028!B$2:B$401,MATCH(70,DATA2028!I$2:I$401,0)),"")</f>
        <v/>
      </c>
      <c r="C87" s="19" t="str">
        <f>IFERROR(INDEX(DATA2028!C$2:C$401,MATCH(70,DATA2028!I$2:I$401,0)),"")</f>
        <v/>
      </c>
      <c r="D87" s="19" t="str">
        <f>IFERROR(INDEX(DATA2028!D$2:D$401,MATCH(70,DATA2028!I$2:I$401,0)),"")</f>
        <v/>
      </c>
      <c r="F87" s="18" t="str">
        <f>IFERROR(INDEX(DATA2028!B$2:B$401,MATCH(70,DATA2028!J$2:J$401,0)),"")</f>
        <v/>
      </c>
      <c r="G87" s="19" t="str">
        <f>IFERROR(INDEX(DATA2028!C$2:C$401,MATCH(70,DATA2028!J$2:J$401,0)),"")</f>
        <v/>
      </c>
      <c r="H87" s="19" t="str">
        <f>IFERROR(INDEX(DATA2028!D$2:D$401,MATCH(70,DATA2028!J$2:J$401,0)),"")</f>
        <v/>
      </c>
      <c r="J87" s="18" t="str">
        <f>IFERROR(INDEX(DATA2028!B$2:B$401,MATCH(70,DATA2028!K$2:K$401,0)),"")</f>
        <v/>
      </c>
      <c r="K87" s="19" t="str">
        <f>IFERROR(INDEX(DATA2028!C$2:C$401,MATCH(70,DATA2028!K$2:K$401,0)),"")</f>
        <v/>
      </c>
      <c r="L87" s="19" t="str">
        <f>IFERROR(INDEX(DATA2028!D$2:D$401,MATCH(70,DATA2028!K$2:K$401,0)),"")</f>
        <v/>
      </c>
      <c r="N87" s="18" t="str">
        <f>IFERROR(INDEX(DATA2028!B$2:B$401,MATCH(70,DATA2028!L$2:L$401,0)),"")</f>
        <v/>
      </c>
      <c r="O87" s="19" t="str">
        <f>IFERROR(INDEX(DATA2028!C$2:C$401,MATCH(70,DATA2028!L$2:L$401,0)),"")</f>
        <v/>
      </c>
      <c r="P87" s="19" t="str">
        <f>IFERROR(INDEX(DATA2028!D$2:D$401,MATCH(70,DATA2028!L$2:L$401,0)),"")</f>
        <v/>
      </c>
    </row>
    <row r="88" spans="2:16" ht="18.75" customHeight="1">
      <c r="B88" s="16" t="str">
        <f>IFERROR(INDEX(DATA2028!B$2:B$401,MATCH(71,DATA2028!I$2:I$401,0)),"")</f>
        <v/>
      </c>
      <c r="C88" s="17" t="str">
        <f>IFERROR(INDEX(DATA2028!C$2:C$401,MATCH(71,DATA2028!I$2:I$401,0)),"")</f>
        <v/>
      </c>
      <c r="D88" s="17" t="str">
        <f>IFERROR(INDEX(DATA2028!D$2:D$401,MATCH(71,DATA2028!I$2:I$401,0)),"")</f>
        <v/>
      </c>
      <c r="F88" s="16" t="str">
        <f>IFERROR(INDEX(DATA2028!B$2:B$401,MATCH(71,DATA2028!J$2:J$401,0)),"")</f>
        <v/>
      </c>
      <c r="G88" s="17" t="str">
        <f>IFERROR(INDEX(DATA2028!C$2:C$401,MATCH(71,DATA2028!J$2:J$401,0)),"")</f>
        <v/>
      </c>
      <c r="H88" s="17" t="str">
        <f>IFERROR(INDEX(DATA2028!D$2:D$401,MATCH(71,DATA2028!J$2:J$401,0)),"")</f>
        <v/>
      </c>
      <c r="J88" s="16" t="str">
        <f>IFERROR(INDEX(DATA2028!B$2:B$401,MATCH(71,DATA2028!K$2:K$401,0)),"")</f>
        <v/>
      </c>
      <c r="K88" s="17" t="str">
        <f>IFERROR(INDEX(DATA2028!C$2:C$401,MATCH(71,DATA2028!K$2:K$401,0)),"")</f>
        <v/>
      </c>
      <c r="L88" s="17" t="str">
        <f>IFERROR(INDEX(DATA2028!D$2:D$401,MATCH(71,DATA2028!K$2:K$401,0)),"")</f>
        <v/>
      </c>
      <c r="N88" s="16" t="str">
        <f>IFERROR(INDEX(DATA2028!B$2:B$401,MATCH(71,DATA2028!L$2:L$401,0)),"")</f>
        <v/>
      </c>
      <c r="O88" s="17" t="str">
        <f>IFERROR(INDEX(DATA2028!C$2:C$401,MATCH(71,DATA2028!L$2:L$401,0)),"")</f>
        <v/>
      </c>
      <c r="P88" s="17" t="str">
        <f>IFERROR(INDEX(DATA2028!D$2:D$401,MATCH(71,DATA2028!L$2:L$401,0)),"")</f>
        <v/>
      </c>
    </row>
    <row r="89" spans="2:16" ht="18.75" customHeight="1">
      <c r="B89" s="18" t="str">
        <f>IFERROR(INDEX(DATA2028!B$2:B$401,MATCH(72,DATA2028!I$2:I$401,0)),"")</f>
        <v/>
      </c>
      <c r="C89" s="19" t="str">
        <f>IFERROR(INDEX(DATA2028!C$2:C$401,MATCH(72,DATA2028!I$2:I$401,0)),"")</f>
        <v/>
      </c>
      <c r="D89" s="19" t="str">
        <f>IFERROR(INDEX(DATA2028!D$2:D$401,MATCH(72,DATA2028!I$2:I$401,0)),"")</f>
        <v/>
      </c>
      <c r="F89" s="18" t="str">
        <f>IFERROR(INDEX(DATA2028!B$2:B$401,MATCH(72,DATA2028!J$2:J$401,0)),"")</f>
        <v/>
      </c>
      <c r="G89" s="19" t="str">
        <f>IFERROR(INDEX(DATA2028!C$2:C$401,MATCH(72,DATA2028!J$2:J$401,0)),"")</f>
        <v/>
      </c>
      <c r="H89" s="19" t="str">
        <f>IFERROR(INDEX(DATA2028!D$2:D$401,MATCH(72,DATA2028!J$2:J$401,0)),"")</f>
        <v/>
      </c>
      <c r="J89" s="18" t="str">
        <f>IFERROR(INDEX(DATA2028!B$2:B$401,MATCH(72,DATA2028!K$2:K$401,0)),"")</f>
        <v/>
      </c>
      <c r="K89" s="19" t="str">
        <f>IFERROR(INDEX(DATA2028!C$2:C$401,MATCH(72,DATA2028!K$2:K$401,0)),"")</f>
        <v/>
      </c>
      <c r="L89" s="19" t="str">
        <f>IFERROR(INDEX(DATA2028!D$2:D$401,MATCH(72,DATA2028!K$2:K$401,0)),"")</f>
        <v/>
      </c>
      <c r="N89" s="18" t="str">
        <f>IFERROR(INDEX(DATA2028!B$2:B$401,MATCH(72,DATA2028!L$2:L$401,0)),"")</f>
        <v/>
      </c>
      <c r="O89" s="19" t="str">
        <f>IFERROR(INDEX(DATA2028!C$2:C$401,MATCH(72,DATA2028!L$2:L$401,0)),"")</f>
        <v/>
      </c>
      <c r="P89" s="19" t="str">
        <f>IFERROR(INDEX(DATA2028!D$2:D$401,MATCH(72,DATA2028!L$2:L$401,0)),"")</f>
        <v/>
      </c>
    </row>
    <row r="90" spans="2:16" ht="18.75" customHeight="1">
      <c r="B90" s="16" t="str">
        <f>IFERROR(INDEX(DATA2028!B$2:B$401,MATCH(73,DATA2028!I$2:I$401,0)),"")</f>
        <v/>
      </c>
      <c r="C90" s="17" t="str">
        <f>IFERROR(INDEX(DATA2028!C$2:C$401,MATCH(73,DATA2028!I$2:I$401,0)),"")</f>
        <v/>
      </c>
      <c r="D90" s="17" t="str">
        <f>IFERROR(INDEX(DATA2028!D$2:D$401,MATCH(73,DATA2028!I$2:I$401,0)),"")</f>
        <v/>
      </c>
      <c r="F90" s="16" t="str">
        <f>IFERROR(INDEX(DATA2028!B$2:B$401,MATCH(73,DATA2028!J$2:J$401,0)),"")</f>
        <v/>
      </c>
      <c r="G90" s="17" t="str">
        <f>IFERROR(INDEX(DATA2028!C$2:C$401,MATCH(73,DATA2028!J$2:J$401,0)),"")</f>
        <v/>
      </c>
      <c r="H90" s="17" t="str">
        <f>IFERROR(INDEX(DATA2028!D$2:D$401,MATCH(73,DATA2028!J$2:J$401,0)),"")</f>
        <v/>
      </c>
      <c r="J90" s="16" t="str">
        <f>IFERROR(INDEX(DATA2028!B$2:B$401,MATCH(73,DATA2028!K$2:K$401,0)),"")</f>
        <v/>
      </c>
      <c r="K90" s="17" t="str">
        <f>IFERROR(INDEX(DATA2028!C$2:C$401,MATCH(73,DATA2028!K$2:K$401,0)),"")</f>
        <v/>
      </c>
      <c r="L90" s="17" t="str">
        <f>IFERROR(INDEX(DATA2028!D$2:D$401,MATCH(73,DATA2028!K$2:K$401,0)),"")</f>
        <v/>
      </c>
      <c r="N90" s="16" t="str">
        <f>IFERROR(INDEX(DATA2028!B$2:B$401,MATCH(73,DATA2028!L$2:L$401,0)),"")</f>
        <v/>
      </c>
      <c r="O90" s="17" t="str">
        <f>IFERROR(INDEX(DATA2028!C$2:C$401,MATCH(73,DATA2028!L$2:L$401,0)),"")</f>
        <v/>
      </c>
      <c r="P90" s="17" t="str">
        <f>IFERROR(INDEX(DATA2028!D$2:D$401,MATCH(73,DATA2028!L$2:L$401,0)),"")</f>
        <v/>
      </c>
    </row>
    <row r="91" spans="2:16" ht="18.75" customHeight="1">
      <c r="B91" s="18" t="str">
        <f>IFERROR(INDEX(DATA2028!B$2:B$401,MATCH(74,DATA2028!I$2:I$401,0)),"")</f>
        <v/>
      </c>
      <c r="C91" s="19" t="str">
        <f>IFERROR(INDEX(DATA2028!C$2:C$401,MATCH(74,DATA2028!I$2:I$401,0)),"")</f>
        <v/>
      </c>
      <c r="D91" s="19" t="str">
        <f>IFERROR(INDEX(DATA2028!D$2:D$401,MATCH(74,DATA2028!I$2:I$401,0)),"")</f>
        <v/>
      </c>
      <c r="F91" s="18" t="str">
        <f>IFERROR(INDEX(DATA2028!B$2:B$401,MATCH(74,DATA2028!J$2:J$401,0)),"")</f>
        <v/>
      </c>
      <c r="G91" s="19" t="str">
        <f>IFERROR(INDEX(DATA2028!C$2:C$401,MATCH(74,DATA2028!J$2:J$401,0)),"")</f>
        <v/>
      </c>
      <c r="H91" s="19" t="str">
        <f>IFERROR(INDEX(DATA2028!D$2:D$401,MATCH(74,DATA2028!J$2:J$401,0)),"")</f>
        <v/>
      </c>
      <c r="J91" s="18" t="str">
        <f>IFERROR(INDEX(DATA2028!B$2:B$401,MATCH(74,DATA2028!K$2:K$401,0)),"")</f>
        <v/>
      </c>
      <c r="K91" s="19" t="str">
        <f>IFERROR(INDEX(DATA2028!C$2:C$401,MATCH(74,DATA2028!K$2:K$401,0)),"")</f>
        <v/>
      </c>
      <c r="L91" s="19" t="str">
        <f>IFERROR(INDEX(DATA2028!D$2:D$401,MATCH(74,DATA2028!K$2:K$401,0)),"")</f>
        <v/>
      </c>
      <c r="N91" s="18" t="str">
        <f>IFERROR(INDEX(DATA2028!B$2:B$401,MATCH(74,DATA2028!L$2:L$401,0)),"")</f>
        <v/>
      </c>
      <c r="O91" s="19" t="str">
        <f>IFERROR(INDEX(DATA2028!C$2:C$401,MATCH(74,DATA2028!L$2:L$401,0)),"")</f>
        <v/>
      </c>
      <c r="P91" s="19" t="str">
        <f>IFERROR(INDEX(DATA2028!D$2:D$401,MATCH(74,DATA2028!L$2:L$401,0)),"")</f>
        <v/>
      </c>
    </row>
    <row r="92" spans="2:16" ht="18.75" customHeight="1">
      <c r="B92" s="16" t="str">
        <f>IFERROR(INDEX(DATA2028!B$2:B$401,MATCH(75,DATA2028!I$2:I$401,0)),"")</f>
        <v/>
      </c>
      <c r="C92" s="17" t="str">
        <f>IFERROR(INDEX(DATA2028!C$2:C$401,MATCH(75,DATA2028!I$2:I$401,0)),"")</f>
        <v/>
      </c>
      <c r="D92" s="17" t="str">
        <f>IFERROR(INDEX(DATA2028!D$2:D$401,MATCH(75,DATA2028!I$2:I$401,0)),"")</f>
        <v/>
      </c>
      <c r="F92" s="16" t="str">
        <f>IFERROR(INDEX(DATA2028!B$2:B$401,MATCH(75,DATA2028!J$2:J$401,0)),"")</f>
        <v/>
      </c>
      <c r="G92" s="17" t="str">
        <f>IFERROR(INDEX(DATA2028!C$2:C$401,MATCH(75,DATA2028!J$2:J$401,0)),"")</f>
        <v/>
      </c>
      <c r="H92" s="17" t="str">
        <f>IFERROR(INDEX(DATA2028!D$2:D$401,MATCH(75,DATA2028!J$2:J$401,0)),"")</f>
        <v/>
      </c>
      <c r="J92" s="16" t="str">
        <f>IFERROR(INDEX(DATA2028!B$2:B$401,MATCH(75,DATA2028!K$2:K$401,0)),"")</f>
        <v/>
      </c>
      <c r="K92" s="17" t="str">
        <f>IFERROR(INDEX(DATA2028!C$2:C$401,MATCH(75,DATA2028!K$2:K$401,0)),"")</f>
        <v/>
      </c>
      <c r="L92" s="17" t="str">
        <f>IFERROR(INDEX(DATA2028!D$2:D$401,MATCH(75,DATA2028!K$2:K$401,0)),"")</f>
        <v/>
      </c>
      <c r="N92" s="16" t="str">
        <f>IFERROR(INDEX(DATA2028!B$2:B$401,MATCH(75,DATA2028!L$2:L$401,0)),"")</f>
        <v/>
      </c>
      <c r="O92" s="17" t="str">
        <f>IFERROR(INDEX(DATA2028!C$2:C$401,MATCH(75,DATA2028!L$2:L$401,0)),"")</f>
        <v/>
      </c>
      <c r="P92" s="17" t="str">
        <f>IFERROR(INDEX(DATA2028!D$2:D$401,MATCH(75,DATA2028!L$2:L$401,0)),"")</f>
        <v/>
      </c>
    </row>
    <row r="93" spans="2:16" ht="18.75" customHeight="1">
      <c r="B93" s="18" t="str">
        <f>IFERROR(INDEX(DATA2028!B$2:B$401,MATCH(76,DATA2028!I$2:I$401,0)),"")</f>
        <v/>
      </c>
      <c r="C93" s="19" t="str">
        <f>IFERROR(INDEX(DATA2028!C$2:C$401,MATCH(76,DATA2028!I$2:I$401,0)),"")</f>
        <v/>
      </c>
      <c r="D93" s="19" t="str">
        <f>IFERROR(INDEX(DATA2028!D$2:D$401,MATCH(76,DATA2028!I$2:I$401,0)),"")</f>
        <v/>
      </c>
      <c r="F93" s="18" t="str">
        <f>IFERROR(INDEX(DATA2028!B$2:B$401,MATCH(76,DATA2028!J$2:J$401,0)),"")</f>
        <v/>
      </c>
      <c r="G93" s="19" t="str">
        <f>IFERROR(INDEX(DATA2028!C$2:C$401,MATCH(76,DATA2028!J$2:J$401,0)),"")</f>
        <v/>
      </c>
      <c r="H93" s="19" t="str">
        <f>IFERROR(INDEX(DATA2028!D$2:D$401,MATCH(76,DATA2028!J$2:J$401,0)),"")</f>
        <v/>
      </c>
      <c r="J93" s="18" t="str">
        <f>IFERROR(INDEX(DATA2028!B$2:B$401,MATCH(76,DATA2028!K$2:K$401,0)),"")</f>
        <v/>
      </c>
      <c r="K93" s="19" t="str">
        <f>IFERROR(INDEX(DATA2028!C$2:C$401,MATCH(76,DATA2028!K$2:K$401,0)),"")</f>
        <v/>
      </c>
      <c r="L93" s="19" t="str">
        <f>IFERROR(INDEX(DATA2028!D$2:D$401,MATCH(76,DATA2028!K$2:K$401,0)),"")</f>
        <v/>
      </c>
      <c r="N93" s="18" t="str">
        <f>IFERROR(INDEX(DATA2028!B$2:B$401,MATCH(76,DATA2028!L$2:L$401,0)),"")</f>
        <v/>
      </c>
      <c r="O93" s="19" t="str">
        <f>IFERROR(INDEX(DATA2028!C$2:C$401,MATCH(76,DATA2028!L$2:L$401,0)),"")</f>
        <v/>
      </c>
      <c r="P93" s="19" t="str">
        <f>IFERROR(INDEX(DATA2028!D$2:D$401,MATCH(76,DATA2028!L$2:L$401,0)),"")</f>
        <v/>
      </c>
    </row>
    <row r="94" spans="2:16" ht="18.75" customHeight="1">
      <c r="B94" s="16" t="str">
        <f>IFERROR(INDEX(DATA2028!B$2:B$401,MATCH(77,DATA2028!I$2:I$401,0)),"")</f>
        <v/>
      </c>
      <c r="C94" s="17" t="str">
        <f>IFERROR(INDEX(DATA2028!C$2:C$401,MATCH(77,DATA2028!I$2:I$401,0)),"")</f>
        <v/>
      </c>
      <c r="D94" s="17" t="str">
        <f>IFERROR(INDEX(DATA2028!D$2:D$401,MATCH(77,DATA2028!I$2:I$401,0)),"")</f>
        <v/>
      </c>
      <c r="F94" s="16" t="str">
        <f>IFERROR(INDEX(DATA2028!B$2:B$401,MATCH(77,DATA2028!J$2:J$401,0)),"")</f>
        <v/>
      </c>
      <c r="G94" s="17" t="str">
        <f>IFERROR(INDEX(DATA2028!C$2:C$401,MATCH(77,DATA2028!J$2:J$401,0)),"")</f>
        <v/>
      </c>
      <c r="H94" s="17" t="str">
        <f>IFERROR(INDEX(DATA2028!D$2:D$401,MATCH(77,DATA2028!J$2:J$401,0)),"")</f>
        <v/>
      </c>
      <c r="J94" s="16" t="str">
        <f>IFERROR(INDEX(DATA2028!B$2:B$401,MATCH(77,DATA2028!K$2:K$401,0)),"")</f>
        <v/>
      </c>
      <c r="K94" s="17" t="str">
        <f>IFERROR(INDEX(DATA2028!C$2:C$401,MATCH(77,DATA2028!K$2:K$401,0)),"")</f>
        <v/>
      </c>
      <c r="L94" s="17" t="str">
        <f>IFERROR(INDEX(DATA2028!D$2:D$401,MATCH(77,DATA2028!K$2:K$401,0)),"")</f>
        <v/>
      </c>
      <c r="N94" s="16" t="str">
        <f>IFERROR(INDEX(DATA2028!B$2:B$401,MATCH(77,DATA2028!L$2:L$401,0)),"")</f>
        <v/>
      </c>
      <c r="O94" s="17" t="str">
        <f>IFERROR(INDEX(DATA2028!C$2:C$401,MATCH(77,DATA2028!L$2:L$401,0)),"")</f>
        <v/>
      </c>
      <c r="P94" s="17" t="str">
        <f>IFERROR(INDEX(DATA2028!D$2:D$401,MATCH(77,DATA2028!L$2:L$401,0)),"")</f>
        <v/>
      </c>
    </row>
    <row r="95" spans="2:16" ht="18.75" customHeight="1">
      <c r="B95" s="18" t="str">
        <f>IFERROR(INDEX(DATA2028!B$2:B$401,MATCH(78,DATA2028!I$2:I$401,0)),"")</f>
        <v/>
      </c>
      <c r="C95" s="19" t="str">
        <f>IFERROR(INDEX(DATA2028!C$2:C$401,MATCH(78,DATA2028!I$2:I$401,0)),"")</f>
        <v/>
      </c>
      <c r="D95" s="19" t="str">
        <f>IFERROR(INDEX(DATA2028!D$2:D$401,MATCH(78,DATA2028!I$2:I$401,0)),"")</f>
        <v/>
      </c>
      <c r="F95" s="18" t="str">
        <f>IFERROR(INDEX(DATA2028!B$2:B$401,MATCH(78,DATA2028!J$2:J$401,0)),"")</f>
        <v/>
      </c>
      <c r="G95" s="19" t="str">
        <f>IFERROR(INDEX(DATA2028!C$2:C$401,MATCH(78,DATA2028!J$2:J$401,0)),"")</f>
        <v/>
      </c>
      <c r="H95" s="19" t="str">
        <f>IFERROR(INDEX(DATA2028!D$2:D$401,MATCH(78,DATA2028!J$2:J$401,0)),"")</f>
        <v/>
      </c>
      <c r="J95" s="18" t="str">
        <f>IFERROR(INDEX(DATA2028!B$2:B$401,MATCH(78,DATA2028!K$2:K$401,0)),"")</f>
        <v/>
      </c>
      <c r="K95" s="19" t="str">
        <f>IFERROR(INDEX(DATA2028!C$2:C$401,MATCH(78,DATA2028!K$2:K$401,0)),"")</f>
        <v/>
      </c>
      <c r="L95" s="19" t="str">
        <f>IFERROR(INDEX(DATA2028!D$2:D$401,MATCH(78,DATA2028!K$2:K$401,0)),"")</f>
        <v/>
      </c>
      <c r="N95" s="18" t="str">
        <f>IFERROR(INDEX(DATA2028!B$2:B$401,MATCH(78,DATA2028!L$2:L$401,0)),"")</f>
        <v/>
      </c>
      <c r="O95" s="19" t="str">
        <f>IFERROR(INDEX(DATA2028!C$2:C$401,MATCH(78,DATA2028!L$2:L$401,0)),"")</f>
        <v/>
      </c>
      <c r="P95" s="19" t="str">
        <f>IFERROR(INDEX(DATA2028!D$2:D$401,MATCH(78,DATA2028!L$2:L$401,0)),"")</f>
        <v/>
      </c>
    </row>
    <row r="96" spans="2:16" ht="18.75" customHeight="1">
      <c r="B96" s="16" t="str">
        <f>IFERROR(INDEX(DATA2028!B$2:B$401,MATCH(79,DATA2028!I$2:I$401,0)),"")</f>
        <v/>
      </c>
      <c r="C96" s="17" t="str">
        <f>IFERROR(INDEX(DATA2028!C$2:C$401,MATCH(79,DATA2028!I$2:I$401,0)),"")</f>
        <v/>
      </c>
      <c r="D96" s="17" t="str">
        <f>IFERROR(INDEX(DATA2028!D$2:D$401,MATCH(79,DATA2028!I$2:I$401,0)),"")</f>
        <v/>
      </c>
      <c r="F96" s="16" t="str">
        <f>IFERROR(INDEX(DATA2028!B$2:B$401,MATCH(79,DATA2028!J$2:J$401,0)),"")</f>
        <v/>
      </c>
      <c r="G96" s="17" t="str">
        <f>IFERROR(INDEX(DATA2028!C$2:C$401,MATCH(79,DATA2028!J$2:J$401,0)),"")</f>
        <v/>
      </c>
      <c r="H96" s="17" t="str">
        <f>IFERROR(INDEX(DATA2028!D$2:D$401,MATCH(79,DATA2028!J$2:J$401,0)),"")</f>
        <v/>
      </c>
      <c r="J96" s="16" t="str">
        <f>IFERROR(INDEX(DATA2028!B$2:B$401,MATCH(79,DATA2028!K$2:K$401,0)),"")</f>
        <v/>
      </c>
      <c r="K96" s="17" t="str">
        <f>IFERROR(INDEX(DATA2028!C$2:C$401,MATCH(79,DATA2028!K$2:K$401,0)),"")</f>
        <v/>
      </c>
      <c r="L96" s="17" t="str">
        <f>IFERROR(INDEX(DATA2028!D$2:D$401,MATCH(79,DATA2028!K$2:K$401,0)),"")</f>
        <v/>
      </c>
      <c r="N96" s="16" t="str">
        <f>IFERROR(INDEX(DATA2028!B$2:B$401,MATCH(79,DATA2028!L$2:L$401,0)),"")</f>
        <v/>
      </c>
      <c r="O96" s="17" t="str">
        <f>IFERROR(INDEX(DATA2028!C$2:C$401,MATCH(79,DATA2028!L$2:L$401,0)),"")</f>
        <v/>
      </c>
      <c r="P96" s="17" t="str">
        <f>IFERROR(INDEX(DATA2028!D$2:D$401,MATCH(79,DATA2028!L$2:L$401,0)),"")</f>
        <v/>
      </c>
    </row>
    <row r="97" spans="2:16" ht="18.75" customHeight="1">
      <c r="B97" s="18" t="str">
        <f>IFERROR(INDEX(DATA2028!B$2:B$401,MATCH(80,DATA2028!I$2:I$401,0)),"")</f>
        <v/>
      </c>
      <c r="C97" s="19" t="str">
        <f>IFERROR(INDEX(DATA2028!C$2:C$401,MATCH(80,DATA2028!I$2:I$401,0)),"")</f>
        <v/>
      </c>
      <c r="D97" s="19" t="str">
        <f>IFERROR(INDEX(DATA2028!D$2:D$401,MATCH(80,DATA2028!I$2:I$401,0)),"")</f>
        <v/>
      </c>
      <c r="F97" s="18" t="str">
        <f>IFERROR(INDEX(DATA2028!B$2:B$401,MATCH(80,DATA2028!J$2:J$401,0)),"")</f>
        <v/>
      </c>
      <c r="G97" s="19" t="str">
        <f>IFERROR(INDEX(DATA2028!C$2:C$401,MATCH(80,DATA2028!J$2:J$401,0)),"")</f>
        <v/>
      </c>
      <c r="H97" s="19" t="str">
        <f>IFERROR(INDEX(DATA2028!D$2:D$401,MATCH(80,DATA2028!J$2:J$401,0)),"")</f>
        <v/>
      </c>
      <c r="J97" s="18" t="str">
        <f>IFERROR(INDEX(DATA2028!B$2:B$401,MATCH(80,DATA2028!K$2:K$401,0)),"")</f>
        <v/>
      </c>
      <c r="K97" s="19" t="str">
        <f>IFERROR(INDEX(DATA2028!C$2:C$401,MATCH(80,DATA2028!K$2:K$401,0)),"")</f>
        <v/>
      </c>
      <c r="L97" s="19" t="str">
        <f>IFERROR(INDEX(DATA2028!D$2:D$401,MATCH(80,DATA2028!K$2:K$401,0)),"")</f>
        <v/>
      </c>
      <c r="N97" s="18" t="str">
        <f>IFERROR(INDEX(DATA2028!B$2:B$401,MATCH(80,DATA2028!L$2:L$401,0)),"")</f>
        <v/>
      </c>
      <c r="O97" s="19" t="str">
        <f>IFERROR(INDEX(DATA2028!C$2:C$401,MATCH(80,DATA2028!L$2:L$401,0)),"")</f>
        <v/>
      </c>
      <c r="P97" s="19" t="str">
        <f>IFERROR(INDEX(DATA2028!D$2:D$401,MATCH(80,DATA2028!L$2:L$401,0)),"")</f>
        <v/>
      </c>
    </row>
    <row r="98" spans="2:16" ht="24" customHeight="1">
      <c r="B98" s="137" t="s">
        <v>259</v>
      </c>
      <c r="C98" s="137"/>
      <c r="D98" s="20">
        <f>SUMIF(DATA2028!A$2:A$401,"Q12028",DATA2028!E$2:E$401)</f>
        <v>0</v>
      </c>
      <c r="F98" s="138" t="s">
        <v>260</v>
      </c>
      <c r="G98" s="138"/>
      <c r="H98" s="21">
        <f>SUMIF(DATA2028!A$2:A$401,"Q22028",DATA2028!E$2:E$401)</f>
        <v>0</v>
      </c>
      <c r="J98" s="139" t="s">
        <v>261</v>
      </c>
      <c r="K98" s="139"/>
      <c r="L98" s="22">
        <f>SUMIF(DATA2028!A$2:A$401,"Q32028",DATA2028!E$2:E$401)</f>
        <v>0</v>
      </c>
      <c r="N98" s="140" t="s">
        <v>262</v>
      </c>
      <c r="O98" s="140"/>
      <c r="P98" s="23">
        <f>SUMIF(DATA2028!A$2:A$401,"Q42028",DATA2028!E$2:E$401)</f>
        <v>0</v>
      </c>
    </row>
    <row r="100" spans="2:16" ht="15.75" customHeight="1">
      <c r="B100" s="111" t="s">
        <v>83</v>
      </c>
      <c r="C100" s="111"/>
      <c r="D100" s="111"/>
      <c r="E100" s="111"/>
      <c r="F100" s="111"/>
      <c r="G100" s="111"/>
      <c r="H100" s="111"/>
      <c r="I100" s="111"/>
      <c r="J100" s="111"/>
      <c r="K100" s="111"/>
      <c r="L100" s="111"/>
      <c r="M100" s="111"/>
      <c r="N100" s="111"/>
      <c r="O100" s="111"/>
      <c r="P100" s="111"/>
    </row>
    <row r="101" spans="2:16" ht="15.75" customHeight="1">
      <c r="B101" s="111" t="s">
        <v>84</v>
      </c>
      <c r="C101" s="111"/>
      <c r="D101" s="111"/>
      <c r="E101" s="111"/>
      <c r="F101" s="111"/>
      <c r="G101" s="111"/>
      <c r="H101" s="111"/>
      <c r="I101" s="111"/>
      <c r="J101" s="111"/>
      <c r="K101" s="111"/>
      <c r="L101" s="111"/>
      <c r="M101" s="111"/>
      <c r="N101" s="111"/>
      <c r="O101" s="111"/>
      <c r="P101" s="111"/>
    </row>
  </sheetData>
  <mergeCells count="19">
    <mergeCell ref="B101:P101"/>
    <mergeCell ref="B98:C98"/>
    <mergeCell ref="F98:G98"/>
    <mergeCell ref="J98:K98"/>
    <mergeCell ref="N98:O98"/>
    <mergeCell ref="B100:P100"/>
    <mergeCell ref="B7:D7"/>
    <mergeCell ref="F7:H7"/>
    <mergeCell ref="J7:L7"/>
    <mergeCell ref="N7:P7"/>
    <mergeCell ref="B16:D16"/>
    <mergeCell ref="F16:H16"/>
    <mergeCell ref="J16:L16"/>
    <mergeCell ref="N16:P16"/>
    <mergeCell ref="B1:P1"/>
    <mergeCell ref="B2:D2"/>
    <mergeCell ref="F2:H2"/>
    <mergeCell ref="J2:L2"/>
    <mergeCell ref="N2:P2"/>
  </mergeCells>
  <conditionalFormatting sqref="D18:D97">
    <cfRule type="cellIs" dxfId="27" priority="2" operator="equal">
      <formula>"Strengthen"</formula>
    </cfRule>
    <cfRule type="cellIs" dxfId="26" priority="3" operator="equal">
      <formula>"Innovation"</formula>
    </cfRule>
    <cfRule type="cellIs" dxfId="25" priority="4" operator="equal">
      <formula>"Repair"</formula>
    </cfRule>
  </conditionalFormatting>
  <conditionalFormatting sqref="H18:H97">
    <cfRule type="cellIs" dxfId="24" priority="6" operator="equal">
      <formula>"Strengthen"</formula>
    </cfRule>
    <cfRule type="cellIs" dxfId="23" priority="7" operator="equal">
      <formula>"Innovation"</formula>
    </cfRule>
    <cfRule type="cellIs" dxfId="22" priority="8" operator="equal">
      <formula>"Repair"</formula>
    </cfRule>
  </conditionalFormatting>
  <conditionalFormatting sqref="L18:L97">
    <cfRule type="cellIs" dxfId="21" priority="10" operator="equal">
      <formula>"Strengthen"</formula>
    </cfRule>
    <cfRule type="cellIs" dxfId="20" priority="11" operator="equal">
      <formula>"Innovation"</formula>
    </cfRule>
    <cfRule type="cellIs" dxfId="19" priority="12" operator="equal">
      <formula>"Repair"</formula>
    </cfRule>
  </conditionalFormatting>
  <conditionalFormatting sqref="P18:P97">
    <cfRule type="cellIs" dxfId="18" priority="14" operator="equal">
      <formula>"Strengthen"</formula>
    </cfRule>
    <cfRule type="cellIs" dxfId="17" priority="15" operator="equal">
      <formula>"Innovation"</formula>
    </cfRule>
    <cfRule type="cellIs" dxfId="16" priority="16" operator="equal">
      <formula>"Repair"</formula>
    </cfRule>
  </conditionalFormatting>
  <pageMargins left="0.75" right="0.75" top="1" bottom="1" header="0.511811023622047" footer="0.511811023622047"/>
  <pageSetup paperSize="9" orientation="portrait" horizontalDpi="300" verticalDpi="300"/>
  <tableParts count="4">
    <tablePart r:id="rId1"/>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5" id="{00000000-000E-0000-1000-000005000000}">
            <xm:f>IFERROR(INDEX(DATA2028!$H$2:$H$401,MATCH(ROW()-18+1,DATA2028!$I$2:$I$401,0))="PO-Backlog2028",0)</xm:f>
            <x14:dxf>
              <fill>
                <patternFill>
                  <bgColor rgb="FFFFF176"/>
                </patternFill>
              </fill>
            </x14:dxf>
          </x14:cfRule>
          <xm:sqref>B18:B97</xm:sqref>
        </x14:conditionalFormatting>
        <x14:conditionalFormatting xmlns:xm="http://schemas.microsoft.com/office/excel/2006/main">
          <x14:cfRule type="expression" priority="9" id="{00000000-000E-0000-1000-000009000000}">
            <xm:f>IFERROR(INDEX(DATA2028!$H$2:$H$401,MATCH(ROW()-18+1,DATA2028!$J$2:$J$401,0))="PO-Backlog2028",0)</xm:f>
            <x14:dxf>
              <fill>
                <patternFill>
                  <bgColor rgb="FFFFF176"/>
                </patternFill>
              </fill>
            </x14:dxf>
          </x14:cfRule>
          <xm:sqref>F18:F97</xm:sqref>
        </x14:conditionalFormatting>
        <x14:conditionalFormatting xmlns:xm="http://schemas.microsoft.com/office/excel/2006/main">
          <x14:cfRule type="expression" priority="13" id="{00000000-000E-0000-1000-00000D000000}">
            <xm:f>IFERROR(INDEX(DATA2028!$H$2:$H$401,MATCH(ROW()-18+1,DATA2028!$K$2:$K$401,0))="PO-Backlog2028",0)</xm:f>
            <x14:dxf>
              <fill>
                <patternFill>
                  <bgColor rgb="FFFFF176"/>
                </patternFill>
              </fill>
            </x14:dxf>
          </x14:cfRule>
          <xm:sqref>J18:J97</xm:sqref>
        </x14:conditionalFormatting>
        <x14:conditionalFormatting xmlns:xm="http://schemas.microsoft.com/office/excel/2006/main">
          <x14:cfRule type="expression" priority="17" id="{00000000-000E-0000-1000-000011000000}">
            <xm:f>IFERROR(INDEX(DATA2028!$H$2:$H$401,MATCH(ROW()-18+1,DATA2028!$L$2:$L$401,0))="PO-Backlog2028",0)</xm:f>
            <x14:dxf>
              <fill>
                <patternFill>
                  <bgColor rgb="FFFFF176"/>
                </patternFill>
              </fill>
            </x14:dxf>
          </x14:cfRule>
          <xm:sqref>N18:N97</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48"/>
  <sheetViews>
    <sheetView showGridLines="0" zoomScaleNormal="100" workbookViewId="0"/>
  </sheetViews>
  <sheetFormatPr defaultColWidth="8.7109375" defaultRowHeight="15"/>
  <cols>
    <col min="1" max="1" width="26" customWidth="1"/>
    <col min="2" max="5" width="14" customWidth="1"/>
    <col min="6" max="8" width="16" customWidth="1"/>
  </cols>
  <sheetData>
    <row r="1" spans="1:8" ht="49.5" customHeight="1">
      <c r="A1" s="126" t="s">
        <v>263</v>
      </c>
      <c r="B1" s="126"/>
      <c r="C1" s="126"/>
      <c r="D1" s="126"/>
      <c r="E1" s="126"/>
      <c r="F1" s="126"/>
      <c r="G1" s="126"/>
      <c r="H1" s="126"/>
    </row>
    <row r="3" spans="1:8" ht="21.75" customHeight="1">
      <c r="A3" s="125" t="s">
        <v>86</v>
      </c>
      <c r="B3" s="125"/>
      <c r="C3" s="125"/>
      <c r="D3" s="125"/>
      <c r="E3" s="125"/>
      <c r="F3" s="125"/>
      <c r="G3" s="125"/>
      <c r="H3" s="125"/>
    </row>
    <row r="4" spans="1:8" ht="19.5" customHeight="1">
      <c r="A4" s="24"/>
      <c r="B4" s="24" t="s">
        <v>87</v>
      </c>
      <c r="C4" s="24" t="s">
        <v>88</v>
      </c>
      <c r="D4" s="24" t="s">
        <v>89</v>
      </c>
      <c r="E4" s="24" t="s">
        <v>90</v>
      </c>
      <c r="F4" s="24" t="s">
        <v>91</v>
      </c>
    </row>
    <row r="5" spans="1:8" ht="19.5" customHeight="1">
      <c r="A5" s="25" t="s">
        <v>92</v>
      </c>
      <c r="B5" s="26">
        <f>COUNTIFS(DATA2028!A$2:A$401,"Q12028",DATA2028!D$2:D$401,"Strengthen")</f>
        <v>0</v>
      </c>
      <c r="C5" s="26">
        <f>COUNTIFS(DATA2028!A$2:A$401,"Q22028",DATA2028!D$2:D$401,"Strengthen")</f>
        <v>0</v>
      </c>
      <c r="D5" s="26">
        <f>COUNTIFS(DATA2028!A$2:A$401,"Q32028",DATA2028!D$2:D$401,"Strengthen")</f>
        <v>0</v>
      </c>
      <c r="E5" s="26">
        <f>COUNTIFS(DATA2028!A$2:A$401,"Q42028",DATA2028!D$2:D$401,"Strengthen")</f>
        <v>0</v>
      </c>
      <c r="F5" s="26">
        <f>COUNTIF(DATA2028!D$2:D$401,"Strengthen")</f>
        <v>0</v>
      </c>
    </row>
    <row r="6" spans="1:8" ht="18" customHeight="1">
      <c r="A6" s="27" t="s">
        <v>93</v>
      </c>
      <c r="B6" s="28" t="str">
        <f>IFERROR(B5/B7,"")</f>
        <v/>
      </c>
      <c r="C6" s="28" t="str">
        <f>IFERROR(C5/C7,"")</f>
        <v/>
      </c>
      <c r="D6" s="28" t="str">
        <f>IFERROR(D5/D7,"")</f>
        <v/>
      </c>
      <c r="E6" s="28" t="str">
        <f>IFERROR(E5/E7,"")</f>
        <v/>
      </c>
      <c r="F6" s="28" t="str">
        <f>IFERROR(F5/F7,"")</f>
        <v/>
      </c>
    </row>
    <row r="7" spans="1:8" ht="19.5" customHeight="1">
      <c r="A7" s="29" t="s">
        <v>94</v>
      </c>
      <c r="B7" s="30">
        <f>COUNTIFS(DATA2028!A$2:A$401,"Q12028",DATA2028!D$2:D$401,"Innovation")</f>
        <v>0</v>
      </c>
      <c r="C7" s="30">
        <f>COUNTIFS(DATA2028!A$2:A$401,"Q22028",DATA2028!D$2:D$401,"Innovation")</f>
        <v>0</v>
      </c>
      <c r="D7" s="30">
        <f>COUNTIFS(DATA2028!A$2:A$401,"Q32028",DATA2028!D$2:D$401,"Innovation")</f>
        <v>0</v>
      </c>
      <c r="E7" s="30">
        <f>COUNTIFS(DATA2028!A$2:A$401,"Q42028",DATA2028!D$2:D$401,"Innovation")</f>
        <v>0</v>
      </c>
      <c r="F7" s="30">
        <f>COUNTIF(DATA2028!D$2:D$401,"Innovation")</f>
        <v>0</v>
      </c>
    </row>
    <row r="8" spans="1:8" ht="18" customHeight="1">
      <c r="A8" s="31" t="s">
        <v>95</v>
      </c>
      <c r="B8" s="32" t="str">
        <f>IFERROR(B7/B9,"")</f>
        <v/>
      </c>
      <c r="C8" s="32" t="str">
        <f>IFERROR(C7/C9,"")</f>
        <v/>
      </c>
      <c r="D8" s="32" t="str">
        <f>IFERROR(D7/D9,"")</f>
        <v/>
      </c>
      <c r="E8" s="32" t="str">
        <f>IFERROR(E7/E9,"")</f>
        <v/>
      </c>
      <c r="F8" s="32" t="str">
        <f>IFERROR(F7/F9,"")</f>
        <v/>
      </c>
    </row>
    <row r="9" spans="1:8" ht="19.5" customHeight="1">
      <c r="A9" s="33" t="s">
        <v>96</v>
      </c>
      <c r="B9" s="34">
        <f>COUNTIFS(DATA2028!A$2:A$401,"Q12028",DATA2028!D$2:D$401,"Repair")</f>
        <v>0</v>
      </c>
      <c r="C9" s="34">
        <f>COUNTIFS(DATA2028!A$2:A$401,"Q22028",DATA2028!D$2:D$401,"Repair")</f>
        <v>0</v>
      </c>
      <c r="D9" s="34">
        <f>COUNTIFS(DATA2028!A$2:A$401,"Q32028",DATA2028!D$2:D$401,"Repair")</f>
        <v>0</v>
      </c>
      <c r="E9" s="34">
        <f>COUNTIFS(DATA2028!A$2:A$401,"Q42028",DATA2028!D$2:D$401,"Repair")</f>
        <v>0</v>
      </c>
      <c r="F9" s="34">
        <f>COUNTIF(DATA2028!D$2:D$401,"Repair")</f>
        <v>0</v>
      </c>
    </row>
    <row r="10" spans="1:8" ht="18" customHeight="1">
      <c r="A10" s="35" t="s">
        <v>97</v>
      </c>
      <c r="B10" s="36" t="str">
        <f>IFERROR(B9/B11,"")</f>
        <v/>
      </c>
      <c r="C10" s="36" t="str">
        <f>IFERROR(C9/C11,"")</f>
        <v/>
      </c>
      <c r="D10" s="36" t="str">
        <f>IFERROR(D9/D11,"")</f>
        <v/>
      </c>
      <c r="E10" s="36" t="str">
        <f>IFERROR(E9/E11,"")</f>
        <v/>
      </c>
      <c r="F10" s="36" t="str">
        <f>IFERROR(F9/F11,"")</f>
        <v/>
      </c>
    </row>
    <row r="11" spans="1:8" ht="19.5" customHeight="1">
      <c r="A11" s="37" t="s">
        <v>98</v>
      </c>
      <c r="B11" s="38">
        <f>B5+B7+B9</f>
        <v>0</v>
      </c>
      <c r="C11" s="38">
        <f>C5+C7+C9</f>
        <v>0</v>
      </c>
      <c r="D11" s="38">
        <f>D5+D7+D9</f>
        <v>0</v>
      </c>
      <c r="E11" s="38">
        <f>E5+E7+E9</f>
        <v>0</v>
      </c>
      <c r="F11" s="38">
        <f>F5+F7+F9</f>
        <v>0</v>
      </c>
    </row>
    <row r="14" spans="1:8" ht="21.75" customHeight="1">
      <c r="A14" s="125" t="s">
        <v>99</v>
      </c>
      <c r="B14" s="125"/>
      <c r="C14" s="125"/>
      <c r="D14" s="125"/>
      <c r="E14" s="125"/>
      <c r="F14" s="125"/>
      <c r="G14" s="125"/>
      <c r="H14" s="125"/>
    </row>
    <row r="15" spans="1:8" ht="19.5" customHeight="1">
      <c r="A15" s="24"/>
      <c r="B15" s="24" t="s">
        <v>87</v>
      </c>
      <c r="C15" s="24" t="s">
        <v>88</v>
      </c>
      <c r="D15" s="24" t="s">
        <v>89</v>
      </c>
      <c r="E15" s="24" t="s">
        <v>90</v>
      </c>
    </row>
    <row r="16" spans="1:8" ht="19.5" customHeight="1">
      <c r="A16" s="16" t="s">
        <v>100</v>
      </c>
      <c r="B16" s="39">
        <f>Roadmap2028!C4</f>
        <v>400</v>
      </c>
      <c r="C16" s="39">
        <f>Roadmap2028!G4</f>
        <v>360</v>
      </c>
      <c r="D16" s="39">
        <f>Roadmap2028!K4</f>
        <v>320</v>
      </c>
      <c r="E16" s="39">
        <f>Roadmap2028!O4</f>
        <v>360</v>
      </c>
    </row>
    <row r="17" spans="1:8" ht="19.5" customHeight="1">
      <c r="A17" s="18" t="s">
        <v>101</v>
      </c>
      <c r="B17" s="40">
        <f>Roadmap2028!C5</f>
        <v>200</v>
      </c>
      <c r="C17" s="40">
        <f>Roadmap2028!G5</f>
        <v>176</v>
      </c>
      <c r="D17" s="40">
        <f>Roadmap2028!K5</f>
        <v>160</v>
      </c>
      <c r="E17" s="40">
        <f>Roadmap2028!O5</f>
        <v>176</v>
      </c>
    </row>
    <row r="18" spans="1:8" ht="19.5" customHeight="1">
      <c r="A18" s="16" t="s">
        <v>102</v>
      </c>
      <c r="B18" s="39">
        <f>Roadmap2028!C6</f>
        <v>200</v>
      </c>
      <c r="C18" s="39">
        <f>Roadmap2028!G6</f>
        <v>176</v>
      </c>
      <c r="D18" s="39">
        <f>Roadmap2028!K6</f>
        <v>160</v>
      </c>
      <c r="E18" s="39">
        <f>Roadmap2028!O6</f>
        <v>176</v>
      </c>
    </row>
    <row r="19" spans="1:8" ht="19.5" customHeight="1">
      <c r="A19" s="41" t="s">
        <v>103</v>
      </c>
      <c r="B19" s="42">
        <f>SUMIF(DATA2028!A$2:A$401,"Q12028",DATA2028!E$2:E$401)</f>
        <v>0</v>
      </c>
      <c r="C19" s="42">
        <f>SUMIF(DATA2028!A$2:A$401,"Q22028",DATA2028!E$2:E$401)</f>
        <v>0</v>
      </c>
      <c r="D19" s="42">
        <f>SUMIF(DATA2028!A$2:A$401,"Q32028",DATA2028!E$2:E$401)</f>
        <v>0</v>
      </c>
      <c r="E19" s="42">
        <f>SUMIF(DATA2028!A$2:A$401,"Q42028",DATA2028!E$2:E$401)</f>
        <v>0</v>
      </c>
    </row>
    <row r="20" spans="1:8" ht="19.5" customHeight="1">
      <c r="A20" s="41" t="s">
        <v>104</v>
      </c>
      <c r="B20" s="42">
        <f>SUMIFS(DATA2028!E$2:E$401,DATA2028!A$2:A$401,"Q12028",DATA2028!G$2:G$401,"Desktop")</f>
        <v>0</v>
      </c>
      <c r="C20" s="42">
        <f>SUMIFS(DATA2028!E$2:E$401,DATA2028!A$2:A$401,"Q22028",DATA2028!G$2:G$401,"Desktop")</f>
        <v>0</v>
      </c>
      <c r="D20" s="42">
        <f>SUMIFS(DATA2028!E$2:E$401,DATA2028!A$2:A$401,"Q32028",DATA2028!G$2:G$401,"Desktop")</f>
        <v>0</v>
      </c>
      <c r="E20" s="42">
        <f>SUMIFS(DATA2028!E$2:E$401,DATA2028!A$2:A$401,"Q42028",DATA2028!G$2:G$401,"Desktop")</f>
        <v>0</v>
      </c>
    </row>
    <row r="21" spans="1:8" ht="19.5" customHeight="1">
      <c r="A21" s="41" t="s">
        <v>105</v>
      </c>
      <c r="B21" s="42">
        <f>SUMIFS(DATA2028!E$2:E$401,DATA2028!A$2:A$401,"Q12028",DATA2028!G$2:G$401,"WEB")</f>
        <v>0</v>
      </c>
      <c r="C21" s="42">
        <f>SUMIFS(DATA2028!E$2:E$401,DATA2028!A$2:A$401,"Q22028",DATA2028!G$2:G$401,"WEB")</f>
        <v>0</v>
      </c>
      <c r="D21" s="42">
        <f>SUMIFS(DATA2028!E$2:E$401,DATA2028!A$2:A$401,"Q32028",DATA2028!G$2:G$401,"WEB")</f>
        <v>0</v>
      </c>
      <c r="E21" s="42">
        <f>SUMIFS(DATA2028!E$2:E$401,DATA2028!A$2:A$401,"Q42028",DATA2028!G$2:G$401,"WEB")</f>
        <v>0</v>
      </c>
    </row>
    <row r="22" spans="1:8" ht="19.5" customHeight="1">
      <c r="A22" s="43" t="s">
        <v>106</v>
      </c>
      <c r="B22" s="44">
        <f>SUMIFS(DATA2028!E$2:E$401,DATA2028!A$2:A$401,"Q12028",DATA2028!G$2:G$401,"W-&gt;D")*0.5</f>
        <v>0</v>
      </c>
      <c r="C22" s="44">
        <f>SUMIFS(DATA2028!E$2:E$401,DATA2028!A$2:A$401,"Q22028",DATA2028!G$2:G$401,"W-&gt;D")*0.5</f>
        <v>0</v>
      </c>
      <c r="D22" s="44">
        <f>SUMIFS(DATA2028!E$2:E$401,DATA2028!A$2:A$401,"Q32028",DATA2028!G$2:G$401,"W-&gt;D")*0.5</f>
        <v>0</v>
      </c>
      <c r="E22" s="44">
        <f>SUMIFS(DATA2028!E$2:E$401,DATA2028!A$2:A$401,"Q42028",DATA2028!G$2:G$401,"W-&gt;D")*0.5</f>
        <v>0</v>
      </c>
    </row>
    <row r="23" spans="1:8" ht="19.5" customHeight="1">
      <c r="A23" s="43" t="s">
        <v>107</v>
      </c>
      <c r="B23" s="44">
        <f>SUMIFS(DATA2028!E$2:E$401,DATA2028!A$2:A$401,"Q12028",DATA2028!G$2:G$401,"D-&gt;W")*0.5</f>
        <v>0</v>
      </c>
      <c r="C23" s="44">
        <f>SUMIFS(DATA2028!E$2:E$401,DATA2028!A$2:A$401,"Q22028",DATA2028!G$2:G$401,"D-&gt;W")*0.5</f>
        <v>0</v>
      </c>
      <c r="D23" s="44">
        <f>SUMIFS(DATA2028!E$2:E$401,DATA2028!A$2:A$401,"Q32028",DATA2028!G$2:G$401,"D-&gt;W")*0.5</f>
        <v>0</v>
      </c>
      <c r="E23" s="44">
        <f>SUMIFS(DATA2028!E$2:E$401,DATA2028!A$2:A$401,"Q42028",DATA2028!G$2:G$401,"D-&gt;W")*0.5</f>
        <v>0</v>
      </c>
    </row>
    <row r="24" spans="1:8" ht="19.5" customHeight="1">
      <c r="A24" s="45" t="s">
        <v>108</v>
      </c>
      <c r="B24" s="46">
        <f>B20+B22+B23</f>
        <v>0</v>
      </c>
      <c r="C24" s="46">
        <f>C20+C22+C23</f>
        <v>0</v>
      </c>
      <c r="D24" s="46">
        <f>D20+D22+D23</f>
        <v>0</v>
      </c>
      <c r="E24" s="46">
        <f>E20+E22+E23</f>
        <v>0</v>
      </c>
    </row>
    <row r="25" spans="1:8" ht="19.5" customHeight="1">
      <c r="A25" s="45" t="s">
        <v>109</v>
      </c>
      <c r="B25" s="46">
        <f>B21+B22+B23</f>
        <v>0</v>
      </c>
      <c r="C25" s="46">
        <f>C21+C22+C23</f>
        <v>0</v>
      </c>
      <c r="D25" s="46">
        <f>D21+D22+D23</f>
        <v>0</v>
      </c>
      <c r="E25" s="46">
        <f>E21+E22+E23</f>
        <v>0</v>
      </c>
    </row>
    <row r="26" spans="1:8" ht="19.5" customHeight="1">
      <c r="A26" s="47" t="s">
        <v>110</v>
      </c>
      <c r="B26" s="48">
        <f>IFERROR(B24/B17,"")</f>
        <v>0</v>
      </c>
      <c r="C26" s="48">
        <f>IFERROR(C24/C17,"")</f>
        <v>0</v>
      </c>
      <c r="D26" s="48">
        <f>IFERROR(D24/D17,"")</f>
        <v>0</v>
      </c>
      <c r="E26" s="48">
        <f>IFERROR(E24/E17,"")</f>
        <v>0</v>
      </c>
    </row>
    <row r="27" spans="1:8" ht="19.5" customHeight="1">
      <c r="A27" s="47" t="s">
        <v>111</v>
      </c>
      <c r="B27" s="48">
        <f>IFERROR(B26/B18,"")</f>
        <v>0</v>
      </c>
      <c r="C27" s="48">
        <f>IFERROR(C26/C18,"")</f>
        <v>0</v>
      </c>
      <c r="D27" s="48">
        <f>IFERROR(D26/D18,"")</f>
        <v>0</v>
      </c>
      <c r="E27" s="48">
        <f>IFERROR(E26/E18,"")</f>
        <v>0</v>
      </c>
    </row>
    <row r="30" spans="1:8" ht="21.75" customHeight="1">
      <c r="A30" s="125" t="s">
        <v>112</v>
      </c>
      <c r="B30" s="125"/>
      <c r="C30" s="125"/>
      <c r="D30" s="125"/>
      <c r="E30" s="125"/>
      <c r="F30" s="125"/>
      <c r="G30" s="125"/>
      <c r="H30" s="125"/>
    </row>
    <row r="31" spans="1:8" ht="19.5" customHeight="1">
      <c r="A31" s="24"/>
      <c r="B31" s="24" t="s">
        <v>87</v>
      </c>
      <c r="C31" s="24" t="s">
        <v>88</v>
      </c>
      <c r="D31" s="24" t="s">
        <v>89</v>
      </c>
      <c r="E31" s="24" t="s">
        <v>90</v>
      </c>
      <c r="F31" s="24" t="s">
        <v>113</v>
      </c>
    </row>
    <row r="32" spans="1:8" ht="18.75" customHeight="1">
      <c r="A32" s="49" t="s">
        <v>20</v>
      </c>
      <c r="B32" s="50">
        <f>COUNTIFS(DATA2028!A$2:A$401,"Q12028",DATA2028!F$2:F$401,"Must")</f>
        <v>0</v>
      </c>
      <c r="C32" s="50">
        <f>COUNTIFS(DATA2028!A$2:A$401,"Q22028",DATA2028!F$2:F$401,"Must")</f>
        <v>0</v>
      </c>
      <c r="D32" s="50">
        <f>COUNTIFS(DATA2028!A$2:A$401,"Q32028",DATA2028!F$2:F$401,"Must")</f>
        <v>0</v>
      </c>
      <c r="E32" s="50">
        <f>COUNTIFS(DATA2028!A$2:A$401,"Q42028",DATA2028!F$2:F$401,"Must")</f>
        <v>0</v>
      </c>
      <c r="F32" s="50">
        <f>COUNTIF(DATA2028!F$2:F$401,"Must")</f>
        <v>0</v>
      </c>
    </row>
    <row r="33" spans="1:8" ht="18.75" customHeight="1">
      <c r="A33" s="51" t="s">
        <v>17</v>
      </c>
      <c r="B33" s="52">
        <f>COUNTIFS(DATA2028!A$2:A$401,"Q12028",DATA2028!F$2:F$401,"Should")</f>
        <v>0</v>
      </c>
      <c r="C33" s="52">
        <f>COUNTIFS(DATA2028!A$2:A$401,"Q22028",DATA2028!F$2:F$401,"Should")</f>
        <v>0</v>
      </c>
      <c r="D33" s="52">
        <f>COUNTIFS(DATA2028!A$2:A$401,"Q32028",DATA2028!F$2:F$401,"Should")</f>
        <v>0</v>
      </c>
      <c r="E33" s="52">
        <f>COUNTIFS(DATA2028!A$2:A$401,"Q42028",DATA2028!F$2:F$401,"Should")</f>
        <v>0</v>
      </c>
      <c r="F33" s="52">
        <f>COUNTIF(DATA2028!F$2:F$401,"Should")</f>
        <v>0</v>
      </c>
    </row>
    <row r="34" spans="1:8" ht="18.75" customHeight="1">
      <c r="A34" s="53" t="s">
        <v>11</v>
      </c>
      <c r="B34" s="54">
        <f>COUNTIFS(DATA2028!A$2:A$401,"Q12028",DATA2028!F$2:F$401,"Could")</f>
        <v>0</v>
      </c>
      <c r="C34" s="54">
        <f>COUNTIFS(DATA2028!A$2:A$401,"Q22028",DATA2028!F$2:F$401,"Could")</f>
        <v>0</v>
      </c>
      <c r="D34" s="54">
        <f>COUNTIFS(DATA2028!A$2:A$401,"Q32028",DATA2028!F$2:F$401,"Could")</f>
        <v>0</v>
      </c>
      <c r="E34" s="54">
        <f>COUNTIFS(DATA2028!A$2:A$401,"Q42028",DATA2028!F$2:F$401,"Could")</f>
        <v>0</v>
      </c>
      <c r="F34" s="54">
        <f>COUNTIF(DATA2028!F$2:F$401,"Could")</f>
        <v>0</v>
      </c>
    </row>
    <row r="35" spans="1:8" ht="18.75" customHeight="1">
      <c r="A35" s="55" t="s">
        <v>114</v>
      </c>
      <c r="B35" s="56">
        <f>COUNTIFS(DATA2028!A$2:A$401,"Q12028",DATA2028!F$2:F$401,"Won't")</f>
        <v>0</v>
      </c>
      <c r="C35" s="56">
        <f>COUNTIFS(DATA2028!A$2:A$401,"Q22028",DATA2028!F$2:F$401,"Won't")</f>
        <v>0</v>
      </c>
      <c r="D35" s="56">
        <f>COUNTIFS(DATA2028!A$2:A$401,"Q32028",DATA2028!F$2:F$401,"Won't")</f>
        <v>0</v>
      </c>
      <c r="E35" s="56">
        <f>COUNTIFS(DATA2028!A$2:A$401,"Q42028",DATA2028!F$2:F$401,"Won't")</f>
        <v>0</v>
      </c>
      <c r="F35" s="56">
        <f>COUNTIF(DATA2028!F$2:F$401,"Won't")</f>
        <v>0</v>
      </c>
    </row>
    <row r="37" spans="1:8" ht="21.75" customHeight="1">
      <c r="A37" s="125" t="s">
        <v>115</v>
      </c>
      <c r="B37" s="125"/>
      <c r="C37" s="125"/>
      <c r="D37" s="125"/>
      <c r="E37" s="125"/>
      <c r="F37" s="125"/>
      <c r="G37" s="125"/>
      <c r="H37" s="125"/>
    </row>
    <row r="38" spans="1:8" ht="19.5" customHeight="1">
      <c r="A38" s="24" t="s">
        <v>7</v>
      </c>
      <c r="B38" s="24" t="s">
        <v>87</v>
      </c>
      <c r="C38" s="24" t="s">
        <v>88</v>
      </c>
      <c r="D38" s="24" t="s">
        <v>89</v>
      </c>
      <c r="E38" s="24" t="s">
        <v>90</v>
      </c>
      <c r="F38" s="24" t="s">
        <v>113</v>
      </c>
    </row>
    <row r="39" spans="1:8" ht="18.75" customHeight="1">
      <c r="A39" s="57" t="s">
        <v>12</v>
      </c>
      <c r="B39" s="58">
        <f>SUMIFS(DATA2028!E$2:E$401,DATA2028!A$2:A$401,"Q12028",DATA2028!G$2:G$401,"WEB")</f>
        <v>0</v>
      </c>
      <c r="C39" s="58">
        <f>SUMIFS(DATA2028!E$2:E$401,DATA2028!A$2:A$401,"Q22028",DATA2028!G$2:G$401,"WEB")</f>
        <v>0</v>
      </c>
      <c r="D39" s="58">
        <f>SUMIFS(DATA2028!E$2:E$401,DATA2028!A$2:A$401,"Q32028",DATA2028!G$2:G$401,"WEB")</f>
        <v>0</v>
      </c>
      <c r="E39" s="58">
        <f>SUMIFS(DATA2028!E$2:E$401,DATA2028!A$2:A$401,"Q42028",DATA2028!G$2:G$401,"WEB")</f>
        <v>0</v>
      </c>
      <c r="F39" s="58">
        <f>SUMIF(DATA2028!G$2:G$401,"WEB",DATA2028!E$2:E$401)</f>
        <v>0</v>
      </c>
    </row>
    <row r="40" spans="1:8" ht="18.75" customHeight="1">
      <c r="A40" s="45" t="s">
        <v>116</v>
      </c>
      <c r="B40" s="59">
        <f>SUMIFS(DATA2028!E$2:E$401,DATA2028!A$2:A$401,"Q12028",DATA2028!G$2:G$401,"Desktop")</f>
        <v>0</v>
      </c>
      <c r="C40" s="59">
        <f>SUMIFS(DATA2028!E$2:E$401,DATA2028!A$2:A$401,"Q22028",DATA2028!G$2:G$401,"Desktop")</f>
        <v>0</v>
      </c>
      <c r="D40" s="59">
        <f>SUMIFS(DATA2028!E$2:E$401,DATA2028!A$2:A$401,"Q32028",DATA2028!G$2:G$401,"Desktop")</f>
        <v>0</v>
      </c>
      <c r="E40" s="59">
        <f>SUMIFS(DATA2028!E$2:E$401,DATA2028!A$2:A$401,"Q42028",DATA2028!G$2:G$401,"Desktop")</f>
        <v>0</v>
      </c>
      <c r="F40" s="59">
        <f>SUMIF(DATA2028!G$2:G$401,"Desktop",DATA2028!E$2:E$401)</f>
        <v>0</v>
      </c>
    </row>
    <row r="41" spans="1:8" ht="18.75" customHeight="1">
      <c r="A41" s="60" t="s">
        <v>25</v>
      </c>
      <c r="B41" s="44">
        <f>SUMIFS(DATA2028!E$2:E$401,DATA2028!A$2:A$401,"Q12028",DATA2028!G$2:G$401,"W-&gt;D")</f>
        <v>0</v>
      </c>
      <c r="C41" s="44">
        <f>SUMIFS(DATA2028!E$2:E$401,DATA2028!A$2:A$401,"Q22028",DATA2028!G$2:G$401,"W-&gt;D")</f>
        <v>0</v>
      </c>
      <c r="D41" s="44">
        <f>SUMIFS(DATA2028!E$2:E$401,DATA2028!A$2:A$401,"Q32028",DATA2028!G$2:G$401,"W-&gt;D")</f>
        <v>0</v>
      </c>
      <c r="E41" s="44">
        <f>SUMIFS(DATA2028!E$2:E$401,DATA2028!A$2:A$401,"Q42028",DATA2028!G$2:G$401,"W-&gt;D")</f>
        <v>0</v>
      </c>
      <c r="F41" s="44">
        <f>SUMIF(DATA2028!G$2:G$401,"W-&gt;D",DATA2028!E$2:E$401)</f>
        <v>0</v>
      </c>
    </row>
    <row r="42" spans="1:8" ht="18.75" customHeight="1">
      <c r="A42" s="61" t="s">
        <v>117</v>
      </c>
      <c r="B42" s="62">
        <f>SUMIFS(DATA2028!E$2:E$401,DATA2028!A$2:A$401,"Q12028",DATA2028!G$2:G$401,"D-&gt;W")</f>
        <v>0</v>
      </c>
      <c r="C42" s="62">
        <f>SUMIFS(DATA2028!E$2:E$401,DATA2028!A$2:A$401,"Q22028",DATA2028!G$2:G$401,"D-&gt;W")</f>
        <v>0</v>
      </c>
      <c r="D42" s="62">
        <f>SUMIFS(DATA2028!E$2:E$401,DATA2028!A$2:A$401,"Q32028",DATA2028!G$2:G$401,"D-&gt;W")</f>
        <v>0</v>
      </c>
      <c r="E42" s="62">
        <f>SUMIFS(DATA2028!E$2:E$401,DATA2028!A$2:A$401,"Q42028",DATA2028!G$2:G$401,"D-&gt;W")</f>
        <v>0</v>
      </c>
      <c r="F42" s="62">
        <f>SUMIF(DATA2028!G$2:G$401,"D-&gt;W",DATA2028!E$2:E$401)</f>
        <v>0</v>
      </c>
    </row>
    <row r="44" spans="1:8" ht="21.75" customHeight="1">
      <c r="A44" s="125" t="s">
        <v>118</v>
      </c>
      <c r="B44" s="125"/>
      <c r="C44" s="125"/>
      <c r="D44" s="125"/>
      <c r="E44" s="125"/>
      <c r="F44" s="125"/>
      <c r="G44" s="125"/>
      <c r="H44" s="125"/>
    </row>
    <row r="45" spans="1:8" ht="19.5" customHeight="1">
      <c r="A45" s="24"/>
      <c r="B45" s="24" t="s">
        <v>87</v>
      </c>
      <c r="C45" s="24" t="s">
        <v>88</v>
      </c>
      <c r="D45" s="24" t="s">
        <v>89</v>
      </c>
      <c r="E45" s="24" t="s">
        <v>90</v>
      </c>
      <c r="F45" s="24" t="s">
        <v>113</v>
      </c>
    </row>
    <row r="46" spans="1:8" ht="19.5" customHeight="1">
      <c r="A46" s="63" t="s">
        <v>119</v>
      </c>
      <c r="B46" s="64">
        <f>COUNTIFS(DATA2028!A$2:A$401,"Q12028",DATA2028!H$2:H$401,"PO-Backlog2028")</f>
        <v>0</v>
      </c>
      <c r="C46" s="64">
        <f>COUNTIFS(DATA2028!A$2:A$401,"Q22028",DATA2028!H$2:H$401,"PO-Backlog2028")</f>
        <v>0</v>
      </c>
      <c r="D46" s="64">
        <f>COUNTIFS(DATA2028!A$2:A$401,"Q32028",DATA2028!H$2:H$401,"PO-Backlog2028")</f>
        <v>0</v>
      </c>
      <c r="E46" s="64">
        <f>COUNTIFS(DATA2028!A$2:A$401,"Q42028",DATA2028!H$2:H$401,"PO-Backlog2028")</f>
        <v>0</v>
      </c>
      <c r="F46" s="64">
        <f>COUNTIF(DATA2028!H$2:H$401,"PO-Backlog2028")</f>
        <v>0</v>
      </c>
    </row>
    <row r="48" spans="1:8" ht="15.75" customHeight="1">
      <c r="A48" s="111" t="s">
        <v>120</v>
      </c>
      <c r="B48" s="111"/>
      <c r="C48" s="111"/>
      <c r="D48" s="111"/>
      <c r="E48" s="111"/>
      <c r="F48" s="111"/>
      <c r="G48" s="111"/>
      <c r="H48" s="111"/>
    </row>
  </sheetData>
  <mergeCells count="7">
    <mergeCell ref="A44:H44"/>
    <mergeCell ref="A48:H48"/>
    <mergeCell ref="A1:H1"/>
    <mergeCell ref="A3:H3"/>
    <mergeCell ref="A14:H14"/>
    <mergeCell ref="A30:H30"/>
    <mergeCell ref="A37:H37"/>
  </mergeCells>
  <pageMargins left="0.75" right="0.75" top="1" bottom="1" header="0.511811023622047" footer="0.511811023622047"/>
  <pageSetup paperSize="9" orientation="portrait"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87"/>
  <sheetViews>
    <sheetView showGridLines="0" zoomScaleNormal="100" workbookViewId="0">
      <pane xSplit="1" ySplit="2" topLeftCell="B3" activePane="bottomRight" state="frozen"/>
      <selection pane="bottomRight"/>
      <selection pane="bottomLeft" activeCell="A3" sqref="A3"/>
      <selection pane="topRight" activeCell="B1" sqref="B1"/>
    </sheetView>
  </sheetViews>
  <sheetFormatPr defaultColWidth="8.7109375" defaultRowHeight="15"/>
  <cols>
    <col min="1" max="1" width="5" customWidth="1"/>
    <col min="2" max="2" width="42.85546875" customWidth="1"/>
    <col min="3" max="3" width="16" customWidth="1"/>
    <col min="4" max="4" width="14" customWidth="1"/>
    <col min="5" max="5" width="16" customWidth="1"/>
    <col min="6" max="7" width="12" customWidth="1"/>
    <col min="8" max="8" width="11" customWidth="1"/>
    <col min="9" max="9" width="30" customWidth="1"/>
    <col min="10" max="16" width="0.140625" hidden="1" customWidth="1"/>
  </cols>
  <sheetData>
    <row r="1" spans="1:14" ht="43.5" customHeight="1">
      <c r="A1" s="112" t="s">
        <v>264</v>
      </c>
      <c r="B1" s="112"/>
      <c r="C1" s="112"/>
      <c r="D1" s="112"/>
      <c r="E1" s="112"/>
      <c r="F1" s="112"/>
      <c r="G1" s="112"/>
      <c r="H1" s="112"/>
      <c r="I1" s="112"/>
    </row>
    <row r="2" spans="1:14" ht="24" customHeight="1">
      <c r="A2" s="24" t="s">
        <v>1</v>
      </c>
      <c r="B2" s="24" t="s">
        <v>2</v>
      </c>
      <c r="C2" s="24" t="s">
        <v>3</v>
      </c>
      <c r="D2" s="24" t="s">
        <v>4</v>
      </c>
      <c r="E2" s="24" t="s">
        <v>5</v>
      </c>
      <c r="F2" s="24" t="s">
        <v>6</v>
      </c>
      <c r="G2" s="24" t="s">
        <v>7</v>
      </c>
      <c r="H2" s="24" t="s">
        <v>8</v>
      </c>
      <c r="I2" s="24" t="s">
        <v>9</v>
      </c>
    </row>
    <row r="3" spans="1:14" ht="19.5" customHeight="1">
      <c r="A3" s="65">
        <v>1</v>
      </c>
      <c r="B3" s="16"/>
      <c r="C3" s="17"/>
      <c r="D3" s="17"/>
      <c r="E3" s="17"/>
      <c r="F3" s="17"/>
      <c r="G3" s="17"/>
      <c r="H3" s="66" t="str">
        <f>IF(C3="XXL (&gt;160h)",168,IF(C3="XL (&gt;40h)",48,IF(C3="L (20-40h)",30,IF(C3="M (10-20h)",15,IF(C3="S (&lt;10h)",5,"")))))</f>
        <v/>
      </c>
      <c r="I3" s="16"/>
      <c r="J3" s="67" t="str">
        <f>IF($E3="Q12028",COUNTIF($E$3:$E3,"Q12028"),"")</f>
        <v/>
      </c>
      <c r="K3" s="67" t="str">
        <f>IF($E3="Q22028",COUNTIF($E$3:$E3,"Q22028"),"")</f>
        <v/>
      </c>
      <c r="L3" s="67" t="str">
        <f>IF($E3="Q32028",COUNTIF($E$3:$E3,"Q32028"),"")</f>
        <v/>
      </c>
      <c r="M3" s="67" t="str">
        <f>IF($E3="Q42028",COUNTIF($E$3:$E3,"Q42028"),"")</f>
        <v/>
      </c>
      <c r="N3" s="67" t="str">
        <f>IF($E3="Backlog",COUNTIF($E$3:$E3,"Backlog"),"")</f>
        <v/>
      </c>
    </row>
    <row r="4" spans="1:14" ht="19.5" customHeight="1">
      <c r="A4" s="68">
        <v>2</v>
      </c>
      <c r="B4" s="18"/>
      <c r="C4" s="19"/>
      <c r="D4" s="19"/>
      <c r="E4" s="19"/>
      <c r="F4" s="19"/>
      <c r="G4" s="19"/>
      <c r="H4" s="69" t="str">
        <f>IF(C4="XXL (&gt;160h)",168,IF(C4="XL (&gt;40h)",48,IF(C4="L (20-40h)",30,IF(C4="M (10-20h)",15,IF(C4="S (&lt;10h)",5,"")))))</f>
        <v/>
      </c>
      <c r="I4" s="18"/>
      <c r="J4" s="67" t="str">
        <f>IF($E4="Q12028",COUNTIF($E$3:$E4,"Q12028"),"")</f>
        <v/>
      </c>
      <c r="K4" s="67" t="str">
        <f>IF($E4="Q22028",COUNTIF($E$3:$E4,"Q22028"),"")</f>
        <v/>
      </c>
      <c r="L4" s="67" t="str">
        <f>IF($E4="Q32028",COUNTIF($E$3:$E4,"Q32028"),"")</f>
        <v/>
      </c>
      <c r="M4" s="67" t="str">
        <f>IF($E4="Q42028",COUNTIF($E$3:$E4,"Q42028"),"")</f>
        <v/>
      </c>
      <c r="N4" s="67" t="str">
        <f>IF($E4="Backlog",COUNTIF($E$3:$E4,"Backlog"),"")</f>
        <v/>
      </c>
    </row>
    <row r="5" spans="1:14" ht="19.5" customHeight="1">
      <c r="A5" s="65">
        <v>3</v>
      </c>
      <c r="B5" s="16"/>
      <c r="C5" s="17"/>
      <c r="D5" s="17"/>
      <c r="E5" s="17"/>
      <c r="F5" s="17"/>
      <c r="G5" s="17"/>
      <c r="H5" s="66" t="str">
        <f>IF(C5="XXL (&gt;160h)",168,IF(C5="XL (&gt;40h)",48,IF(C5="L (20-40h)",30,IF(C5="M (10-20h)",15,IF(C5="S (&lt;10h)",5,"")))))</f>
        <v/>
      </c>
      <c r="I5" s="16"/>
      <c r="J5" s="67" t="str">
        <f>IF($E5="Q12028",COUNTIF($E$3:$E5,"Q12028"),"")</f>
        <v/>
      </c>
      <c r="K5" s="67" t="str">
        <f>IF($E5="Q22028",COUNTIF($E$3:$E5,"Q22028"),"")</f>
        <v/>
      </c>
      <c r="L5" s="67" t="str">
        <f>IF($E5="Q32028",COUNTIF($E$3:$E5,"Q32028"),"")</f>
        <v/>
      </c>
      <c r="M5" s="67" t="str">
        <f>IF($E5="Q42028",COUNTIF($E$3:$E5,"Q42028"),"")</f>
        <v/>
      </c>
      <c r="N5" s="67" t="str">
        <f>IF($E5="Backlog",COUNTIF($E$3:$E5,"Backlog"),"")</f>
        <v/>
      </c>
    </row>
    <row r="6" spans="1:14" ht="19.5" customHeight="1">
      <c r="A6" s="68">
        <v>4</v>
      </c>
      <c r="B6" s="18"/>
      <c r="C6" s="19"/>
      <c r="D6" s="19"/>
      <c r="E6" s="19"/>
      <c r="F6" s="19"/>
      <c r="G6" s="19"/>
      <c r="H6" s="69" t="str">
        <f>IF(C6="XXL (&gt;160h)",168,IF(C6="XL (&gt;40h)",48,IF(C6="L (20-40h)",30,IF(C6="M (10-20h)",15,IF(C6="S (&lt;10h)",5,"")))))</f>
        <v/>
      </c>
      <c r="I6" s="18"/>
      <c r="J6" s="67" t="str">
        <f>IF($E6="Q12028",COUNTIF($E$3:$E6,"Q12028"),"")</f>
        <v/>
      </c>
      <c r="K6" s="67" t="str">
        <f>IF($E6="Q22028",COUNTIF($E$3:$E6,"Q22028"),"")</f>
        <v/>
      </c>
      <c r="L6" s="67" t="str">
        <f>IF($E6="Q32028",COUNTIF($E$3:$E6,"Q32028"),"")</f>
        <v/>
      </c>
      <c r="M6" s="67" t="str">
        <f>IF($E6="Q42028",COUNTIF($E$3:$E6,"Q42028"),"")</f>
        <v/>
      </c>
      <c r="N6" s="67" t="str">
        <f>IF($E6="Backlog",COUNTIF($E$3:$E6,"Backlog"),"")</f>
        <v/>
      </c>
    </row>
    <row r="7" spans="1:14" ht="19.5" customHeight="1">
      <c r="A7" s="65">
        <v>5</v>
      </c>
      <c r="B7" s="16"/>
      <c r="C7" s="17"/>
      <c r="D7" s="17"/>
      <c r="E7" s="17"/>
      <c r="F7" s="17"/>
      <c r="G7" s="17"/>
      <c r="H7" s="66" t="str">
        <f>IF(C7="XXL (&gt;160h)",168,IF(C7="XL (&gt;40h)",48,IF(C7="L (20-40h)",30,IF(C7="M (10-20h)",15,IF(C7="S (&lt;10h)",5,"")))))</f>
        <v/>
      </c>
      <c r="I7" s="16"/>
      <c r="J7" s="67" t="str">
        <f>IF($E7="Q12028",COUNTIF($E$3:$E7,"Q12028"),"")</f>
        <v/>
      </c>
      <c r="K7" s="67" t="str">
        <f>IF($E7="Q22028",COUNTIF($E$3:$E7,"Q22028"),"")</f>
        <v/>
      </c>
      <c r="L7" s="67" t="str">
        <f>IF($E7="Q32028",COUNTIF($E$3:$E7,"Q32028"),"")</f>
        <v/>
      </c>
      <c r="M7" s="67" t="str">
        <f>IF($E7="Q42028",COUNTIF($E$3:$E7,"Q42028"),"")</f>
        <v/>
      </c>
      <c r="N7" s="67" t="str">
        <f>IF($E7="Backlog",COUNTIF($E$3:$E7,"Backlog"),"")</f>
        <v/>
      </c>
    </row>
    <row r="8" spans="1:14" ht="19.5" customHeight="1">
      <c r="A8" s="68">
        <v>6</v>
      </c>
      <c r="B8" s="18"/>
      <c r="C8" s="19"/>
      <c r="D8" s="19"/>
      <c r="E8" s="19"/>
      <c r="F8" s="19"/>
      <c r="G8" s="19"/>
      <c r="H8" s="69" t="str">
        <f>IF(C8="XXL (&gt;160h)",168,IF(C8="XL (&gt;40h)",48,IF(C8="L (20-40h)",30,IF(C8="M (10-20h)",15,IF(C8="S (&lt;10h)",5,"")))))</f>
        <v/>
      </c>
      <c r="I8" s="18"/>
      <c r="J8" s="67" t="str">
        <f>IF($E8="Q12028",COUNTIF($E$3:$E8,"Q12028"),"")</f>
        <v/>
      </c>
      <c r="K8" s="67" t="str">
        <f>IF($E8="Q22028",COUNTIF($E$3:$E8,"Q22028"),"")</f>
        <v/>
      </c>
      <c r="L8" s="67" t="str">
        <f>IF($E8="Q32028",COUNTIF($E$3:$E8,"Q32028"),"")</f>
        <v/>
      </c>
      <c r="M8" s="67" t="str">
        <f>IF($E8="Q42028",COUNTIF($E$3:$E8,"Q42028"),"")</f>
        <v/>
      </c>
      <c r="N8" s="67" t="str">
        <f>IF($E8="Backlog",COUNTIF($E$3:$E8,"Backlog"),"")</f>
        <v/>
      </c>
    </row>
    <row r="9" spans="1:14" ht="19.5" customHeight="1">
      <c r="A9" s="65">
        <v>7</v>
      </c>
      <c r="B9" s="16"/>
      <c r="C9" s="17"/>
      <c r="D9" s="17"/>
      <c r="E9" s="17"/>
      <c r="F9" s="17"/>
      <c r="G9" s="17"/>
      <c r="H9" s="66" t="str">
        <f>IF(C9="XXL (&gt;160h)",168,IF(C9="XL (&gt;40h)",48,IF(C9="L (20-40h)",30,IF(C9="M (10-20h)",15,IF(C9="S (&lt;10h)",5,"")))))</f>
        <v/>
      </c>
      <c r="I9" s="16"/>
      <c r="J9" s="67" t="str">
        <f>IF($E9="Q12028",COUNTIF($E$3:$E9,"Q12028"),"")</f>
        <v/>
      </c>
      <c r="K9" s="67" t="str">
        <f>IF($E9="Q22028",COUNTIF($E$3:$E9,"Q22028"),"")</f>
        <v/>
      </c>
      <c r="L9" s="67" t="str">
        <f>IF($E9="Q32028",COUNTIF($E$3:$E9,"Q32028"),"")</f>
        <v/>
      </c>
      <c r="M9" s="67" t="str">
        <f>IF($E9="Q42028",COUNTIF($E$3:$E9,"Q42028"),"")</f>
        <v/>
      </c>
      <c r="N9" s="67" t="str">
        <f>IF($E9="Backlog",COUNTIF($E$3:$E9,"Backlog"),"")</f>
        <v/>
      </c>
    </row>
    <row r="10" spans="1:14" ht="19.5" customHeight="1">
      <c r="A10" s="68">
        <v>8</v>
      </c>
      <c r="B10" s="18"/>
      <c r="C10" s="19"/>
      <c r="D10" s="19"/>
      <c r="E10" s="19"/>
      <c r="F10" s="19"/>
      <c r="G10" s="19"/>
      <c r="H10" s="69" t="str">
        <f>IF(C10="XXL (&gt;160h)",168,IF(C10="XL (&gt;40h)",48,IF(C10="L (20-40h)",30,IF(C10="M (10-20h)",15,IF(C10="S (&lt;10h)",5,"")))))</f>
        <v/>
      </c>
      <c r="I10" s="18"/>
      <c r="J10" s="67" t="str">
        <f>IF($E10="Q12028",COUNTIF($E$3:$E10,"Q12028"),"")</f>
        <v/>
      </c>
      <c r="K10" s="67" t="str">
        <f>IF($E10="Q22028",COUNTIF($E$3:$E10,"Q22028"),"")</f>
        <v/>
      </c>
      <c r="L10" s="67" t="str">
        <f>IF($E10="Q32028",COUNTIF($E$3:$E10,"Q32028"),"")</f>
        <v/>
      </c>
      <c r="M10" s="67" t="str">
        <f>IF($E10="Q42028",COUNTIF($E$3:$E10,"Q42028"),"")</f>
        <v/>
      </c>
      <c r="N10" s="67" t="str">
        <f>IF($E10="Backlog",COUNTIF($E$3:$E10,"Backlog"),"")</f>
        <v/>
      </c>
    </row>
    <row r="11" spans="1:14" ht="19.5" customHeight="1">
      <c r="A11" s="65">
        <v>9</v>
      </c>
      <c r="B11" s="16"/>
      <c r="C11" s="17"/>
      <c r="D11" s="17"/>
      <c r="E11" s="17"/>
      <c r="F11" s="17"/>
      <c r="G11" s="17"/>
      <c r="H11" s="66" t="str">
        <f>IF(C11="XXL (&gt;160h)",168,IF(C11="XL (&gt;40h)",48,IF(C11="L (20-40h)",30,IF(C11="M (10-20h)",15,IF(C11="S (&lt;10h)",5,"")))))</f>
        <v/>
      </c>
      <c r="I11" s="16"/>
      <c r="J11" s="67" t="str">
        <f>IF($E11="Q12028",COUNTIF($E$3:$E11,"Q12028"),"")</f>
        <v/>
      </c>
      <c r="K11" s="67" t="str">
        <f>IF($E11="Q22028",COUNTIF($E$3:$E11,"Q22028"),"")</f>
        <v/>
      </c>
      <c r="L11" s="67" t="str">
        <f>IF($E11="Q32028",COUNTIF($E$3:$E11,"Q32028"),"")</f>
        <v/>
      </c>
      <c r="M11" s="67" t="str">
        <f>IF($E11="Q42028",COUNTIF($E$3:$E11,"Q42028"),"")</f>
        <v/>
      </c>
      <c r="N11" s="67" t="str">
        <f>IF($E11="Backlog",COUNTIF($E$3:$E11,"Backlog"),"")</f>
        <v/>
      </c>
    </row>
    <row r="12" spans="1:14" ht="19.5" customHeight="1">
      <c r="A12" s="68">
        <v>10</v>
      </c>
      <c r="B12" s="18"/>
      <c r="C12" s="19"/>
      <c r="D12" s="19"/>
      <c r="E12" s="19"/>
      <c r="F12" s="19"/>
      <c r="G12" s="19"/>
      <c r="H12" s="69" t="str">
        <f>IF(C12="XXL (&gt;160h)",168,IF(C12="XL (&gt;40h)",48,IF(C12="L (20-40h)",30,IF(C12="M (10-20h)",15,IF(C12="S (&lt;10h)",5,"")))))</f>
        <v/>
      </c>
      <c r="I12" s="18"/>
      <c r="J12" s="67" t="str">
        <f>IF($E12="Q12028",COUNTIF($E$3:$E12,"Q12028"),"")</f>
        <v/>
      </c>
      <c r="K12" s="67" t="str">
        <f>IF($E12="Q22028",COUNTIF($E$3:$E12,"Q22028"),"")</f>
        <v/>
      </c>
      <c r="L12" s="67" t="str">
        <f>IF($E12="Q32028",COUNTIF($E$3:$E12,"Q32028"),"")</f>
        <v/>
      </c>
      <c r="M12" s="67" t="str">
        <f>IF($E12="Q42028",COUNTIF($E$3:$E12,"Q42028"),"")</f>
        <v/>
      </c>
      <c r="N12" s="67" t="str">
        <f>IF($E12="Backlog",COUNTIF($E$3:$E12,"Backlog"),"")</f>
        <v/>
      </c>
    </row>
    <row r="13" spans="1:14" ht="19.5" customHeight="1">
      <c r="A13" s="65">
        <v>11</v>
      </c>
      <c r="B13" s="16"/>
      <c r="C13" s="17"/>
      <c r="D13" s="17"/>
      <c r="E13" s="17"/>
      <c r="F13" s="17"/>
      <c r="G13" s="17"/>
      <c r="H13" s="66" t="str">
        <f>IF(C13="XXL (&gt;160h)",168,IF(C13="XL (&gt;40h)",48,IF(C13="L (20-40h)",30,IF(C13="M (10-20h)",15,IF(C13="S (&lt;10h)",5,"")))))</f>
        <v/>
      </c>
      <c r="I13" s="16"/>
      <c r="J13" s="67" t="str">
        <f>IF($E13="Q12028",COUNTIF($E$3:$E13,"Q12028"),"")</f>
        <v/>
      </c>
      <c r="K13" s="67" t="str">
        <f>IF($E13="Q22028",COUNTIF($E$3:$E13,"Q22028"),"")</f>
        <v/>
      </c>
      <c r="L13" s="67" t="str">
        <f>IF($E13="Q32028",COUNTIF($E$3:$E13,"Q32028"),"")</f>
        <v/>
      </c>
      <c r="M13" s="67" t="str">
        <f>IF($E13="Q42028",COUNTIF($E$3:$E13,"Q42028"),"")</f>
        <v/>
      </c>
      <c r="N13" s="67" t="str">
        <f>IF($E13="Backlog",COUNTIF($E$3:$E13,"Backlog"),"")</f>
        <v/>
      </c>
    </row>
    <row r="14" spans="1:14" ht="19.5" customHeight="1">
      <c r="A14" s="68">
        <v>12</v>
      </c>
      <c r="B14" s="18"/>
      <c r="C14" s="19"/>
      <c r="D14" s="19"/>
      <c r="E14" s="19"/>
      <c r="F14" s="19"/>
      <c r="G14" s="19"/>
      <c r="H14" s="69" t="str">
        <f>IF(C14="XXL (&gt;160h)",168,IF(C14="XL (&gt;40h)",48,IF(C14="L (20-40h)",30,IF(C14="M (10-20h)",15,IF(C14="S (&lt;10h)",5,"")))))</f>
        <v/>
      </c>
      <c r="I14" s="18"/>
      <c r="J14" s="67" t="str">
        <f>IF($E14="Q12028",COUNTIF($E$3:$E14,"Q12028"),"")</f>
        <v/>
      </c>
      <c r="K14" s="67" t="str">
        <f>IF($E14="Q22028",COUNTIF($E$3:$E14,"Q22028"),"")</f>
        <v/>
      </c>
      <c r="L14" s="67" t="str">
        <f>IF($E14="Q32028",COUNTIF($E$3:$E14,"Q32028"),"")</f>
        <v/>
      </c>
      <c r="M14" s="67" t="str">
        <f>IF($E14="Q42028",COUNTIF($E$3:$E14,"Q42028"),"")</f>
        <v/>
      </c>
      <c r="N14" s="67" t="str">
        <f>IF($E14="Backlog",COUNTIF($E$3:$E14,"Backlog"),"")</f>
        <v/>
      </c>
    </row>
    <row r="15" spans="1:14" ht="19.5" customHeight="1">
      <c r="A15" s="65">
        <v>13</v>
      </c>
      <c r="B15" s="16"/>
      <c r="C15" s="17"/>
      <c r="D15" s="17"/>
      <c r="E15" s="17"/>
      <c r="F15" s="17"/>
      <c r="G15" s="17"/>
      <c r="H15" s="66" t="str">
        <f>IF(C15="XXL (&gt;160h)",168,IF(C15="XL (&gt;40h)",48,IF(C15="L (20-40h)",30,IF(C15="M (10-20h)",15,IF(C15="S (&lt;10h)",5,"")))))</f>
        <v/>
      </c>
      <c r="I15" s="16"/>
      <c r="J15" s="67" t="str">
        <f>IF($E15="Q12028",COUNTIF($E$3:$E15,"Q12028"),"")</f>
        <v/>
      </c>
      <c r="K15" s="67" t="str">
        <f>IF($E15="Q22028",COUNTIF($E$3:$E15,"Q22028"),"")</f>
        <v/>
      </c>
      <c r="L15" s="67" t="str">
        <f>IF($E15="Q32028",COUNTIF($E$3:$E15,"Q32028"),"")</f>
        <v/>
      </c>
      <c r="M15" s="67" t="str">
        <f>IF($E15="Q42028",COUNTIF($E$3:$E15,"Q42028"),"")</f>
        <v/>
      </c>
      <c r="N15" s="67" t="str">
        <f>IF($E15="Backlog",COUNTIF($E$3:$E15,"Backlog"),"")</f>
        <v/>
      </c>
    </row>
    <row r="16" spans="1:14" ht="19.5" customHeight="1">
      <c r="A16" s="68">
        <v>14</v>
      </c>
      <c r="B16" s="18"/>
      <c r="C16" s="19"/>
      <c r="D16" s="19"/>
      <c r="E16" s="19"/>
      <c r="F16" s="19"/>
      <c r="G16" s="19"/>
      <c r="H16" s="69" t="str">
        <f>IF(C16="XXL (&gt;160h)",168,IF(C16="XL (&gt;40h)",48,IF(C16="L (20-40h)",30,IF(C16="M (10-20h)",15,IF(C16="S (&lt;10h)",5,"")))))</f>
        <v/>
      </c>
      <c r="I16" s="18"/>
      <c r="J16" s="67" t="str">
        <f>IF($E16="Q12028",COUNTIF($E$3:$E16,"Q12028"),"")</f>
        <v/>
      </c>
      <c r="K16" s="67" t="str">
        <f>IF($E16="Q22028",COUNTIF($E$3:$E16,"Q22028"),"")</f>
        <v/>
      </c>
      <c r="L16" s="67" t="str">
        <f>IF($E16="Q32028",COUNTIF($E$3:$E16,"Q32028"),"")</f>
        <v/>
      </c>
      <c r="M16" s="67" t="str">
        <f>IF($E16="Q42028",COUNTIF($E$3:$E16,"Q42028"),"")</f>
        <v/>
      </c>
      <c r="N16" s="67" t="str">
        <f>IF($E16="Backlog",COUNTIF($E$3:$E16,"Backlog"),"")</f>
        <v/>
      </c>
    </row>
    <row r="17" spans="1:14" ht="19.5" customHeight="1">
      <c r="A17" s="65">
        <v>15</v>
      </c>
      <c r="B17" s="16"/>
      <c r="C17" s="17"/>
      <c r="D17" s="17"/>
      <c r="E17" s="17"/>
      <c r="F17" s="17"/>
      <c r="G17" s="17"/>
      <c r="H17" s="66" t="str">
        <f>IF(C17="XXL (&gt;160h)",168,IF(C17="XL (&gt;40h)",48,IF(C17="L (20-40h)",30,IF(C17="M (10-20h)",15,IF(C17="S (&lt;10h)",5,"")))))</f>
        <v/>
      </c>
      <c r="I17" s="16"/>
      <c r="J17" s="67" t="str">
        <f>IF($E17="Q12028",COUNTIF($E$3:$E17,"Q12028"),"")</f>
        <v/>
      </c>
      <c r="K17" s="67" t="str">
        <f>IF($E17="Q22028",COUNTIF($E$3:$E17,"Q22028"),"")</f>
        <v/>
      </c>
      <c r="L17" s="67" t="str">
        <f>IF($E17="Q32028",COUNTIF($E$3:$E17,"Q32028"),"")</f>
        <v/>
      </c>
      <c r="M17" s="67" t="str">
        <f>IF($E17="Q42028",COUNTIF($E$3:$E17,"Q42028"),"")</f>
        <v/>
      </c>
      <c r="N17" s="67" t="str">
        <f>IF($E17="Backlog",COUNTIF($E$3:$E17,"Backlog"),"")</f>
        <v/>
      </c>
    </row>
    <row r="18" spans="1:14" ht="19.5" customHeight="1">
      <c r="A18" s="68">
        <v>16</v>
      </c>
      <c r="B18" s="18"/>
      <c r="C18" s="19"/>
      <c r="D18" s="19"/>
      <c r="E18" s="19"/>
      <c r="F18" s="19"/>
      <c r="G18" s="19"/>
      <c r="H18" s="69" t="str">
        <f>IF(C18="XXL (&gt;160h)",168,IF(C18="XL (&gt;40h)",48,IF(C18="L (20-40h)",30,IF(C18="M (10-20h)",15,IF(C18="S (&lt;10h)",5,"")))))</f>
        <v/>
      </c>
      <c r="I18" s="18"/>
      <c r="J18" s="67" t="str">
        <f>IF($E18="Q12028",COUNTIF($E$3:$E18,"Q12028"),"")</f>
        <v/>
      </c>
      <c r="K18" s="67" t="str">
        <f>IF($E18="Q22028",COUNTIF($E$3:$E18,"Q22028"),"")</f>
        <v/>
      </c>
      <c r="L18" s="67" t="str">
        <f>IF($E18="Q32028",COUNTIF($E$3:$E18,"Q32028"),"")</f>
        <v/>
      </c>
      <c r="M18" s="67" t="str">
        <f>IF($E18="Q42028",COUNTIF($E$3:$E18,"Q42028"),"")</f>
        <v/>
      </c>
      <c r="N18" s="67" t="str">
        <f>IF($E18="Backlog",COUNTIF($E$3:$E18,"Backlog"),"")</f>
        <v/>
      </c>
    </row>
    <row r="19" spans="1:14" ht="19.5" customHeight="1">
      <c r="A19" s="65">
        <v>17</v>
      </c>
      <c r="B19" s="16"/>
      <c r="C19" s="17"/>
      <c r="D19" s="17"/>
      <c r="E19" s="17"/>
      <c r="F19" s="17"/>
      <c r="G19" s="17"/>
      <c r="H19" s="66" t="str">
        <f>IF(C19="XXL (&gt;160h)",168,IF(C19="XL (&gt;40h)",48,IF(C19="L (20-40h)",30,IF(C19="M (10-20h)",15,IF(C19="S (&lt;10h)",5,"")))))</f>
        <v/>
      </c>
      <c r="I19" s="16"/>
      <c r="J19" s="67" t="str">
        <f>IF($E19="Q12028",COUNTIF($E$3:$E19,"Q12028"),"")</f>
        <v/>
      </c>
      <c r="K19" s="67" t="str">
        <f>IF($E19="Q22028",COUNTIF($E$3:$E19,"Q22028"),"")</f>
        <v/>
      </c>
      <c r="L19" s="67" t="str">
        <f>IF($E19="Q32028",COUNTIF($E$3:$E19,"Q32028"),"")</f>
        <v/>
      </c>
      <c r="M19" s="67" t="str">
        <f>IF($E19="Q42028",COUNTIF($E$3:$E19,"Q42028"),"")</f>
        <v/>
      </c>
      <c r="N19" s="67" t="str">
        <f>IF($E19="Backlog",COUNTIF($E$3:$E19,"Backlog"),"")</f>
        <v/>
      </c>
    </row>
    <row r="20" spans="1:14" ht="19.5" customHeight="1">
      <c r="A20" s="68">
        <v>18</v>
      </c>
      <c r="B20" s="18"/>
      <c r="C20" s="19"/>
      <c r="D20" s="19"/>
      <c r="E20" s="19"/>
      <c r="F20" s="19"/>
      <c r="G20" s="19"/>
      <c r="H20" s="69" t="str">
        <f>IF(C20="XXL (&gt;160h)",168,IF(C20="XL (&gt;40h)",48,IF(C20="L (20-40h)",30,IF(C20="M (10-20h)",15,IF(C20="S (&lt;10h)",5,"")))))</f>
        <v/>
      </c>
      <c r="I20" s="18"/>
      <c r="J20" s="67" t="str">
        <f>IF($E20="Q12028",COUNTIF($E$3:$E20,"Q12028"),"")</f>
        <v/>
      </c>
      <c r="K20" s="67" t="str">
        <f>IF($E20="Q22028",COUNTIF($E$3:$E20,"Q22028"),"")</f>
        <v/>
      </c>
      <c r="L20" s="67" t="str">
        <f>IF($E20="Q32028",COUNTIF($E$3:$E20,"Q32028"),"")</f>
        <v/>
      </c>
      <c r="M20" s="67" t="str">
        <f>IF($E20="Q42028",COUNTIF($E$3:$E20,"Q42028"),"")</f>
        <v/>
      </c>
      <c r="N20" s="67" t="str">
        <f>IF($E20="Backlog",COUNTIF($E$3:$E20,"Backlog"),"")</f>
        <v/>
      </c>
    </row>
    <row r="21" spans="1:14" ht="19.5" customHeight="1">
      <c r="A21" s="65">
        <v>19</v>
      </c>
      <c r="B21" s="16"/>
      <c r="C21" s="17"/>
      <c r="D21" s="17"/>
      <c r="E21" s="17"/>
      <c r="F21" s="17"/>
      <c r="G21" s="17"/>
      <c r="H21" s="66" t="str">
        <f>IF(C21="XXL (&gt;160h)",168,IF(C21="XL (&gt;40h)",48,IF(C21="L (20-40h)",30,IF(C21="M (10-20h)",15,IF(C21="S (&lt;10h)",5,"")))))</f>
        <v/>
      </c>
      <c r="I21" s="16"/>
      <c r="J21" s="67" t="str">
        <f>IF($E21="Q12028",COUNTIF($E$3:$E21,"Q12028"),"")</f>
        <v/>
      </c>
      <c r="K21" s="67" t="str">
        <f>IF($E21="Q22028",COUNTIF($E$3:$E21,"Q22028"),"")</f>
        <v/>
      </c>
      <c r="L21" s="67" t="str">
        <f>IF($E21="Q32028",COUNTIF($E$3:$E21,"Q32028"),"")</f>
        <v/>
      </c>
      <c r="M21" s="67" t="str">
        <f>IF($E21="Q42028",COUNTIF($E$3:$E21,"Q42028"),"")</f>
        <v/>
      </c>
      <c r="N21" s="67" t="str">
        <f>IF($E21="Backlog",COUNTIF($E$3:$E21,"Backlog"),"")</f>
        <v/>
      </c>
    </row>
    <row r="22" spans="1:14" ht="19.5" customHeight="1">
      <c r="A22" s="68">
        <v>20</v>
      </c>
      <c r="B22" s="18"/>
      <c r="C22" s="19"/>
      <c r="D22" s="19"/>
      <c r="E22" s="19"/>
      <c r="F22" s="19"/>
      <c r="G22" s="19"/>
      <c r="H22" s="69" t="str">
        <f>IF(C22="XXL (&gt;160h)",168,IF(C22="XL (&gt;40h)",48,IF(C22="L (20-40h)",30,IF(C22="M (10-20h)",15,IF(C22="S (&lt;10h)",5,"")))))</f>
        <v/>
      </c>
      <c r="I22" s="18"/>
      <c r="J22" s="67" t="str">
        <f>IF($E22="Q12028",COUNTIF($E$3:$E22,"Q12028"),"")</f>
        <v/>
      </c>
      <c r="K22" s="67" t="str">
        <f>IF($E22="Q22028",COUNTIF($E$3:$E22,"Q22028"),"")</f>
        <v/>
      </c>
      <c r="L22" s="67" t="str">
        <f>IF($E22="Q32028",COUNTIF($E$3:$E22,"Q32028"),"")</f>
        <v/>
      </c>
      <c r="M22" s="67" t="str">
        <f>IF($E22="Q42028",COUNTIF($E$3:$E22,"Q42028"),"")</f>
        <v/>
      </c>
      <c r="N22" s="67" t="str">
        <f>IF($E22="Backlog",COUNTIF($E$3:$E22,"Backlog"),"")</f>
        <v/>
      </c>
    </row>
    <row r="23" spans="1:14" ht="19.5" customHeight="1">
      <c r="A23" s="65">
        <v>21</v>
      </c>
      <c r="B23" s="16"/>
      <c r="C23" s="17"/>
      <c r="D23" s="17"/>
      <c r="E23" s="17"/>
      <c r="F23" s="17"/>
      <c r="G23" s="17"/>
      <c r="H23" s="66" t="str">
        <f>IF(C23="XXL (&gt;160h)",168,IF(C23="XL (&gt;40h)",48,IF(C23="L (20-40h)",30,IF(C23="M (10-20h)",15,IF(C23="S (&lt;10h)",5,"")))))</f>
        <v/>
      </c>
      <c r="I23" s="16"/>
      <c r="J23" s="67" t="str">
        <f>IF($E23="Q12028",COUNTIF($E$3:$E23,"Q12028"),"")</f>
        <v/>
      </c>
      <c r="K23" s="67" t="str">
        <f>IF($E23="Q22028",COUNTIF($E$3:$E23,"Q22028"),"")</f>
        <v/>
      </c>
      <c r="L23" s="67" t="str">
        <f>IF($E23="Q32028",COUNTIF($E$3:$E23,"Q32028"),"")</f>
        <v/>
      </c>
      <c r="M23" s="67" t="str">
        <f>IF($E23="Q42028",COUNTIF($E$3:$E23,"Q42028"),"")</f>
        <v/>
      </c>
      <c r="N23" s="67" t="str">
        <f>IF($E23="Backlog",COUNTIF($E$3:$E23,"Backlog"),"")</f>
        <v/>
      </c>
    </row>
    <row r="24" spans="1:14" ht="19.5" customHeight="1">
      <c r="A24" s="68">
        <v>22</v>
      </c>
      <c r="B24" s="18"/>
      <c r="C24" s="19"/>
      <c r="D24" s="19"/>
      <c r="E24" s="19"/>
      <c r="F24" s="19"/>
      <c r="G24" s="19"/>
      <c r="H24" s="69" t="str">
        <f>IF(C24="XXL (&gt;160h)",168,IF(C24="XL (&gt;40h)",48,IF(C24="L (20-40h)",30,IF(C24="M (10-20h)",15,IF(C24="S (&lt;10h)",5,"")))))</f>
        <v/>
      </c>
      <c r="I24" s="18"/>
      <c r="J24" s="67" t="str">
        <f>IF($E24="Q12028",COUNTIF($E$3:$E24,"Q12028"),"")</f>
        <v/>
      </c>
      <c r="K24" s="67" t="str">
        <f>IF($E24="Q22028",COUNTIF($E$3:$E24,"Q22028"),"")</f>
        <v/>
      </c>
      <c r="L24" s="67" t="str">
        <f>IF($E24="Q32028",COUNTIF($E$3:$E24,"Q32028"),"")</f>
        <v/>
      </c>
      <c r="M24" s="67" t="str">
        <f>IF($E24="Q42028",COUNTIF($E$3:$E24,"Q42028"),"")</f>
        <v/>
      </c>
      <c r="N24" s="67" t="str">
        <f>IF($E24="Backlog",COUNTIF($E$3:$E24,"Backlog"),"")</f>
        <v/>
      </c>
    </row>
    <row r="25" spans="1:14" ht="19.5" customHeight="1">
      <c r="A25" s="65">
        <v>23</v>
      </c>
      <c r="B25" s="16"/>
      <c r="C25" s="17"/>
      <c r="D25" s="17"/>
      <c r="E25" s="17"/>
      <c r="F25" s="17"/>
      <c r="G25" s="17"/>
      <c r="H25" s="66" t="str">
        <f>IF(C25="XXL (&gt;160h)",168,IF(C25="XL (&gt;40h)",48,IF(C25="L (20-40h)",30,IF(C25="M (10-20h)",15,IF(C25="S (&lt;10h)",5,"")))))</f>
        <v/>
      </c>
      <c r="I25" s="16"/>
      <c r="J25" s="67" t="str">
        <f>IF($E25="Q12028",COUNTIF($E$3:$E25,"Q12028"),"")</f>
        <v/>
      </c>
      <c r="K25" s="67" t="str">
        <f>IF($E25="Q22028",COUNTIF($E$3:$E25,"Q22028"),"")</f>
        <v/>
      </c>
      <c r="L25" s="67" t="str">
        <f>IF($E25="Q32028",COUNTIF($E$3:$E25,"Q32028"),"")</f>
        <v/>
      </c>
      <c r="M25" s="67" t="str">
        <f>IF($E25="Q42028",COUNTIF($E$3:$E25,"Q42028"),"")</f>
        <v/>
      </c>
      <c r="N25" s="67" t="str">
        <f>IF($E25="Backlog",COUNTIF($E$3:$E25,"Backlog"),"")</f>
        <v/>
      </c>
    </row>
    <row r="26" spans="1:14" ht="19.5" customHeight="1">
      <c r="A26" s="68">
        <v>24</v>
      </c>
      <c r="B26" s="18"/>
      <c r="C26" s="19"/>
      <c r="D26" s="19"/>
      <c r="E26" s="19"/>
      <c r="F26" s="19"/>
      <c r="G26" s="19"/>
      <c r="H26" s="69" t="str">
        <f>IF(C26="XXL (&gt;160h)",168,IF(C26="XL (&gt;40h)",48,IF(C26="L (20-40h)",30,IF(C26="M (10-20h)",15,IF(C26="S (&lt;10h)",5,"")))))</f>
        <v/>
      </c>
      <c r="I26" s="18"/>
      <c r="J26" s="67" t="str">
        <f>IF($E26="Q12028",COUNTIF($E$3:$E26,"Q12028"),"")</f>
        <v/>
      </c>
      <c r="K26" s="67" t="str">
        <f>IF($E26="Q22028",COUNTIF($E$3:$E26,"Q22028"),"")</f>
        <v/>
      </c>
      <c r="L26" s="67" t="str">
        <f>IF($E26="Q32028",COUNTIF($E$3:$E26,"Q32028"),"")</f>
        <v/>
      </c>
      <c r="M26" s="67" t="str">
        <f>IF($E26="Q42028",COUNTIF($E$3:$E26,"Q42028"),"")</f>
        <v/>
      </c>
      <c r="N26" s="67" t="str">
        <f>IF($E26="Backlog",COUNTIF($E$3:$E26,"Backlog"),"")</f>
        <v/>
      </c>
    </row>
    <row r="27" spans="1:14" ht="19.5" customHeight="1">
      <c r="A27" s="65">
        <v>25</v>
      </c>
      <c r="B27" s="16"/>
      <c r="C27" s="17"/>
      <c r="D27" s="17"/>
      <c r="E27" s="17"/>
      <c r="F27" s="17"/>
      <c r="G27" s="17"/>
      <c r="H27" s="66" t="str">
        <f>IF(C27="XXL (&gt;160h)",168,IF(C27="XL (&gt;40h)",48,IF(C27="L (20-40h)",30,IF(C27="M (10-20h)",15,IF(C27="S (&lt;10h)",5,"")))))</f>
        <v/>
      </c>
      <c r="I27" s="16"/>
      <c r="J27" s="67" t="str">
        <f>IF($E27="Q12028",COUNTIF($E$3:$E27,"Q12028"),"")</f>
        <v/>
      </c>
      <c r="K27" s="67" t="str">
        <f>IF($E27="Q22028",COUNTIF($E$3:$E27,"Q22028"),"")</f>
        <v/>
      </c>
      <c r="L27" s="67" t="str">
        <f>IF($E27="Q32028",COUNTIF($E$3:$E27,"Q32028"),"")</f>
        <v/>
      </c>
      <c r="M27" s="67" t="str">
        <f>IF($E27="Q42028",COUNTIF($E$3:$E27,"Q42028"),"")</f>
        <v/>
      </c>
      <c r="N27" s="67" t="str">
        <f>IF($E27="Backlog",COUNTIF($E$3:$E27,"Backlog"),"")</f>
        <v/>
      </c>
    </row>
    <row r="28" spans="1:14" ht="19.5" customHeight="1">
      <c r="A28" s="68">
        <v>26</v>
      </c>
      <c r="B28" s="18"/>
      <c r="C28" s="19"/>
      <c r="D28" s="19"/>
      <c r="E28" s="19"/>
      <c r="F28" s="19"/>
      <c r="G28" s="19"/>
      <c r="H28" s="69" t="str">
        <f>IF(C28="XXL (&gt;160h)",168,IF(C28="XL (&gt;40h)",48,IF(C28="L (20-40h)",30,IF(C28="M (10-20h)",15,IF(C28="S (&lt;10h)",5,"")))))</f>
        <v/>
      </c>
      <c r="I28" s="18"/>
      <c r="J28" s="67" t="str">
        <f>IF($E28="Q12028",COUNTIF($E$3:$E28,"Q12028"),"")</f>
        <v/>
      </c>
      <c r="K28" s="67" t="str">
        <f>IF($E28="Q22028",COUNTIF($E$3:$E28,"Q22028"),"")</f>
        <v/>
      </c>
      <c r="L28" s="67" t="str">
        <f>IF($E28="Q32028",COUNTIF($E$3:$E28,"Q32028"),"")</f>
        <v/>
      </c>
      <c r="M28" s="67" t="str">
        <f>IF($E28="Q42028",COUNTIF($E$3:$E28,"Q42028"),"")</f>
        <v/>
      </c>
      <c r="N28" s="67" t="str">
        <f>IF($E28="Backlog",COUNTIF($E$3:$E28,"Backlog"),"")</f>
        <v/>
      </c>
    </row>
    <row r="29" spans="1:14" ht="19.5" customHeight="1">
      <c r="A29" s="65">
        <v>27</v>
      </c>
      <c r="B29" s="16"/>
      <c r="C29" s="17"/>
      <c r="D29" s="17"/>
      <c r="E29" s="17"/>
      <c r="F29" s="17"/>
      <c r="G29" s="17"/>
      <c r="H29" s="66" t="str">
        <f>IF(C29="XXL (&gt;160h)",168,IF(C29="XL (&gt;40h)",48,IF(C29="L (20-40h)",30,IF(C29="M (10-20h)",15,IF(C29="S (&lt;10h)",5,"")))))</f>
        <v/>
      </c>
      <c r="I29" s="16"/>
      <c r="J29" s="67" t="str">
        <f>IF($E29="Q12028",COUNTIF($E$3:$E29,"Q12028"),"")</f>
        <v/>
      </c>
      <c r="K29" s="67" t="str">
        <f>IF($E29="Q22028",COUNTIF($E$3:$E29,"Q22028"),"")</f>
        <v/>
      </c>
      <c r="L29" s="67" t="str">
        <f>IF($E29="Q32028",COUNTIF($E$3:$E29,"Q32028"),"")</f>
        <v/>
      </c>
      <c r="M29" s="67" t="str">
        <f>IF($E29="Q42028",COUNTIF($E$3:$E29,"Q42028"),"")</f>
        <v/>
      </c>
      <c r="N29" s="67" t="str">
        <f>IF($E29="Backlog",COUNTIF($E$3:$E29,"Backlog"),"")</f>
        <v/>
      </c>
    </row>
    <row r="30" spans="1:14" ht="19.5" customHeight="1">
      <c r="A30" s="68">
        <v>28</v>
      </c>
      <c r="B30" s="18"/>
      <c r="C30" s="19"/>
      <c r="D30" s="19"/>
      <c r="E30" s="19"/>
      <c r="F30" s="19"/>
      <c r="G30" s="19"/>
      <c r="H30" s="69" t="str">
        <f>IF(C30="XXL (&gt;160h)",168,IF(C30="XL (&gt;40h)",48,IF(C30="L (20-40h)",30,IF(C30="M (10-20h)",15,IF(C30="S (&lt;10h)",5,"")))))</f>
        <v/>
      </c>
      <c r="I30" s="18"/>
      <c r="J30" s="67" t="str">
        <f>IF($E30="Q12028",COUNTIF($E$3:$E30,"Q12028"),"")</f>
        <v/>
      </c>
      <c r="K30" s="67" t="str">
        <f>IF($E30="Q22028",COUNTIF($E$3:$E30,"Q22028"),"")</f>
        <v/>
      </c>
      <c r="L30" s="67" t="str">
        <f>IF($E30="Q32028",COUNTIF($E$3:$E30,"Q32028"),"")</f>
        <v/>
      </c>
      <c r="M30" s="67" t="str">
        <f>IF($E30="Q42028",COUNTIF($E$3:$E30,"Q42028"),"")</f>
        <v/>
      </c>
      <c r="N30" s="67" t="str">
        <f>IF($E30="Backlog",COUNTIF($E$3:$E30,"Backlog"),"")</f>
        <v/>
      </c>
    </row>
    <row r="31" spans="1:14" ht="19.5" customHeight="1">
      <c r="A31" s="65">
        <v>29</v>
      </c>
      <c r="B31" s="16"/>
      <c r="C31" s="17"/>
      <c r="D31" s="17"/>
      <c r="E31" s="17"/>
      <c r="F31" s="17"/>
      <c r="G31" s="17"/>
      <c r="H31" s="66" t="str">
        <f>IF(C31="XXL (&gt;160h)",168,IF(C31="XL (&gt;40h)",48,IF(C31="L (20-40h)",30,IF(C31="M (10-20h)",15,IF(C31="S (&lt;10h)",5,"")))))</f>
        <v/>
      </c>
      <c r="I31" s="16"/>
      <c r="J31" s="67" t="str">
        <f>IF($E31="Q12028",COUNTIF($E$3:$E31,"Q12028"),"")</f>
        <v/>
      </c>
      <c r="K31" s="67" t="str">
        <f>IF($E31="Q22028",COUNTIF($E$3:$E31,"Q22028"),"")</f>
        <v/>
      </c>
      <c r="L31" s="67" t="str">
        <f>IF($E31="Q32028",COUNTIF($E$3:$E31,"Q32028"),"")</f>
        <v/>
      </c>
      <c r="M31" s="67" t="str">
        <f>IF($E31="Q42028",COUNTIF($E$3:$E31,"Q42028"),"")</f>
        <v/>
      </c>
      <c r="N31" s="67" t="str">
        <f>IF($E31="Backlog",COUNTIF($E$3:$E31,"Backlog"),"")</f>
        <v/>
      </c>
    </row>
    <row r="32" spans="1:14" ht="19.5" customHeight="1">
      <c r="A32" s="68">
        <v>30</v>
      </c>
      <c r="B32" s="18"/>
      <c r="C32" s="19"/>
      <c r="D32" s="19"/>
      <c r="E32" s="19"/>
      <c r="F32" s="19"/>
      <c r="G32" s="19"/>
      <c r="H32" s="69" t="str">
        <f>IF(C32="XXL (&gt;160h)",168,IF(C32="XL (&gt;40h)",48,IF(C32="L (20-40h)",30,IF(C32="M (10-20h)",15,IF(C32="S (&lt;10h)",5,"")))))</f>
        <v/>
      </c>
      <c r="I32" s="18"/>
      <c r="J32" s="67" t="str">
        <f>IF($E32="Q12028",COUNTIF($E$3:$E32,"Q12028"),"")</f>
        <v/>
      </c>
      <c r="K32" s="67" t="str">
        <f>IF($E32="Q22028",COUNTIF($E$3:$E32,"Q22028"),"")</f>
        <v/>
      </c>
      <c r="L32" s="67" t="str">
        <f>IF($E32="Q32028",COUNTIF($E$3:$E32,"Q32028"),"")</f>
        <v/>
      </c>
      <c r="M32" s="67" t="str">
        <f>IF($E32="Q42028",COUNTIF($E$3:$E32,"Q42028"),"")</f>
        <v/>
      </c>
      <c r="N32" s="67" t="str">
        <f>IF($E32="Backlog",COUNTIF($E$3:$E32,"Backlog"),"")</f>
        <v/>
      </c>
    </row>
    <row r="33" spans="1:14" ht="19.5" customHeight="1">
      <c r="A33" s="65">
        <v>31</v>
      </c>
      <c r="B33" s="16"/>
      <c r="C33" s="17"/>
      <c r="D33" s="17"/>
      <c r="E33" s="17"/>
      <c r="F33" s="17"/>
      <c r="G33" s="17"/>
      <c r="H33" s="66" t="str">
        <f>IF(C33="XXL (&gt;160h)",168,IF(C33="XL (&gt;40h)",48,IF(C33="L (20-40h)",30,IF(C33="M (10-20h)",15,IF(C33="S (&lt;10h)",5,"")))))</f>
        <v/>
      </c>
      <c r="I33" s="16"/>
      <c r="J33" s="67" t="str">
        <f>IF($E33="Q12028",COUNTIF($E$3:$E33,"Q12028"),"")</f>
        <v/>
      </c>
      <c r="K33" s="67" t="str">
        <f>IF($E33="Q22028",COUNTIF($E$3:$E33,"Q22028"),"")</f>
        <v/>
      </c>
      <c r="L33" s="67" t="str">
        <f>IF($E33="Q32028",COUNTIF($E$3:$E33,"Q32028"),"")</f>
        <v/>
      </c>
      <c r="M33" s="67" t="str">
        <f>IF($E33="Q42028",COUNTIF($E$3:$E33,"Q42028"),"")</f>
        <v/>
      </c>
      <c r="N33" s="67" t="str">
        <f>IF($E33="Backlog",COUNTIF($E$3:$E33,"Backlog"),"")</f>
        <v/>
      </c>
    </row>
    <row r="34" spans="1:14" ht="19.5" customHeight="1">
      <c r="A34" s="68">
        <v>32</v>
      </c>
      <c r="B34" s="18"/>
      <c r="C34" s="19"/>
      <c r="D34" s="19"/>
      <c r="E34" s="19"/>
      <c r="F34" s="19"/>
      <c r="G34" s="19"/>
      <c r="H34" s="69" t="str">
        <f>IF(C34="XXL (&gt;160h)",168,IF(C34="XL (&gt;40h)",48,IF(C34="L (20-40h)",30,IF(C34="M (10-20h)",15,IF(C34="S (&lt;10h)",5,"")))))</f>
        <v/>
      </c>
      <c r="I34" s="18"/>
      <c r="J34" s="67" t="str">
        <f>IF($E34="Q12028",COUNTIF($E$3:$E34,"Q12028"),"")</f>
        <v/>
      </c>
      <c r="K34" s="67" t="str">
        <f>IF($E34="Q22028",COUNTIF($E$3:$E34,"Q22028"),"")</f>
        <v/>
      </c>
      <c r="L34" s="67" t="str">
        <f>IF($E34="Q32028",COUNTIF($E$3:$E34,"Q32028"),"")</f>
        <v/>
      </c>
      <c r="M34" s="67" t="str">
        <f>IF($E34="Q42028",COUNTIF($E$3:$E34,"Q42028"),"")</f>
        <v/>
      </c>
      <c r="N34" s="67" t="str">
        <f>IF($E34="Backlog",COUNTIF($E$3:$E34,"Backlog"),"")</f>
        <v/>
      </c>
    </row>
    <row r="35" spans="1:14" ht="19.5" customHeight="1">
      <c r="A35" s="65">
        <v>33</v>
      </c>
      <c r="B35" s="16"/>
      <c r="C35" s="17"/>
      <c r="D35" s="17"/>
      <c r="E35" s="17"/>
      <c r="F35" s="17"/>
      <c r="G35" s="17"/>
      <c r="H35" s="66" t="str">
        <f>IF(C35="XXL (&gt;160h)",168,IF(C35="XL (&gt;40h)",48,IF(C35="L (20-40h)",30,IF(C35="M (10-20h)",15,IF(C35="S (&lt;10h)",5,"")))))</f>
        <v/>
      </c>
      <c r="I35" s="16"/>
      <c r="J35" s="67" t="str">
        <f>IF($E35="Q12028",COUNTIF($E$3:$E35,"Q12028"),"")</f>
        <v/>
      </c>
      <c r="K35" s="67" t="str">
        <f>IF($E35="Q22028",COUNTIF($E$3:$E35,"Q22028"),"")</f>
        <v/>
      </c>
      <c r="L35" s="67" t="str">
        <f>IF($E35="Q32028",COUNTIF($E$3:$E35,"Q32028"),"")</f>
        <v/>
      </c>
      <c r="M35" s="67" t="str">
        <f>IF($E35="Q42028",COUNTIF($E$3:$E35,"Q42028"),"")</f>
        <v/>
      </c>
      <c r="N35" s="67" t="str">
        <f>IF($E35="Backlog",COUNTIF($E$3:$E35,"Backlog"),"")</f>
        <v/>
      </c>
    </row>
    <row r="36" spans="1:14" ht="19.5" customHeight="1">
      <c r="A36" s="68">
        <v>34</v>
      </c>
      <c r="B36" s="18"/>
      <c r="C36" s="19"/>
      <c r="D36" s="19"/>
      <c r="E36" s="19"/>
      <c r="F36" s="19"/>
      <c r="G36" s="19"/>
      <c r="H36" s="69" t="str">
        <f>IF(C36="XXL (&gt;160h)",168,IF(C36="XL (&gt;40h)",48,IF(C36="L (20-40h)",30,IF(C36="M (10-20h)",15,IF(C36="S (&lt;10h)",5,"")))))</f>
        <v/>
      </c>
      <c r="I36" s="18"/>
      <c r="J36" s="67" t="str">
        <f>IF($E36="Q12028",COUNTIF($E$3:$E36,"Q12028"),"")</f>
        <v/>
      </c>
      <c r="K36" s="67" t="str">
        <f>IF($E36="Q22028",COUNTIF($E$3:$E36,"Q22028"),"")</f>
        <v/>
      </c>
      <c r="L36" s="67" t="str">
        <f>IF($E36="Q32028",COUNTIF($E$3:$E36,"Q32028"),"")</f>
        <v/>
      </c>
      <c r="M36" s="67" t="str">
        <f>IF($E36="Q42028",COUNTIF($E$3:$E36,"Q42028"),"")</f>
        <v/>
      </c>
      <c r="N36" s="67" t="str">
        <f>IF($E36="Backlog",COUNTIF($E$3:$E36,"Backlog"),"")</f>
        <v/>
      </c>
    </row>
    <row r="37" spans="1:14" ht="19.5" customHeight="1">
      <c r="A37" s="65">
        <v>35</v>
      </c>
      <c r="B37" s="16"/>
      <c r="C37" s="17"/>
      <c r="D37" s="17"/>
      <c r="E37" s="17"/>
      <c r="F37" s="17"/>
      <c r="G37" s="17"/>
      <c r="H37" s="66" t="str">
        <f>IF(C37="XXL (&gt;160h)",168,IF(C37="XL (&gt;40h)",48,IF(C37="L (20-40h)",30,IF(C37="M (10-20h)",15,IF(C37="S (&lt;10h)",5,"")))))</f>
        <v/>
      </c>
      <c r="I37" s="16"/>
      <c r="J37" s="67" t="str">
        <f>IF($E37="Q12028",COUNTIF($E$3:$E37,"Q12028"),"")</f>
        <v/>
      </c>
      <c r="K37" s="67" t="str">
        <f>IF($E37="Q22028",COUNTIF($E$3:$E37,"Q22028"),"")</f>
        <v/>
      </c>
      <c r="L37" s="67" t="str">
        <f>IF($E37="Q32028",COUNTIF($E$3:$E37,"Q32028"),"")</f>
        <v/>
      </c>
      <c r="M37" s="67" t="str">
        <f>IF($E37="Q42028",COUNTIF($E$3:$E37,"Q42028"),"")</f>
        <v/>
      </c>
      <c r="N37" s="67" t="str">
        <f>IF($E37="Backlog",COUNTIF($E$3:$E37,"Backlog"),"")</f>
        <v/>
      </c>
    </row>
    <row r="38" spans="1:14" ht="19.5" customHeight="1">
      <c r="A38" s="68">
        <v>36</v>
      </c>
      <c r="B38" s="18"/>
      <c r="C38" s="19"/>
      <c r="D38" s="19"/>
      <c r="E38" s="19"/>
      <c r="F38" s="19"/>
      <c r="G38" s="19"/>
      <c r="H38" s="69" t="str">
        <f>IF(C38="XXL (&gt;160h)",168,IF(C38="XL (&gt;40h)",48,IF(C38="L (20-40h)",30,IF(C38="M (10-20h)",15,IF(C38="S (&lt;10h)",5,"")))))</f>
        <v/>
      </c>
      <c r="I38" s="18"/>
      <c r="J38" s="67" t="str">
        <f>IF($E38="Q12028",COUNTIF($E$3:$E38,"Q12028"),"")</f>
        <v/>
      </c>
      <c r="K38" s="67" t="str">
        <f>IF($E38="Q22028",COUNTIF($E$3:$E38,"Q22028"),"")</f>
        <v/>
      </c>
      <c r="L38" s="67" t="str">
        <f>IF($E38="Q32028",COUNTIF($E$3:$E38,"Q32028"),"")</f>
        <v/>
      </c>
      <c r="M38" s="67" t="str">
        <f>IF($E38="Q42028",COUNTIF($E$3:$E38,"Q42028"),"")</f>
        <v/>
      </c>
      <c r="N38" s="67" t="str">
        <f>IF($E38="Backlog",COUNTIF($E$3:$E38,"Backlog"),"")</f>
        <v/>
      </c>
    </row>
    <row r="39" spans="1:14" ht="19.5" customHeight="1">
      <c r="A39" s="65">
        <v>37</v>
      </c>
      <c r="B39" s="16"/>
      <c r="C39" s="17"/>
      <c r="D39" s="17"/>
      <c r="E39" s="17"/>
      <c r="F39" s="17"/>
      <c r="G39" s="17"/>
      <c r="H39" s="66" t="str">
        <f>IF(C39="XXL (&gt;160h)",168,IF(C39="XL (&gt;40h)",48,IF(C39="L (20-40h)",30,IF(C39="M (10-20h)",15,IF(C39="S (&lt;10h)",5,"")))))</f>
        <v/>
      </c>
      <c r="I39" s="16"/>
      <c r="J39" s="67" t="str">
        <f>IF($E39="Q12028",COUNTIF($E$3:$E39,"Q12028"),"")</f>
        <v/>
      </c>
      <c r="K39" s="67" t="str">
        <f>IF($E39="Q22028",COUNTIF($E$3:$E39,"Q22028"),"")</f>
        <v/>
      </c>
      <c r="L39" s="67" t="str">
        <f>IF($E39="Q32028",COUNTIF($E$3:$E39,"Q32028"),"")</f>
        <v/>
      </c>
      <c r="M39" s="67" t="str">
        <f>IF($E39="Q42028",COUNTIF($E$3:$E39,"Q42028"),"")</f>
        <v/>
      </c>
      <c r="N39" s="67" t="str">
        <f>IF($E39="Backlog",COUNTIF($E$3:$E39,"Backlog"),"")</f>
        <v/>
      </c>
    </row>
    <row r="40" spans="1:14" ht="19.5" customHeight="1">
      <c r="A40" s="68">
        <v>38</v>
      </c>
      <c r="B40" s="18"/>
      <c r="C40" s="19"/>
      <c r="D40" s="19"/>
      <c r="E40" s="19"/>
      <c r="F40" s="19"/>
      <c r="G40" s="19"/>
      <c r="H40" s="69" t="str">
        <f>IF(C40="XXL (&gt;160h)",168,IF(C40="XL (&gt;40h)",48,IF(C40="L (20-40h)",30,IF(C40="M (10-20h)",15,IF(C40="S (&lt;10h)",5,"")))))</f>
        <v/>
      </c>
      <c r="I40" s="18"/>
      <c r="J40" s="67" t="str">
        <f>IF($E40="Q12028",COUNTIF($E$3:$E40,"Q12028"),"")</f>
        <v/>
      </c>
      <c r="K40" s="67" t="str">
        <f>IF($E40="Q22028",COUNTIF($E$3:$E40,"Q22028"),"")</f>
        <v/>
      </c>
      <c r="L40" s="67" t="str">
        <f>IF($E40="Q32028",COUNTIF($E$3:$E40,"Q32028"),"")</f>
        <v/>
      </c>
      <c r="M40" s="67" t="str">
        <f>IF($E40="Q42028",COUNTIF($E$3:$E40,"Q42028"),"")</f>
        <v/>
      </c>
      <c r="N40" s="67" t="str">
        <f>IF($E40="Backlog",COUNTIF($E$3:$E40,"Backlog"),"")</f>
        <v/>
      </c>
    </row>
    <row r="41" spans="1:14" ht="19.5" customHeight="1">
      <c r="A41" s="65">
        <v>39</v>
      </c>
      <c r="B41" s="16"/>
      <c r="C41" s="17"/>
      <c r="D41" s="17"/>
      <c r="E41" s="17"/>
      <c r="F41" s="17"/>
      <c r="G41" s="17"/>
      <c r="H41" s="66" t="str">
        <f>IF(C41="XXL (&gt;160h)",168,IF(C41="XL (&gt;40h)",48,IF(C41="L (20-40h)",30,IF(C41="M (10-20h)",15,IF(C41="S (&lt;10h)",5,"")))))</f>
        <v/>
      </c>
      <c r="I41" s="16"/>
      <c r="J41" s="67" t="str">
        <f>IF($E41="Q12028",COUNTIF($E$3:$E41,"Q12028"),"")</f>
        <v/>
      </c>
      <c r="K41" s="67" t="str">
        <f>IF($E41="Q22028",COUNTIF($E$3:$E41,"Q22028"),"")</f>
        <v/>
      </c>
      <c r="L41" s="67" t="str">
        <f>IF($E41="Q32028",COUNTIF($E$3:$E41,"Q32028"),"")</f>
        <v/>
      </c>
      <c r="M41" s="67" t="str">
        <f>IF($E41="Q42028",COUNTIF($E$3:$E41,"Q42028"),"")</f>
        <v/>
      </c>
      <c r="N41" s="67" t="str">
        <f>IF($E41="Backlog",COUNTIF($E$3:$E41,"Backlog"),"")</f>
        <v/>
      </c>
    </row>
    <row r="42" spans="1:14" ht="19.5" customHeight="1">
      <c r="A42" s="68">
        <v>40</v>
      </c>
      <c r="B42" s="18"/>
      <c r="C42" s="19"/>
      <c r="D42" s="19"/>
      <c r="E42" s="19"/>
      <c r="F42" s="19"/>
      <c r="G42" s="19"/>
      <c r="H42" s="69" t="str">
        <f>IF(C42="XXL (&gt;160h)",168,IF(C42="XL (&gt;40h)",48,IF(C42="L (20-40h)",30,IF(C42="M (10-20h)",15,IF(C42="S (&lt;10h)",5,"")))))</f>
        <v/>
      </c>
      <c r="I42" s="18"/>
      <c r="J42" s="67" t="str">
        <f>IF($E42="Q12028",COUNTIF($E$3:$E42,"Q12028"),"")</f>
        <v/>
      </c>
      <c r="K42" s="67" t="str">
        <f>IF($E42="Q22028",COUNTIF($E$3:$E42,"Q22028"),"")</f>
        <v/>
      </c>
      <c r="L42" s="67" t="str">
        <f>IF($E42="Q32028",COUNTIF($E$3:$E42,"Q32028"),"")</f>
        <v/>
      </c>
      <c r="M42" s="67" t="str">
        <f>IF($E42="Q42028",COUNTIF($E$3:$E42,"Q42028"),"")</f>
        <v/>
      </c>
      <c r="N42" s="67" t="str">
        <f>IF($E42="Backlog",COUNTIF($E$3:$E42,"Backlog"),"")</f>
        <v/>
      </c>
    </row>
    <row r="43" spans="1:14" ht="19.5" customHeight="1">
      <c r="A43" s="65">
        <v>41</v>
      </c>
      <c r="B43" s="16"/>
      <c r="C43" s="17"/>
      <c r="D43" s="17"/>
      <c r="E43" s="17"/>
      <c r="F43" s="17"/>
      <c r="G43" s="17"/>
      <c r="H43" s="66" t="str">
        <f>IF(C43="XXL (&gt;160h)",168,IF(C43="XL (&gt;40h)",48,IF(C43="L (20-40h)",30,IF(C43="M (10-20h)",15,IF(C43="S (&lt;10h)",5,"")))))</f>
        <v/>
      </c>
      <c r="I43" s="16"/>
      <c r="J43" s="67" t="str">
        <f>IF($E43="Q12028",COUNTIF($E$3:$E43,"Q12028"),"")</f>
        <v/>
      </c>
      <c r="K43" s="67" t="str">
        <f>IF($E43="Q22028",COUNTIF($E$3:$E43,"Q22028"),"")</f>
        <v/>
      </c>
      <c r="L43" s="67" t="str">
        <f>IF($E43="Q32028",COUNTIF($E$3:$E43,"Q32028"),"")</f>
        <v/>
      </c>
      <c r="M43" s="67" t="str">
        <f>IF($E43="Q42028",COUNTIF($E$3:$E43,"Q42028"),"")</f>
        <v/>
      </c>
      <c r="N43" s="67" t="str">
        <f>IF($E43="Backlog",COUNTIF($E$3:$E43,"Backlog"),"")</f>
        <v/>
      </c>
    </row>
    <row r="44" spans="1:14" ht="19.5" customHeight="1">
      <c r="A44" s="68">
        <v>42</v>
      </c>
      <c r="B44" s="18"/>
      <c r="C44" s="19"/>
      <c r="D44" s="19"/>
      <c r="E44" s="19"/>
      <c r="F44" s="19"/>
      <c r="G44" s="19"/>
      <c r="H44" s="69" t="str">
        <f>IF(C44="XXL (&gt;160h)",168,IF(C44="XL (&gt;40h)",48,IF(C44="L (20-40h)",30,IF(C44="M (10-20h)",15,IF(C44="S (&lt;10h)",5,"")))))</f>
        <v/>
      </c>
      <c r="I44" s="18"/>
      <c r="J44" s="67" t="str">
        <f>IF($E44="Q12028",COUNTIF($E$3:$E44,"Q12028"),"")</f>
        <v/>
      </c>
      <c r="K44" s="67" t="str">
        <f>IF($E44="Q22028",COUNTIF($E$3:$E44,"Q22028"),"")</f>
        <v/>
      </c>
      <c r="L44" s="67" t="str">
        <f>IF($E44="Q32028",COUNTIF($E$3:$E44,"Q32028"),"")</f>
        <v/>
      </c>
      <c r="M44" s="67" t="str">
        <f>IF($E44="Q42028",COUNTIF($E$3:$E44,"Q42028"),"")</f>
        <v/>
      </c>
      <c r="N44" s="67" t="str">
        <f>IF($E44="Backlog",COUNTIF($E$3:$E44,"Backlog"),"")</f>
        <v/>
      </c>
    </row>
    <row r="45" spans="1:14" ht="19.5" customHeight="1">
      <c r="A45" s="65">
        <v>43</v>
      </c>
      <c r="B45" s="16"/>
      <c r="C45" s="17"/>
      <c r="D45" s="17"/>
      <c r="E45" s="17"/>
      <c r="F45" s="17"/>
      <c r="G45" s="17"/>
      <c r="H45" s="66" t="str">
        <f>IF(C45="XXL (&gt;160h)",168,IF(C45="XL (&gt;40h)",48,IF(C45="L (20-40h)",30,IF(C45="M (10-20h)",15,IF(C45="S (&lt;10h)",5,"")))))</f>
        <v/>
      </c>
      <c r="I45" s="16"/>
      <c r="J45" s="67" t="str">
        <f>IF($E45="Q12028",COUNTIF($E$3:$E45,"Q12028"),"")</f>
        <v/>
      </c>
      <c r="K45" s="67" t="str">
        <f>IF($E45="Q22028",COUNTIF($E$3:$E45,"Q22028"),"")</f>
        <v/>
      </c>
      <c r="L45" s="67" t="str">
        <f>IF($E45="Q32028",COUNTIF($E$3:$E45,"Q32028"),"")</f>
        <v/>
      </c>
      <c r="M45" s="67" t="str">
        <f>IF($E45="Q42028",COUNTIF($E$3:$E45,"Q42028"),"")</f>
        <v/>
      </c>
      <c r="N45" s="67" t="str">
        <f>IF($E45="Backlog",COUNTIF($E$3:$E45,"Backlog"),"")</f>
        <v/>
      </c>
    </row>
    <row r="46" spans="1:14" ht="19.5" customHeight="1">
      <c r="A46" s="68">
        <v>44</v>
      </c>
      <c r="B46" s="18"/>
      <c r="C46" s="19"/>
      <c r="D46" s="19"/>
      <c r="E46" s="19"/>
      <c r="F46" s="19"/>
      <c r="G46" s="19"/>
      <c r="H46" s="69" t="str">
        <f>IF(C46="XXL (&gt;160h)",168,IF(C46="XL (&gt;40h)",48,IF(C46="L (20-40h)",30,IF(C46="M (10-20h)",15,IF(C46="S (&lt;10h)",5,"")))))</f>
        <v/>
      </c>
      <c r="I46" s="18"/>
      <c r="J46" s="67" t="str">
        <f>IF($E46="Q12028",COUNTIF($E$3:$E46,"Q12028"),"")</f>
        <v/>
      </c>
      <c r="K46" s="67" t="str">
        <f>IF($E46="Q22028",COUNTIF($E$3:$E46,"Q22028"),"")</f>
        <v/>
      </c>
      <c r="L46" s="67" t="str">
        <f>IF($E46="Q32028",COUNTIF($E$3:$E46,"Q32028"),"")</f>
        <v/>
      </c>
      <c r="M46" s="67" t="str">
        <f>IF($E46="Q42028",COUNTIF($E$3:$E46,"Q42028"),"")</f>
        <v/>
      </c>
      <c r="N46" s="67" t="str">
        <f>IF($E46="Backlog",COUNTIF($E$3:$E46,"Backlog"),"")</f>
        <v/>
      </c>
    </row>
    <row r="47" spans="1:14" ht="19.5" customHeight="1">
      <c r="A47" s="65">
        <v>45</v>
      </c>
      <c r="B47" s="16"/>
      <c r="C47" s="17"/>
      <c r="D47" s="17"/>
      <c r="E47" s="17"/>
      <c r="F47" s="17"/>
      <c r="G47" s="17"/>
      <c r="H47" s="66" t="str">
        <f>IF(C47="XXL (&gt;160h)",168,IF(C47="XL (&gt;40h)",48,IF(C47="L (20-40h)",30,IF(C47="M (10-20h)",15,IF(C47="S (&lt;10h)",5,"")))))</f>
        <v/>
      </c>
      <c r="I47" s="16"/>
      <c r="J47" s="67" t="str">
        <f>IF($E47="Q12028",COUNTIF($E$3:$E47,"Q12028"),"")</f>
        <v/>
      </c>
      <c r="K47" s="67" t="str">
        <f>IF($E47="Q22028",COUNTIF($E$3:$E47,"Q22028"),"")</f>
        <v/>
      </c>
      <c r="L47" s="67" t="str">
        <f>IF($E47="Q32028",COUNTIF($E$3:$E47,"Q32028"),"")</f>
        <v/>
      </c>
      <c r="M47" s="67" t="str">
        <f>IF($E47="Q42028",COUNTIF($E$3:$E47,"Q42028"),"")</f>
        <v/>
      </c>
      <c r="N47" s="67" t="str">
        <f>IF($E47="Backlog",COUNTIF($E$3:$E47,"Backlog"),"")</f>
        <v/>
      </c>
    </row>
    <row r="48" spans="1:14" ht="19.5" customHeight="1">
      <c r="A48" s="68">
        <v>46</v>
      </c>
      <c r="B48" s="18"/>
      <c r="C48" s="19"/>
      <c r="D48" s="19"/>
      <c r="E48" s="19"/>
      <c r="F48" s="19"/>
      <c r="G48" s="19"/>
      <c r="H48" s="69" t="str">
        <f>IF(C48="XXL (&gt;160h)",168,IF(C48="XL (&gt;40h)",48,IF(C48="L (20-40h)",30,IF(C48="M (10-20h)",15,IF(C48="S (&lt;10h)",5,"")))))</f>
        <v/>
      </c>
      <c r="I48" s="18"/>
      <c r="J48" s="67" t="str">
        <f>IF($E48="Q12028",COUNTIF($E$3:$E48,"Q12028"),"")</f>
        <v/>
      </c>
      <c r="K48" s="67" t="str">
        <f>IF($E48="Q22028",COUNTIF($E$3:$E48,"Q22028"),"")</f>
        <v/>
      </c>
      <c r="L48" s="67" t="str">
        <f>IF($E48="Q32028",COUNTIF($E$3:$E48,"Q32028"),"")</f>
        <v/>
      </c>
      <c r="M48" s="67" t="str">
        <f>IF($E48="Q42028",COUNTIF($E$3:$E48,"Q42028"),"")</f>
        <v/>
      </c>
      <c r="N48" s="67" t="str">
        <f>IF($E48="Backlog",COUNTIF($E$3:$E48,"Backlog"),"")</f>
        <v/>
      </c>
    </row>
    <row r="49" spans="1:14" ht="19.5" customHeight="1">
      <c r="A49" s="65">
        <v>47</v>
      </c>
      <c r="B49" s="16"/>
      <c r="C49" s="17"/>
      <c r="D49" s="17"/>
      <c r="E49" s="17"/>
      <c r="F49" s="17"/>
      <c r="G49" s="17"/>
      <c r="H49" s="66" t="str">
        <f>IF(C49="XXL (&gt;160h)",168,IF(C49="XL (&gt;40h)",48,IF(C49="L (20-40h)",30,IF(C49="M (10-20h)",15,IF(C49="S (&lt;10h)",5,"")))))</f>
        <v/>
      </c>
      <c r="I49" s="16"/>
      <c r="J49" s="67" t="str">
        <f>IF($E49="Q12028",COUNTIF($E$3:$E49,"Q12028"),"")</f>
        <v/>
      </c>
      <c r="K49" s="67" t="str">
        <f>IF($E49="Q22028",COUNTIF($E$3:$E49,"Q22028"),"")</f>
        <v/>
      </c>
      <c r="L49" s="67" t="str">
        <f>IF($E49="Q32028",COUNTIF($E$3:$E49,"Q32028"),"")</f>
        <v/>
      </c>
      <c r="M49" s="67" t="str">
        <f>IF($E49="Q42028",COUNTIF($E$3:$E49,"Q42028"),"")</f>
        <v/>
      </c>
      <c r="N49" s="67" t="str">
        <f>IF($E49="Backlog",COUNTIF($E$3:$E49,"Backlog"),"")</f>
        <v/>
      </c>
    </row>
    <row r="50" spans="1:14" ht="19.5" customHeight="1">
      <c r="A50" s="68">
        <v>48</v>
      </c>
      <c r="B50" s="18"/>
      <c r="C50" s="19"/>
      <c r="D50" s="19"/>
      <c r="E50" s="19"/>
      <c r="F50" s="19"/>
      <c r="G50" s="19"/>
      <c r="H50" s="69" t="str">
        <f>IF(C50="XXL (&gt;160h)",168,IF(C50="XL (&gt;40h)",48,IF(C50="L (20-40h)",30,IF(C50="M (10-20h)",15,IF(C50="S (&lt;10h)",5,"")))))</f>
        <v/>
      </c>
      <c r="I50" s="18"/>
      <c r="J50" s="67" t="str">
        <f>IF($E50="Q12028",COUNTIF($E$3:$E50,"Q12028"),"")</f>
        <v/>
      </c>
      <c r="K50" s="67" t="str">
        <f>IF($E50="Q22028",COUNTIF($E$3:$E50,"Q22028"),"")</f>
        <v/>
      </c>
      <c r="L50" s="67" t="str">
        <f>IF($E50="Q32028",COUNTIF($E$3:$E50,"Q32028"),"")</f>
        <v/>
      </c>
      <c r="M50" s="67" t="str">
        <f>IF($E50="Q42028",COUNTIF($E$3:$E50,"Q42028"),"")</f>
        <v/>
      </c>
      <c r="N50" s="67" t="str">
        <f>IF($E50="Backlog",COUNTIF($E$3:$E50,"Backlog"),"")</f>
        <v/>
      </c>
    </row>
    <row r="51" spans="1:14" ht="19.5" customHeight="1">
      <c r="A51" s="65">
        <v>49</v>
      </c>
      <c r="B51" s="16"/>
      <c r="C51" s="17"/>
      <c r="D51" s="17"/>
      <c r="E51" s="17"/>
      <c r="F51" s="17"/>
      <c r="G51" s="17"/>
      <c r="H51" s="66" t="str">
        <f>IF(C51="XXL (&gt;160h)",168,IF(C51="XL (&gt;40h)",48,IF(C51="L (20-40h)",30,IF(C51="M (10-20h)",15,IF(C51="S (&lt;10h)",5,"")))))</f>
        <v/>
      </c>
      <c r="I51" s="16"/>
      <c r="J51" s="67" t="str">
        <f>IF($E51="Q12028",COUNTIF($E$3:$E51,"Q12028"),"")</f>
        <v/>
      </c>
      <c r="K51" s="67" t="str">
        <f>IF($E51="Q22028",COUNTIF($E$3:$E51,"Q22028"),"")</f>
        <v/>
      </c>
      <c r="L51" s="67" t="str">
        <f>IF($E51="Q32028",COUNTIF($E$3:$E51,"Q32028"),"")</f>
        <v/>
      </c>
      <c r="M51" s="67" t="str">
        <f>IF($E51="Q42028",COUNTIF($E$3:$E51,"Q42028"),"")</f>
        <v/>
      </c>
      <c r="N51" s="67" t="str">
        <f>IF($E51="Backlog",COUNTIF($E$3:$E51,"Backlog"),"")</f>
        <v/>
      </c>
    </row>
    <row r="52" spans="1:14" ht="19.5" customHeight="1">
      <c r="A52" s="68">
        <v>50</v>
      </c>
      <c r="B52" s="18"/>
      <c r="C52" s="19"/>
      <c r="D52" s="19"/>
      <c r="E52" s="19"/>
      <c r="F52" s="19"/>
      <c r="G52" s="19"/>
      <c r="H52" s="69" t="str">
        <f>IF(C52="XXL (&gt;160h)",168,IF(C52="XL (&gt;40h)",48,IF(C52="L (20-40h)",30,IF(C52="M (10-20h)",15,IF(C52="S (&lt;10h)",5,"")))))</f>
        <v/>
      </c>
      <c r="I52" s="18"/>
      <c r="J52" s="67" t="str">
        <f>IF($E52="Q12028",COUNTIF($E$3:$E52,"Q12028"),"")</f>
        <v/>
      </c>
      <c r="K52" s="67" t="str">
        <f>IF($E52="Q22028",COUNTIF($E$3:$E52,"Q22028"),"")</f>
        <v/>
      </c>
      <c r="L52" s="67" t="str">
        <f>IF($E52="Q32028",COUNTIF($E$3:$E52,"Q32028"),"")</f>
        <v/>
      </c>
      <c r="M52" s="67" t="str">
        <f>IF($E52="Q42028",COUNTIF($E$3:$E52,"Q42028"),"")</f>
        <v/>
      </c>
      <c r="N52" s="67" t="str">
        <f>IF($E52="Backlog",COUNTIF($E$3:$E52,"Backlog"),"")</f>
        <v/>
      </c>
    </row>
    <row r="53" spans="1:14" ht="19.5" customHeight="1">
      <c r="A53" s="65">
        <v>51</v>
      </c>
      <c r="B53" s="16"/>
      <c r="C53" s="17"/>
      <c r="D53" s="17"/>
      <c r="E53" s="17"/>
      <c r="F53" s="17"/>
      <c r="G53" s="17"/>
      <c r="H53" s="66" t="str">
        <f>IF(C53="XXL (&gt;160h)",168,IF(C53="XL (&gt;40h)",48,IF(C53="L (20-40h)",30,IF(C53="M (10-20h)",15,IF(C53="S (&lt;10h)",5,"")))))</f>
        <v/>
      </c>
      <c r="I53" s="16"/>
      <c r="J53" s="67" t="str">
        <f>IF($E53="Q12028",COUNTIF($E$3:$E53,"Q12028"),"")</f>
        <v/>
      </c>
      <c r="K53" s="67" t="str">
        <f>IF($E53="Q22028",COUNTIF($E$3:$E53,"Q22028"),"")</f>
        <v/>
      </c>
      <c r="L53" s="67" t="str">
        <f>IF($E53="Q32028",COUNTIF($E$3:$E53,"Q32028"),"")</f>
        <v/>
      </c>
      <c r="M53" s="67" t="str">
        <f>IF($E53="Q42028",COUNTIF($E$3:$E53,"Q42028"),"")</f>
        <v/>
      </c>
      <c r="N53" s="67" t="str">
        <f>IF($E53="Backlog",COUNTIF($E$3:$E53,"Backlog"),"")</f>
        <v/>
      </c>
    </row>
    <row r="54" spans="1:14" ht="19.5" customHeight="1">
      <c r="A54" s="68">
        <v>52</v>
      </c>
      <c r="B54" s="18"/>
      <c r="C54" s="19"/>
      <c r="D54" s="19"/>
      <c r="E54" s="19"/>
      <c r="F54" s="19"/>
      <c r="G54" s="19"/>
      <c r="H54" s="69" t="str">
        <f>IF(C54="XXL (&gt;160h)",168,IF(C54="XL (&gt;40h)",48,IF(C54="L (20-40h)",30,IF(C54="M (10-20h)",15,IF(C54="S (&lt;10h)",5,"")))))</f>
        <v/>
      </c>
      <c r="I54" s="18"/>
      <c r="J54" s="67" t="str">
        <f>IF($E54="Q12028",COUNTIF($E$3:$E54,"Q12028"),"")</f>
        <v/>
      </c>
      <c r="K54" s="67" t="str">
        <f>IF($E54="Q22028",COUNTIF($E$3:$E54,"Q22028"),"")</f>
        <v/>
      </c>
      <c r="L54" s="67" t="str">
        <f>IF($E54="Q32028",COUNTIF($E$3:$E54,"Q32028"),"")</f>
        <v/>
      </c>
      <c r="M54" s="67" t="str">
        <f>IF($E54="Q42028",COUNTIF($E$3:$E54,"Q42028"),"")</f>
        <v/>
      </c>
      <c r="N54" s="67" t="str">
        <f>IF($E54="Backlog",COUNTIF($E$3:$E54,"Backlog"),"")</f>
        <v/>
      </c>
    </row>
    <row r="55" spans="1:14" ht="19.5" customHeight="1">
      <c r="A55" s="65">
        <v>53</v>
      </c>
      <c r="B55" s="16"/>
      <c r="C55" s="17"/>
      <c r="D55" s="17"/>
      <c r="E55" s="17"/>
      <c r="F55" s="17"/>
      <c r="G55" s="17"/>
      <c r="H55" s="66" t="str">
        <f>IF(C55="XXL (&gt;160h)",168,IF(C55="XL (&gt;40h)",48,IF(C55="L (20-40h)",30,IF(C55="M (10-20h)",15,IF(C55="S (&lt;10h)",5,"")))))</f>
        <v/>
      </c>
      <c r="I55" s="16"/>
      <c r="J55" s="67" t="str">
        <f>IF($E55="Q12028",COUNTIF($E$3:$E55,"Q12028"),"")</f>
        <v/>
      </c>
      <c r="K55" s="67" t="str">
        <f>IF($E55="Q22028",COUNTIF($E$3:$E55,"Q22028"),"")</f>
        <v/>
      </c>
      <c r="L55" s="67" t="str">
        <f>IF($E55="Q32028",COUNTIF($E$3:$E55,"Q32028"),"")</f>
        <v/>
      </c>
      <c r="M55" s="67" t="str">
        <f>IF($E55="Q42028",COUNTIF($E$3:$E55,"Q42028"),"")</f>
        <v/>
      </c>
      <c r="N55" s="67" t="str">
        <f>IF($E55="Backlog",COUNTIF($E$3:$E55,"Backlog"),"")</f>
        <v/>
      </c>
    </row>
    <row r="56" spans="1:14" ht="19.5" customHeight="1">
      <c r="A56" s="68">
        <v>54</v>
      </c>
      <c r="B56" s="18"/>
      <c r="C56" s="19"/>
      <c r="D56" s="19"/>
      <c r="E56" s="19"/>
      <c r="F56" s="19"/>
      <c r="G56" s="19"/>
      <c r="H56" s="69" t="str">
        <f>IF(C56="XXL (&gt;160h)",168,IF(C56="XL (&gt;40h)",48,IF(C56="L (20-40h)",30,IF(C56="M (10-20h)",15,IF(C56="S (&lt;10h)",5,"")))))</f>
        <v/>
      </c>
      <c r="I56" s="18"/>
      <c r="J56" s="67" t="str">
        <f>IF($E56="Q12028",COUNTIF($E$3:$E56,"Q12028"),"")</f>
        <v/>
      </c>
      <c r="K56" s="67" t="str">
        <f>IF($E56="Q22028",COUNTIF($E$3:$E56,"Q22028"),"")</f>
        <v/>
      </c>
      <c r="L56" s="67" t="str">
        <f>IF($E56="Q32028",COUNTIF($E$3:$E56,"Q32028"),"")</f>
        <v/>
      </c>
      <c r="M56" s="67" t="str">
        <f>IF($E56="Q42028",COUNTIF($E$3:$E56,"Q42028"),"")</f>
        <v/>
      </c>
      <c r="N56" s="67" t="str">
        <f>IF($E56="Backlog",COUNTIF($E$3:$E56,"Backlog"),"")</f>
        <v/>
      </c>
    </row>
    <row r="57" spans="1:14" ht="19.5" customHeight="1">
      <c r="A57" s="65">
        <v>55</v>
      </c>
      <c r="B57" s="16"/>
      <c r="C57" s="17"/>
      <c r="D57" s="17"/>
      <c r="E57" s="17"/>
      <c r="F57" s="17"/>
      <c r="G57" s="17"/>
      <c r="H57" s="66" t="str">
        <f>IF(C57="XXL (&gt;160h)",168,IF(C57="XL (&gt;40h)",48,IF(C57="L (20-40h)",30,IF(C57="M (10-20h)",15,IF(C57="S (&lt;10h)",5,"")))))</f>
        <v/>
      </c>
      <c r="I57" s="16"/>
      <c r="J57" s="67" t="str">
        <f>IF($E57="Q12028",COUNTIF($E$3:$E57,"Q12028"),"")</f>
        <v/>
      </c>
      <c r="K57" s="67" t="str">
        <f>IF($E57="Q22028",COUNTIF($E$3:$E57,"Q22028"),"")</f>
        <v/>
      </c>
      <c r="L57" s="67" t="str">
        <f>IF($E57="Q32028",COUNTIF($E$3:$E57,"Q32028"),"")</f>
        <v/>
      </c>
      <c r="M57" s="67" t="str">
        <f>IF($E57="Q42028",COUNTIF($E$3:$E57,"Q42028"),"")</f>
        <v/>
      </c>
      <c r="N57" s="67" t="str">
        <f>IF($E57="Backlog",COUNTIF($E$3:$E57,"Backlog"),"")</f>
        <v/>
      </c>
    </row>
    <row r="58" spans="1:14" ht="19.5" customHeight="1">
      <c r="A58" s="68">
        <v>56</v>
      </c>
      <c r="B58" s="18"/>
      <c r="C58" s="19"/>
      <c r="D58" s="19"/>
      <c r="E58" s="19"/>
      <c r="F58" s="19"/>
      <c r="G58" s="19"/>
      <c r="H58" s="69" t="str">
        <f>IF(C58="XXL (&gt;160h)",168,IF(C58="XL (&gt;40h)",48,IF(C58="L (20-40h)",30,IF(C58="M (10-20h)",15,IF(C58="S (&lt;10h)",5,"")))))</f>
        <v/>
      </c>
      <c r="I58" s="18"/>
      <c r="J58" s="67" t="str">
        <f>IF($E58="Q12028",COUNTIF($E$3:$E58,"Q12028"),"")</f>
        <v/>
      </c>
      <c r="K58" s="67" t="str">
        <f>IF($E58="Q22028",COUNTIF($E$3:$E58,"Q22028"),"")</f>
        <v/>
      </c>
      <c r="L58" s="67" t="str">
        <f>IF($E58="Q32028",COUNTIF($E$3:$E58,"Q32028"),"")</f>
        <v/>
      </c>
      <c r="M58" s="67" t="str">
        <f>IF($E58="Q42028",COUNTIF($E$3:$E58,"Q42028"),"")</f>
        <v/>
      </c>
      <c r="N58" s="67" t="str">
        <f>IF($E58="Backlog",COUNTIF($E$3:$E58,"Backlog"),"")</f>
        <v/>
      </c>
    </row>
    <row r="59" spans="1:14" ht="19.5" customHeight="1">
      <c r="A59" s="65">
        <v>57</v>
      </c>
      <c r="B59" s="16"/>
      <c r="C59" s="17"/>
      <c r="D59" s="17"/>
      <c r="E59" s="17"/>
      <c r="F59" s="17"/>
      <c r="G59" s="17"/>
      <c r="H59" s="66" t="str">
        <f>IF(C59="XXL (&gt;160h)",168,IF(C59="XL (&gt;40h)",48,IF(C59="L (20-40h)",30,IF(C59="M (10-20h)",15,IF(C59="S (&lt;10h)",5,"")))))</f>
        <v/>
      </c>
      <c r="I59" s="16"/>
      <c r="J59" s="67" t="str">
        <f>IF($E59="Q12028",COUNTIF($E$3:$E59,"Q12028"),"")</f>
        <v/>
      </c>
      <c r="K59" s="67" t="str">
        <f>IF($E59="Q22028",COUNTIF($E$3:$E59,"Q22028"),"")</f>
        <v/>
      </c>
      <c r="L59" s="67" t="str">
        <f>IF($E59="Q32028",COUNTIF($E$3:$E59,"Q32028"),"")</f>
        <v/>
      </c>
      <c r="M59" s="67" t="str">
        <f>IF($E59="Q42028",COUNTIF($E$3:$E59,"Q42028"),"")</f>
        <v/>
      </c>
      <c r="N59" s="67" t="str">
        <f>IF($E59="Backlog",COUNTIF($E$3:$E59,"Backlog"),"")</f>
        <v/>
      </c>
    </row>
    <row r="60" spans="1:14" ht="19.5" customHeight="1">
      <c r="A60" s="68">
        <v>58</v>
      </c>
      <c r="B60" s="18"/>
      <c r="C60" s="19"/>
      <c r="D60" s="19"/>
      <c r="E60" s="19"/>
      <c r="F60" s="19"/>
      <c r="G60" s="19"/>
      <c r="H60" s="69" t="str">
        <f>IF(C60="XXL (&gt;160h)",168,IF(C60="XL (&gt;40h)",48,IF(C60="L (20-40h)",30,IF(C60="M (10-20h)",15,IF(C60="S (&lt;10h)",5,"")))))</f>
        <v/>
      </c>
      <c r="I60" s="18"/>
      <c r="J60" s="67" t="str">
        <f>IF($E60="Q12028",COUNTIF($E$3:$E60,"Q12028"),"")</f>
        <v/>
      </c>
      <c r="K60" s="67" t="str">
        <f>IF($E60="Q22028",COUNTIF($E$3:$E60,"Q22028"),"")</f>
        <v/>
      </c>
      <c r="L60" s="67" t="str">
        <f>IF($E60="Q32028",COUNTIF($E$3:$E60,"Q32028"),"")</f>
        <v/>
      </c>
      <c r="M60" s="67" t="str">
        <f>IF($E60="Q42028",COUNTIF($E$3:$E60,"Q42028"),"")</f>
        <v/>
      </c>
      <c r="N60" s="67" t="str">
        <f>IF($E60="Backlog",COUNTIF($E$3:$E60,"Backlog"),"")</f>
        <v/>
      </c>
    </row>
    <row r="61" spans="1:14" ht="19.5" customHeight="1">
      <c r="A61" s="65">
        <v>59</v>
      </c>
      <c r="B61" s="16"/>
      <c r="C61" s="17"/>
      <c r="D61" s="17"/>
      <c r="E61" s="17"/>
      <c r="F61" s="17"/>
      <c r="G61" s="17"/>
      <c r="H61" s="66" t="str">
        <f>IF(C61="XXL (&gt;160h)",168,IF(C61="XL (&gt;40h)",48,IF(C61="L (20-40h)",30,IF(C61="M (10-20h)",15,IF(C61="S (&lt;10h)",5,"")))))</f>
        <v/>
      </c>
      <c r="I61" s="16"/>
      <c r="J61" s="67" t="str">
        <f>IF($E61="Q12028",COUNTIF($E$3:$E61,"Q12028"),"")</f>
        <v/>
      </c>
      <c r="K61" s="67" t="str">
        <f>IF($E61="Q22028",COUNTIF($E$3:$E61,"Q22028"),"")</f>
        <v/>
      </c>
      <c r="L61" s="67" t="str">
        <f>IF($E61="Q32028",COUNTIF($E$3:$E61,"Q32028"),"")</f>
        <v/>
      </c>
      <c r="M61" s="67" t="str">
        <f>IF($E61="Q42028",COUNTIF($E$3:$E61,"Q42028"),"")</f>
        <v/>
      </c>
      <c r="N61" s="67" t="str">
        <f>IF($E61="Backlog",COUNTIF($E$3:$E61,"Backlog"),"")</f>
        <v/>
      </c>
    </row>
    <row r="62" spans="1:14" ht="19.5" customHeight="1">
      <c r="A62" s="68">
        <v>60</v>
      </c>
      <c r="B62" s="18"/>
      <c r="C62" s="19"/>
      <c r="D62" s="19"/>
      <c r="E62" s="19"/>
      <c r="F62" s="19"/>
      <c r="G62" s="19"/>
      <c r="H62" s="69" t="str">
        <f>IF(C62="XXL (&gt;160h)",168,IF(C62="XL (&gt;40h)",48,IF(C62="L (20-40h)",30,IF(C62="M (10-20h)",15,IF(C62="S (&lt;10h)",5,"")))))</f>
        <v/>
      </c>
      <c r="I62" s="18"/>
      <c r="J62" s="67" t="str">
        <f>IF($E62="Q12028",COUNTIF($E$3:$E62,"Q12028"),"")</f>
        <v/>
      </c>
      <c r="K62" s="67" t="str">
        <f>IF($E62="Q22028",COUNTIF($E$3:$E62,"Q22028"),"")</f>
        <v/>
      </c>
      <c r="L62" s="67" t="str">
        <f>IF($E62="Q32028",COUNTIF($E$3:$E62,"Q32028"),"")</f>
        <v/>
      </c>
      <c r="M62" s="67" t="str">
        <f>IF($E62="Q42028",COUNTIF($E$3:$E62,"Q42028"),"")</f>
        <v/>
      </c>
      <c r="N62" s="67" t="str">
        <f>IF($E62="Backlog",COUNTIF($E$3:$E62,"Backlog"),"")</f>
        <v/>
      </c>
    </row>
    <row r="63" spans="1:14" ht="19.5" customHeight="1">
      <c r="A63" s="65">
        <v>61</v>
      </c>
      <c r="B63" s="16"/>
      <c r="C63" s="17"/>
      <c r="D63" s="17"/>
      <c r="E63" s="17"/>
      <c r="F63" s="17"/>
      <c r="G63" s="17"/>
      <c r="H63" s="66" t="str">
        <f>IF(C63="XXL (&gt;160h)",168,IF(C63="XL (&gt;40h)",48,IF(C63="L (20-40h)",30,IF(C63="M (10-20h)",15,IF(C63="S (&lt;10h)",5,"")))))</f>
        <v/>
      </c>
      <c r="I63" s="16"/>
      <c r="J63" s="67" t="str">
        <f>IF($E63="Q12028",COUNTIF($E$3:$E63,"Q12028"),"")</f>
        <v/>
      </c>
      <c r="K63" s="67" t="str">
        <f>IF($E63="Q22028",COUNTIF($E$3:$E63,"Q22028"),"")</f>
        <v/>
      </c>
      <c r="L63" s="67" t="str">
        <f>IF($E63="Q32028",COUNTIF($E$3:$E63,"Q32028"),"")</f>
        <v/>
      </c>
      <c r="M63" s="67" t="str">
        <f>IF($E63="Q42028",COUNTIF($E$3:$E63,"Q42028"),"")</f>
        <v/>
      </c>
      <c r="N63" s="67" t="str">
        <f>IF($E63="Backlog",COUNTIF($E$3:$E63,"Backlog"),"")</f>
        <v/>
      </c>
    </row>
    <row r="64" spans="1:14" ht="19.5" customHeight="1">
      <c r="A64" s="68">
        <v>62</v>
      </c>
      <c r="B64" s="18"/>
      <c r="C64" s="19"/>
      <c r="D64" s="19"/>
      <c r="E64" s="19"/>
      <c r="F64" s="19"/>
      <c r="G64" s="19"/>
      <c r="H64" s="69" t="str">
        <f>IF(C64="XXL (&gt;160h)",168,IF(C64="XL (&gt;40h)",48,IF(C64="L (20-40h)",30,IF(C64="M (10-20h)",15,IF(C64="S (&lt;10h)",5,"")))))</f>
        <v/>
      </c>
      <c r="I64" s="18"/>
      <c r="J64" s="67" t="str">
        <f>IF($E64="Q12028",COUNTIF($E$3:$E64,"Q12028"),"")</f>
        <v/>
      </c>
      <c r="K64" s="67" t="str">
        <f>IF($E64="Q22028",COUNTIF($E$3:$E64,"Q22028"),"")</f>
        <v/>
      </c>
      <c r="L64" s="67" t="str">
        <f>IF($E64="Q32028",COUNTIF($E$3:$E64,"Q32028"),"")</f>
        <v/>
      </c>
      <c r="M64" s="67" t="str">
        <f>IF($E64="Q42028",COUNTIF($E$3:$E64,"Q42028"),"")</f>
        <v/>
      </c>
      <c r="N64" s="67" t="str">
        <f>IF($E64="Backlog",COUNTIF($E$3:$E64,"Backlog"),"")</f>
        <v/>
      </c>
    </row>
    <row r="65" spans="1:14" ht="19.5" customHeight="1">
      <c r="A65" s="65">
        <v>63</v>
      </c>
      <c r="B65" s="16"/>
      <c r="C65" s="17"/>
      <c r="D65" s="17"/>
      <c r="E65" s="17"/>
      <c r="F65" s="17"/>
      <c r="G65" s="17"/>
      <c r="H65" s="66" t="str">
        <f>IF(C65="XXL (&gt;160h)",168,IF(C65="XL (&gt;40h)",48,IF(C65="L (20-40h)",30,IF(C65="M (10-20h)",15,IF(C65="S (&lt;10h)",5,"")))))</f>
        <v/>
      </c>
      <c r="I65" s="16"/>
      <c r="J65" s="67" t="str">
        <f>IF($E65="Q12028",COUNTIF($E$3:$E65,"Q12028"),"")</f>
        <v/>
      </c>
      <c r="K65" s="67" t="str">
        <f>IF($E65="Q22028",COUNTIF($E$3:$E65,"Q22028"),"")</f>
        <v/>
      </c>
      <c r="L65" s="67" t="str">
        <f>IF($E65="Q32028",COUNTIF($E$3:$E65,"Q32028"),"")</f>
        <v/>
      </c>
      <c r="M65" s="67" t="str">
        <f>IF($E65="Q42028",COUNTIF($E$3:$E65,"Q42028"),"")</f>
        <v/>
      </c>
      <c r="N65" s="67" t="str">
        <f>IF($E65="Backlog",COUNTIF($E$3:$E65,"Backlog"),"")</f>
        <v/>
      </c>
    </row>
    <row r="66" spans="1:14" ht="19.5" customHeight="1">
      <c r="A66" s="68">
        <v>64</v>
      </c>
      <c r="B66" s="18"/>
      <c r="C66" s="19"/>
      <c r="D66" s="19"/>
      <c r="E66" s="19"/>
      <c r="F66" s="19"/>
      <c r="G66" s="19"/>
      <c r="H66" s="69" t="str">
        <f>IF(C66="XXL (&gt;160h)",168,IF(C66="XL (&gt;40h)",48,IF(C66="L (20-40h)",30,IF(C66="M (10-20h)",15,IF(C66="S (&lt;10h)",5,"")))))</f>
        <v/>
      </c>
      <c r="I66" s="18"/>
      <c r="J66" s="67" t="str">
        <f>IF($E66="Q12028",COUNTIF($E$3:$E66,"Q12028"),"")</f>
        <v/>
      </c>
      <c r="K66" s="67" t="str">
        <f>IF($E66="Q22028",COUNTIF($E$3:$E66,"Q22028"),"")</f>
        <v/>
      </c>
      <c r="L66" s="67" t="str">
        <f>IF($E66="Q32028",COUNTIF($E$3:$E66,"Q32028"),"")</f>
        <v/>
      </c>
      <c r="M66" s="67" t="str">
        <f>IF($E66="Q42028",COUNTIF($E$3:$E66,"Q42028"),"")</f>
        <v/>
      </c>
      <c r="N66" s="67" t="str">
        <f>IF($E66="Backlog",COUNTIF($E$3:$E66,"Backlog"),"")</f>
        <v/>
      </c>
    </row>
    <row r="67" spans="1:14" ht="19.5" customHeight="1">
      <c r="A67" s="65">
        <v>65</v>
      </c>
      <c r="B67" s="16"/>
      <c r="C67" s="17"/>
      <c r="D67" s="17"/>
      <c r="E67" s="17"/>
      <c r="F67" s="17"/>
      <c r="G67" s="17"/>
      <c r="H67" s="66" t="str">
        <f>IF(C67="XXL (&gt;160h)",168,IF(C67="XL (&gt;40h)",48,IF(C67="L (20-40h)",30,IF(C67="M (10-20h)",15,IF(C67="S (&lt;10h)",5,"")))))</f>
        <v/>
      </c>
      <c r="I67" s="16"/>
      <c r="J67" s="67" t="str">
        <f>IF($E67="Q12028",COUNTIF($E$3:$E67,"Q12028"),"")</f>
        <v/>
      </c>
      <c r="K67" s="67" t="str">
        <f>IF($E67="Q22028",COUNTIF($E$3:$E67,"Q22028"),"")</f>
        <v/>
      </c>
      <c r="L67" s="67" t="str">
        <f>IF($E67="Q32028",COUNTIF($E$3:$E67,"Q32028"),"")</f>
        <v/>
      </c>
      <c r="M67" s="67" t="str">
        <f>IF($E67="Q42028",COUNTIF($E$3:$E67,"Q42028"),"")</f>
        <v/>
      </c>
      <c r="N67" s="67" t="str">
        <f>IF($E67="Backlog",COUNTIF($E$3:$E67,"Backlog"),"")</f>
        <v/>
      </c>
    </row>
    <row r="68" spans="1:14" ht="19.5" customHeight="1">
      <c r="A68" s="68">
        <v>66</v>
      </c>
      <c r="B68" s="18"/>
      <c r="C68" s="19"/>
      <c r="D68" s="19"/>
      <c r="E68" s="19"/>
      <c r="F68" s="19"/>
      <c r="G68" s="19"/>
      <c r="H68" s="69" t="str">
        <f>IF(C68="XXL (&gt;160h)",168,IF(C68="XL (&gt;40h)",48,IF(C68="L (20-40h)",30,IF(C68="M (10-20h)",15,IF(C68="S (&lt;10h)",5,"")))))</f>
        <v/>
      </c>
      <c r="I68" s="18"/>
      <c r="J68" s="67" t="str">
        <f>IF($E68="Q12028",COUNTIF($E$3:$E68,"Q12028"),"")</f>
        <v/>
      </c>
      <c r="K68" s="67" t="str">
        <f>IF($E68="Q22028",COUNTIF($E$3:$E68,"Q22028"),"")</f>
        <v/>
      </c>
      <c r="L68" s="67" t="str">
        <f>IF($E68="Q32028",COUNTIF($E$3:$E68,"Q32028"),"")</f>
        <v/>
      </c>
      <c r="M68" s="67" t="str">
        <f>IF($E68="Q42028",COUNTIF($E$3:$E68,"Q42028"),"")</f>
        <v/>
      </c>
      <c r="N68" s="67" t="str">
        <f>IF($E68="Backlog",COUNTIF($E$3:$E68,"Backlog"),"")</f>
        <v/>
      </c>
    </row>
    <row r="69" spans="1:14" ht="19.5" customHeight="1">
      <c r="A69" s="65">
        <v>67</v>
      </c>
      <c r="B69" s="16"/>
      <c r="C69" s="17"/>
      <c r="D69" s="17"/>
      <c r="E69" s="17"/>
      <c r="F69" s="17"/>
      <c r="G69" s="17"/>
      <c r="H69" s="66" t="str">
        <f>IF(C69="XXL (&gt;160h)",168,IF(C69="XL (&gt;40h)",48,IF(C69="L (20-40h)",30,IF(C69="M (10-20h)",15,IF(C69="S (&lt;10h)",5,"")))))</f>
        <v/>
      </c>
      <c r="I69" s="16"/>
      <c r="J69" s="67" t="str">
        <f>IF($E69="Q12028",COUNTIF($E$3:$E69,"Q12028"),"")</f>
        <v/>
      </c>
      <c r="K69" s="67" t="str">
        <f>IF($E69="Q22028",COUNTIF($E$3:$E69,"Q22028"),"")</f>
        <v/>
      </c>
      <c r="L69" s="67" t="str">
        <f>IF($E69="Q32028",COUNTIF($E$3:$E69,"Q32028"),"")</f>
        <v/>
      </c>
      <c r="M69" s="67" t="str">
        <f>IF($E69="Q42028",COUNTIF($E$3:$E69,"Q42028"),"")</f>
        <v/>
      </c>
      <c r="N69" s="67" t="str">
        <f>IF($E69="Backlog",COUNTIF($E$3:$E69,"Backlog"),"")</f>
        <v/>
      </c>
    </row>
    <row r="70" spans="1:14" ht="19.5" customHeight="1">
      <c r="A70" s="68">
        <v>68</v>
      </c>
      <c r="B70" s="18"/>
      <c r="C70" s="19"/>
      <c r="D70" s="19"/>
      <c r="E70" s="19"/>
      <c r="F70" s="19"/>
      <c r="G70" s="19"/>
      <c r="H70" s="69" t="str">
        <f>IF(C70="XXL (&gt;160h)",168,IF(C70="XL (&gt;40h)",48,IF(C70="L (20-40h)",30,IF(C70="M (10-20h)",15,IF(C70="S (&lt;10h)",5,"")))))</f>
        <v/>
      </c>
      <c r="I70" s="18"/>
      <c r="J70" s="67" t="str">
        <f>IF($E70="Q12028",COUNTIF($E$3:$E70,"Q12028"),"")</f>
        <v/>
      </c>
      <c r="K70" s="67" t="str">
        <f>IF($E70="Q22028",COUNTIF($E$3:$E70,"Q22028"),"")</f>
        <v/>
      </c>
      <c r="L70" s="67" t="str">
        <f>IF($E70="Q32028",COUNTIF($E$3:$E70,"Q32028"),"")</f>
        <v/>
      </c>
      <c r="M70" s="67" t="str">
        <f>IF($E70="Q42028",COUNTIF($E$3:$E70,"Q42028"),"")</f>
        <v/>
      </c>
      <c r="N70" s="67" t="str">
        <f>IF($E70="Backlog",COUNTIF($E$3:$E70,"Backlog"),"")</f>
        <v/>
      </c>
    </row>
    <row r="71" spans="1:14" ht="19.5" customHeight="1">
      <c r="A71" s="65">
        <v>69</v>
      </c>
      <c r="B71" s="16"/>
      <c r="C71" s="17"/>
      <c r="D71" s="17"/>
      <c r="E71" s="17"/>
      <c r="F71" s="17"/>
      <c r="G71" s="17"/>
      <c r="H71" s="66" t="str">
        <f>IF(C71="XXL (&gt;160h)",168,IF(C71="XL (&gt;40h)",48,IF(C71="L (20-40h)",30,IF(C71="M (10-20h)",15,IF(C71="S (&lt;10h)",5,"")))))</f>
        <v/>
      </c>
      <c r="I71" s="16"/>
      <c r="J71" s="67" t="str">
        <f>IF($E71="Q12028",COUNTIF($E$3:$E71,"Q12028"),"")</f>
        <v/>
      </c>
      <c r="K71" s="67" t="str">
        <f>IF($E71="Q22028",COUNTIF($E$3:$E71,"Q22028"),"")</f>
        <v/>
      </c>
      <c r="L71" s="67" t="str">
        <f>IF($E71="Q32028",COUNTIF($E$3:$E71,"Q32028"),"")</f>
        <v/>
      </c>
      <c r="M71" s="67" t="str">
        <f>IF($E71="Q42028",COUNTIF($E$3:$E71,"Q42028"),"")</f>
        <v/>
      </c>
      <c r="N71" s="67" t="str">
        <f>IF($E71="Backlog",COUNTIF($E$3:$E71,"Backlog"),"")</f>
        <v/>
      </c>
    </row>
    <row r="72" spans="1:14" ht="19.5" customHeight="1">
      <c r="A72" s="68">
        <v>70</v>
      </c>
      <c r="B72" s="18"/>
      <c r="C72" s="19"/>
      <c r="D72" s="19"/>
      <c r="E72" s="19"/>
      <c r="F72" s="19"/>
      <c r="G72" s="19"/>
      <c r="H72" s="69" t="str">
        <f>IF(C72="XXL (&gt;160h)",168,IF(C72="XL (&gt;40h)",48,IF(C72="L (20-40h)",30,IF(C72="M (10-20h)",15,IF(C72="S (&lt;10h)",5,"")))))</f>
        <v/>
      </c>
      <c r="I72" s="18"/>
      <c r="J72" s="67" t="str">
        <f>IF($E72="Q12028",COUNTIF($E$3:$E72,"Q12028"),"")</f>
        <v/>
      </c>
      <c r="K72" s="67" t="str">
        <f>IF($E72="Q22028",COUNTIF($E$3:$E72,"Q22028"),"")</f>
        <v/>
      </c>
      <c r="L72" s="67" t="str">
        <f>IF($E72="Q32028",COUNTIF($E$3:$E72,"Q32028"),"")</f>
        <v/>
      </c>
      <c r="M72" s="67" t="str">
        <f>IF($E72="Q42028",COUNTIF($E$3:$E72,"Q42028"),"")</f>
        <v/>
      </c>
      <c r="N72" s="67" t="str">
        <f>IF($E72="Backlog",COUNTIF($E$3:$E72,"Backlog"),"")</f>
        <v/>
      </c>
    </row>
    <row r="73" spans="1:14" ht="19.5" customHeight="1">
      <c r="A73" s="65">
        <v>71</v>
      </c>
      <c r="B73" s="16"/>
      <c r="C73" s="17"/>
      <c r="D73" s="17"/>
      <c r="E73" s="17"/>
      <c r="F73" s="17"/>
      <c r="G73" s="17"/>
      <c r="H73" s="66" t="str">
        <f>IF(C73="XXL (&gt;160h)",168,IF(C73="XL (&gt;40h)",48,IF(C73="L (20-40h)",30,IF(C73="M (10-20h)",15,IF(C73="S (&lt;10h)",5,"")))))</f>
        <v/>
      </c>
      <c r="I73" s="16"/>
      <c r="J73" s="67" t="str">
        <f>IF($E73="Q12028",COUNTIF($E$3:$E73,"Q12028"),"")</f>
        <v/>
      </c>
      <c r="K73" s="67" t="str">
        <f>IF($E73="Q22028",COUNTIF($E$3:$E73,"Q22028"),"")</f>
        <v/>
      </c>
      <c r="L73" s="67" t="str">
        <f>IF($E73="Q32028",COUNTIF($E$3:$E73,"Q32028"),"")</f>
        <v/>
      </c>
      <c r="M73" s="67" t="str">
        <f>IF($E73="Q42028",COUNTIF($E$3:$E73,"Q42028"),"")</f>
        <v/>
      </c>
      <c r="N73" s="67" t="str">
        <f>IF($E73="Backlog",COUNTIF($E$3:$E73,"Backlog"),"")</f>
        <v/>
      </c>
    </row>
    <row r="74" spans="1:14" ht="19.5" customHeight="1">
      <c r="A74" s="68">
        <v>72</v>
      </c>
      <c r="B74" s="18"/>
      <c r="C74" s="19"/>
      <c r="D74" s="19"/>
      <c r="E74" s="19"/>
      <c r="F74" s="19"/>
      <c r="G74" s="19"/>
      <c r="H74" s="69" t="str">
        <f>IF(C74="XXL (&gt;160h)",168,IF(C74="XL (&gt;40h)",48,IF(C74="L (20-40h)",30,IF(C74="M (10-20h)",15,IF(C74="S (&lt;10h)",5,"")))))</f>
        <v/>
      </c>
      <c r="I74" s="18"/>
      <c r="J74" s="67" t="str">
        <f>IF($E74="Q12028",COUNTIF($E$3:$E74,"Q12028"),"")</f>
        <v/>
      </c>
      <c r="K74" s="67" t="str">
        <f>IF($E74="Q22028",COUNTIF($E$3:$E74,"Q22028"),"")</f>
        <v/>
      </c>
      <c r="L74" s="67" t="str">
        <f>IF($E74="Q32028",COUNTIF($E$3:$E74,"Q32028"),"")</f>
        <v/>
      </c>
      <c r="M74" s="67" t="str">
        <f>IF($E74="Q42028",COUNTIF($E$3:$E74,"Q42028"),"")</f>
        <v/>
      </c>
      <c r="N74" s="67" t="str">
        <f>IF($E74="Backlog",COUNTIF($E$3:$E74,"Backlog"),"")</f>
        <v/>
      </c>
    </row>
    <row r="75" spans="1:14" ht="19.5" customHeight="1">
      <c r="A75" s="65">
        <v>73</v>
      </c>
      <c r="B75" s="16"/>
      <c r="C75" s="17"/>
      <c r="D75" s="17"/>
      <c r="E75" s="17"/>
      <c r="F75" s="17"/>
      <c r="G75" s="17"/>
      <c r="H75" s="66" t="str">
        <f>IF(C75="XXL (&gt;160h)",168,IF(C75="XL (&gt;40h)",48,IF(C75="L (20-40h)",30,IF(C75="M (10-20h)",15,IF(C75="S (&lt;10h)",5,"")))))</f>
        <v/>
      </c>
      <c r="I75" s="16"/>
      <c r="J75" s="67" t="str">
        <f>IF($E75="Q12028",COUNTIF($E$3:$E75,"Q12028"),"")</f>
        <v/>
      </c>
      <c r="K75" s="67" t="str">
        <f>IF($E75="Q22028",COUNTIF($E$3:$E75,"Q22028"),"")</f>
        <v/>
      </c>
      <c r="L75" s="67" t="str">
        <f>IF($E75="Q32028",COUNTIF($E$3:$E75,"Q32028"),"")</f>
        <v/>
      </c>
      <c r="M75" s="67" t="str">
        <f>IF($E75="Q42028",COUNTIF($E$3:$E75,"Q42028"),"")</f>
        <v/>
      </c>
      <c r="N75" s="67" t="str">
        <f>IF($E75="Backlog",COUNTIF($E$3:$E75,"Backlog"),"")</f>
        <v/>
      </c>
    </row>
    <row r="76" spans="1:14" ht="19.5" customHeight="1">
      <c r="A76" s="68">
        <v>74</v>
      </c>
      <c r="B76" s="18"/>
      <c r="C76" s="19"/>
      <c r="D76" s="19"/>
      <c r="E76" s="19"/>
      <c r="F76" s="19"/>
      <c r="G76" s="19"/>
      <c r="H76" s="69" t="str">
        <f>IF(C76="XXL (&gt;160h)",168,IF(C76="XL (&gt;40h)",48,IF(C76="L (20-40h)",30,IF(C76="M (10-20h)",15,IF(C76="S (&lt;10h)",5,"")))))</f>
        <v/>
      </c>
      <c r="I76" s="18"/>
      <c r="J76" s="67" t="str">
        <f>IF($E76="Q12028",COUNTIF($E$3:$E76,"Q12028"),"")</f>
        <v/>
      </c>
      <c r="K76" s="67" t="str">
        <f>IF($E76="Q22028",COUNTIF($E$3:$E76,"Q22028"),"")</f>
        <v/>
      </c>
      <c r="L76" s="67" t="str">
        <f>IF($E76="Q32028",COUNTIF($E$3:$E76,"Q32028"),"")</f>
        <v/>
      </c>
      <c r="M76" s="67" t="str">
        <f>IF($E76="Q42028",COUNTIF($E$3:$E76,"Q42028"),"")</f>
        <v/>
      </c>
      <c r="N76" s="67" t="str">
        <f>IF($E76="Backlog",COUNTIF($E$3:$E76,"Backlog"),"")</f>
        <v/>
      </c>
    </row>
    <row r="77" spans="1:14" ht="19.5" customHeight="1">
      <c r="A77" s="65">
        <v>75</v>
      </c>
      <c r="B77" s="16"/>
      <c r="C77" s="17"/>
      <c r="D77" s="17"/>
      <c r="E77" s="17"/>
      <c r="F77" s="17"/>
      <c r="G77" s="17"/>
      <c r="H77" s="66" t="str">
        <f>IF(C77="XXL (&gt;160h)",168,IF(C77="XL (&gt;40h)",48,IF(C77="L (20-40h)",30,IF(C77="M (10-20h)",15,IF(C77="S (&lt;10h)",5,"")))))</f>
        <v/>
      </c>
      <c r="I77" s="16"/>
      <c r="J77" s="67" t="str">
        <f>IF($E77="Q12028",COUNTIF($E$3:$E77,"Q12028"),"")</f>
        <v/>
      </c>
      <c r="K77" s="67" t="str">
        <f>IF($E77="Q22028",COUNTIF($E$3:$E77,"Q22028"),"")</f>
        <v/>
      </c>
      <c r="L77" s="67" t="str">
        <f>IF($E77="Q32028",COUNTIF($E$3:$E77,"Q32028"),"")</f>
        <v/>
      </c>
      <c r="M77" s="67" t="str">
        <f>IF($E77="Q42028",COUNTIF($E$3:$E77,"Q42028"),"")</f>
        <v/>
      </c>
      <c r="N77" s="67" t="str">
        <f>IF($E77="Backlog",COUNTIF($E$3:$E77,"Backlog"),"")</f>
        <v/>
      </c>
    </row>
    <row r="78" spans="1:14" ht="19.5" customHeight="1">
      <c r="A78" s="68">
        <v>76</v>
      </c>
      <c r="B78" s="18"/>
      <c r="C78" s="19"/>
      <c r="D78" s="19"/>
      <c r="E78" s="19"/>
      <c r="F78" s="19"/>
      <c r="G78" s="19"/>
      <c r="H78" s="69" t="str">
        <f>IF(C78="XXL (&gt;160h)",168,IF(C78="XL (&gt;40h)",48,IF(C78="L (20-40h)",30,IF(C78="M (10-20h)",15,IF(C78="S (&lt;10h)",5,"")))))</f>
        <v/>
      </c>
      <c r="I78" s="18"/>
      <c r="J78" s="67" t="str">
        <f>IF($E78="Q12028",COUNTIF($E$3:$E78,"Q12028"),"")</f>
        <v/>
      </c>
      <c r="K78" s="67" t="str">
        <f>IF($E78="Q22028",COUNTIF($E$3:$E78,"Q22028"),"")</f>
        <v/>
      </c>
      <c r="L78" s="67" t="str">
        <f>IF($E78="Q32028",COUNTIF($E$3:$E78,"Q32028"),"")</f>
        <v/>
      </c>
      <c r="M78" s="67" t="str">
        <f>IF($E78="Q42028",COUNTIF($E$3:$E78,"Q42028"),"")</f>
        <v/>
      </c>
      <c r="N78" s="67" t="str">
        <f>IF($E78="Backlog",COUNTIF($E$3:$E78,"Backlog"),"")</f>
        <v/>
      </c>
    </row>
    <row r="79" spans="1:14" ht="19.5" customHeight="1">
      <c r="A79" s="65">
        <v>77</v>
      </c>
      <c r="B79" s="16"/>
      <c r="C79" s="17"/>
      <c r="D79" s="17"/>
      <c r="E79" s="17"/>
      <c r="F79" s="17"/>
      <c r="G79" s="17"/>
      <c r="H79" s="66" t="str">
        <f>IF(C79="XXL (&gt;160h)",168,IF(C79="XL (&gt;40h)",48,IF(C79="L (20-40h)",30,IF(C79="M (10-20h)",15,IF(C79="S (&lt;10h)",5,"")))))</f>
        <v/>
      </c>
      <c r="I79" s="16"/>
      <c r="J79" s="67" t="str">
        <f>IF($E79="Q12028",COUNTIF($E$3:$E79,"Q12028"),"")</f>
        <v/>
      </c>
      <c r="K79" s="67" t="str">
        <f>IF($E79="Q22028",COUNTIF($E$3:$E79,"Q22028"),"")</f>
        <v/>
      </c>
      <c r="L79" s="67" t="str">
        <f>IF($E79="Q32028",COUNTIF($E$3:$E79,"Q32028"),"")</f>
        <v/>
      </c>
      <c r="M79" s="67" t="str">
        <f>IF($E79="Q42028",COUNTIF($E$3:$E79,"Q42028"),"")</f>
        <v/>
      </c>
      <c r="N79" s="67" t="str">
        <f>IF($E79="Backlog",COUNTIF($E$3:$E79,"Backlog"),"")</f>
        <v/>
      </c>
    </row>
    <row r="80" spans="1:14" ht="19.5" customHeight="1">
      <c r="A80" s="68">
        <v>78</v>
      </c>
      <c r="B80" s="18"/>
      <c r="C80" s="19"/>
      <c r="D80" s="19"/>
      <c r="E80" s="19"/>
      <c r="F80" s="19"/>
      <c r="G80" s="19"/>
      <c r="H80" s="69" t="str">
        <f>IF(C80="XXL (&gt;160h)",168,IF(C80="XL (&gt;40h)",48,IF(C80="L (20-40h)",30,IF(C80="M (10-20h)",15,IF(C80="S (&lt;10h)",5,"")))))</f>
        <v/>
      </c>
      <c r="I80" s="18"/>
      <c r="J80" s="67" t="str">
        <f>IF($E80="Q12028",COUNTIF($E$3:$E80,"Q12028"),"")</f>
        <v/>
      </c>
      <c r="K80" s="67" t="str">
        <f>IF($E80="Q22028",COUNTIF($E$3:$E80,"Q22028"),"")</f>
        <v/>
      </c>
      <c r="L80" s="67" t="str">
        <f>IF($E80="Q32028",COUNTIF($E$3:$E80,"Q32028"),"")</f>
        <v/>
      </c>
      <c r="M80" s="67" t="str">
        <f>IF($E80="Q42028",COUNTIF($E$3:$E80,"Q42028"),"")</f>
        <v/>
      </c>
      <c r="N80" s="67" t="str">
        <f>IF($E80="Backlog",COUNTIF($E$3:$E80,"Backlog"),"")</f>
        <v/>
      </c>
    </row>
    <row r="81" spans="1:14" ht="19.5" customHeight="1">
      <c r="A81" s="65">
        <v>79</v>
      </c>
      <c r="B81" s="16"/>
      <c r="C81" s="17"/>
      <c r="D81" s="17"/>
      <c r="E81" s="17"/>
      <c r="F81" s="17"/>
      <c r="G81" s="17"/>
      <c r="H81" s="66" t="str">
        <f>IF(C81="XXL (&gt;160h)",168,IF(C81="XL (&gt;40h)",48,IF(C81="L (20-40h)",30,IF(C81="M (10-20h)",15,IF(C81="S (&lt;10h)",5,"")))))</f>
        <v/>
      </c>
      <c r="I81" s="16"/>
      <c r="J81" s="67" t="str">
        <f>IF($E81="Q12028",COUNTIF($E$3:$E81,"Q12028"),"")</f>
        <v/>
      </c>
      <c r="K81" s="67" t="str">
        <f>IF($E81="Q22028",COUNTIF($E$3:$E81,"Q22028"),"")</f>
        <v/>
      </c>
      <c r="L81" s="67" t="str">
        <f>IF($E81="Q32028",COUNTIF($E$3:$E81,"Q32028"),"")</f>
        <v/>
      </c>
      <c r="M81" s="67" t="str">
        <f>IF($E81="Q42028",COUNTIF($E$3:$E81,"Q42028"),"")</f>
        <v/>
      </c>
      <c r="N81" s="67" t="str">
        <f>IF($E81="Backlog",COUNTIF($E$3:$E81,"Backlog"),"")</f>
        <v/>
      </c>
    </row>
    <row r="82" spans="1:14" ht="19.5" customHeight="1">
      <c r="A82" s="68">
        <v>80</v>
      </c>
      <c r="B82" s="18"/>
      <c r="C82" s="19"/>
      <c r="D82" s="19"/>
      <c r="E82" s="19"/>
      <c r="F82" s="19"/>
      <c r="G82" s="19"/>
      <c r="H82" s="69" t="str">
        <f>IF(C82="XXL (&gt;160h)",168,IF(C82="XL (&gt;40h)",48,IF(C82="L (20-40h)",30,IF(C82="M (10-20h)",15,IF(C82="S (&lt;10h)",5,"")))))</f>
        <v/>
      </c>
      <c r="I82" s="18"/>
      <c r="J82" s="67" t="str">
        <f>IF($E82="Q12028",COUNTIF($E$3:$E82,"Q12028"),"")</f>
        <v/>
      </c>
      <c r="K82" s="67" t="str">
        <f>IF($E82="Q22028",COUNTIF($E$3:$E82,"Q22028"),"")</f>
        <v/>
      </c>
      <c r="L82" s="67" t="str">
        <f>IF($E82="Q32028",COUNTIF($E$3:$E82,"Q32028"),"")</f>
        <v/>
      </c>
      <c r="M82" s="67" t="str">
        <f>IF($E82="Q42028",COUNTIF($E$3:$E82,"Q42028"),"")</f>
        <v/>
      </c>
      <c r="N82" s="67" t="str">
        <f>IF($E82="Backlog",COUNTIF($E$3:$E82,"Backlog"),"")</f>
        <v/>
      </c>
    </row>
    <row r="83" spans="1:14" ht="21.75" customHeight="1">
      <c r="A83" s="113" t="s">
        <v>56</v>
      </c>
      <c r="B83" s="113"/>
      <c r="C83" s="113"/>
      <c r="D83" s="113"/>
      <c r="E83" s="113"/>
      <c r="F83" s="113"/>
      <c r="G83" s="113"/>
      <c r="H83" s="20">
        <f>SUM(H3:H82)</f>
        <v>0</v>
      </c>
      <c r="I83" s="70"/>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11" priority="2" operator="equal">
      <formula>"Strengthen"</formula>
    </cfRule>
    <cfRule type="cellIs" dxfId="10" priority="3" operator="equal">
      <formula>"Innovation"</formula>
    </cfRule>
    <cfRule type="cellIs" dxfId="9" priority="4" operator="equal">
      <formula>"Repair"</formula>
    </cfRule>
  </conditionalFormatting>
  <dataValidations count="5">
    <dataValidation type="list" allowBlank="1" sqref="D3:D82" xr:uid="{00000000-0002-0000-1200-000000000000}">
      <formula1>"Strengthen,Innovation,Repair"</formula1>
      <formula2>0</formula2>
    </dataValidation>
    <dataValidation type="list" allowBlank="1" sqref="C3:C82" xr:uid="{00000000-0002-0000-1200-000001000000}">
      <formula1>"XXL (&gt;160h),XL (&gt;40h),L (20-40h),M (10-20h),S (&lt;10h)"</formula1>
      <formula2>0</formula2>
    </dataValidation>
    <dataValidation type="list" allowBlank="1" sqref="E3:E82" xr:uid="{00000000-0002-0000-1200-000002000000}">
      <formula1>"Q12028,Q22028,Q32028,Q42028,Backlog"</formula1>
      <formula2>0</formula2>
    </dataValidation>
    <dataValidation type="list" allowBlank="1" sqref="F3:F82" xr:uid="{00000000-0002-0000-1200-000003000000}">
      <formula1>"Must,Should,Could,Won't"</formula1>
      <formula2>0</formula2>
    </dataValidation>
    <dataValidation type="list" allowBlank="1" sqref="G3:G82" xr:uid="{00000000-0002-0000-12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87"/>
  <sheetViews>
    <sheetView showGridLines="0" zoomScaleNormal="100" workbookViewId="0">
      <pane xSplit="1" ySplit="2" topLeftCell="B3" activePane="bottomRight" state="frozen"/>
      <selection pane="bottomRight"/>
      <selection pane="bottomLeft" activeCell="A3" sqref="A3"/>
      <selection pane="topRight" activeCell="B1" sqref="B1"/>
    </sheetView>
  </sheetViews>
  <sheetFormatPr defaultColWidth="8.7109375" defaultRowHeight="15"/>
  <cols>
    <col min="1" max="1" width="5" customWidth="1"/>
    <col min="2" max="2" width="42.85546875" customWidth="1"/>
    <col min="3" max="3" width="16" customWidth="1"/>
    <col min="4" max="4" width="14" customWidth="1"/>
    <col min="5" max="5" width="16" customWidth="1"/>
    <col min="6" max="7" width="12" customWidth="1"/>
    <col min="8" max="8" width="11" customWidth="1"/>
    <col min="9" max="9" width="30" customWidth="1"/>
    <col min="10" max="16" width="0.140625" hidden="1" customWidth="1"/>
  </cols>
  <sheetData>
    <row r="1" spans="1:14" ht="43.5" customHeight="1">
      <c r="A1" s="127" t="s">
        <v>265</v>
      </c>
      <c r="B1" s="127"/>
      <c r="C1" s="127"/>
      <c r="D1" s="127"/>
      <c r="E1" s="127"/>
      <c r="F1" s="127"/>
      <c r="G1" s="127"/>
      <c r="H1" s="127"/>
      <c r="I1" s="127"/>
    </row>
    <row r="2" spans="1:14" ht="24" customHeight="1">
      <c r="A2" s="24" t="s">
        <v>1</v>
      </c>
      <c r="B2" s="24" t="s">
        <v>2</v>
      </c>
      <c r="C2" s="24" t="s">
        <v>3</v>
      </c>
      <c r="D2" s="24" t="s">
        <v>4</v>
      </c>
      <c r="E2" s="24" t="s">
        <v>5</v>
      </c>
      <c r="F2" s="24" t="s">
        <v>6</v>
      </c>
      <c r="G2" s="24" t="s">
        <v>7</v>
      </c>
      <c r="H2" s="24" t="s">
        <v>8</v>
      </c>
      <c r="I2" s="24" t="s">
        <v>9</v>
      </c>
    </row>
    <row r="3" spans="1:14" ht="19.5" customHeight="1">
      <c r="A3" s="65">
        <v>1</v>
      </c>
      <c r="B3" s="16"/>
      <c r="C3" s="17"/>
      <c r="D3" s="17"/>
      <c r="E3" s="17"/>
      <c r="F3" s="17"/>
      <c r="G3" s="17"/>
      <c r="H3" s="66" t="str">
        <f>IF(C3="XXL (&gt;160h)",168,IF(C3="XL (&gt;40h)",48,IF(C3="L (20-40h)",30,IF(C3="M (10-20h)",15,IF(C3="S (&lt;10h)",5,"")))))</f>
        <v/>
      </c>
      <c r="I3" s="16"/>
      <c r="J3" s="67" t="str">
        <f>IF($E3="Q12028",COUNTIF($E$3:$E3,"Q12028"),"")</f>
        <v/>
      </c>
      <c r="K3" s="67" t="str">
        <f>IF($E3="Q22028",COUNTIF($E$3:$E3,"Q22028"),"")</f>
        <v/>
      </c>
      <c r="L3" s="67" t="str">
        <f>IF($E3="Q32028",COUNTIF($E$3:$E3,"Q32028"),"")</f>
        <v/>
      </c>
      <c r="M3" s="67" t="str">
        <f>IF($E3="Q42028",COUNTIF($E$3:$E3,"Q42028"),"")</f>
        <v/>
      </c>
      <c r="N3" s="67" t="str">
        <f>IF($E3="Backlog",COUNTIF($E$3:$E3,"Backlog"),"")</f>
        <v/>
      </c>
    </row>
    <row r="4" spans="1:14" ht="19.5" customHeight="1">
      <c r="A4" s="68">
        <v>2</v>
      </c>
      <c r="B4" s="18"/>
      <c r="C4" s="19"/>
      <c r="D4" s="19"/>
      <c r="E4" s="19"/>
      <c r="F4" s="19"/>
      <c r="G4" s="19"/>
      <c r="H4" s="69" t="str">
        <f>IF(C4="XXL (&gt;160h)",168,IF(C4="XL (&gt;40h)",48,IF(C4="L (20-40h)",30,IF(C4="M (10-20h)",15,IF(C4="S (&lt;10h)",5,"")))))</f>
        <v/>
      </c>
      <c r="I4" s="18"/>
      <c r="J4" s="67" t="str">
        <f>IF($E4="Q12028",COUNTIF($E$3:$E4,"Q12028"),"")</f>
        <v/>
      </c>
      <c r="K4" s="67" t="str">
        <f>IF($E4="Q22028",COUNTIF($E$3:$E4,"Q22028"),"")</f>
        <v/>
      </c>
      <c r="L4" s="67" t="str">
        <f>IF($E4="Q32028",COUNTIF($E$3:$E4,"Q32028"),"")</f>
        <v/>
      </c>
      <c r="M4" s="67" t="str">
        <f>IF($E4="Q42028",COUNTIF($E$3:$E4,"Q42028"),"")</f>
        <v/>
      </c>
      <c r="N4" s="67" t="str">
        <f>IF($E4="Backlog",COUNTIF($E$3:$E4,"Backlog"),"")</f>
        <v/>
      </c>
    </row>
    <row r="5" spans="1:14" ht="19.5" customHeight="1">
      <c r="A5" s="65">
        <v>3</v>
      </c>
      <c r="B5" s="16"/>
      <c r="C5" s="17"/>
      <c r="D5" s="17"/>
      <c r="E5" s="17"/>
      <c r="F5" s="17"/>
      <c r="G5" s="17"/>
      <c r="H5" s="66" t="str">
        <f>IF(C5="XXL (&gt;160h)",168,IF(C5="XL (&gt;40h)",48,IF(C5="L (20-40h)",30,IF(C5="M (10-20h)",15,IF(C5="S (&lt;10h)",5,"")))))</f>
        <v/>
      </c>
      <c r="I5" s="16"/>
      <c r="J5" s="67" t="str">
        <f>IF($E5="Q12028",COUNTIF($E$3:$E5,"Q12028"),"")</f>
        <v/>
      </c>
      <c r="K5" s="67" t="str">
        <f>IF($E5="Q22028",COUNTIF($E$3:$E5,"Q22028"),"")</f>
        <v/>
      </c>
      <c r="L5" s="67" t="str">
        <f>IF($E5="Q32028",COUNTIF($E$3:$E5,"Q32028"),"")</f>
        <v/>
      </c>
      <c r="M5" s="67" t="str">
        <f>IF($E5="Q42028",COUNTIF($E$3:$E5,"Q42028"),"")</f>
        <v/>
      </c>
      <c r="N5" s="67" t="str">
        <f>IF($E5="Backlog",COUNTIF($E$3:$E5,"Backlog"),"")</f>
        <v/>
      </c>
    </row>
    <row r="6" spans="1:14" ht="19.5" customHeight="1">
      <c r="A6" s="68">
        <v>4</v>
      </c>
      <c r="B6" s="18"/>
      <c r="C6" s="19"/>
      <c r="D6" s="19"/>
      <c r="E6" s="19"/>
      <c r="F6" s="19"/>
      <c r="G6" s="19"/>
      <c r="H6" s="69" t="str">
        <f>IF(C6="XXL (&gt;160h)",168,IF(C6="XL (&gt;40h)",48,IF(C6="L (20-40h)",30,IF(C6="M (10-20h)",15,IF(C6="S (&lt;10h)",5,"")))))</f>
        <v/>
      </c>
      <c r="I6" s="18"/>
      <c r="J6" s="67" t="str">
        <f>IF($E6="Q12028",COUNTIF($E$3:$E6,"Q12028"),"")</f>
        <v/>
      </c>
      <c r="K6" s="67" t="str">
        <f>IF($E6="Q22028",COUNTIF($E$3:$E6,"Q22028"),"")</f>
        <v/>
      </c>
      <c r="L6" s="67" t="str">
        <f>IF($E6="Q32028",COUNTIF($E$3:$E6,"Q32028"),"")</f>
        <v/>
      </c>
      <c r="M6" s="67" t="str">
        <f>IF($E6="Q42028",COUNTIF($E$3:$E6,"Q42028"),"")</f>
        <v/>
      </c>
      <c r="N6" s="67" t="str">
        <f>IF($E6="Backlog",COUNTIF($E$3:$E6,"Backlog"),"")</f>
        <v/>
      </c>
    </row>
    <row r="7" spans="1:14" ht="19.5" customHeight="1">
      <c r="A7" s="65">
        <v>5</v>
      </c>
      <c r="B7" s="16"/>
      <c r="C7" s="17"/>
      <c r="D7" s="17"/>
      <c r="E7" s="17"/>
      <c r="F7" s="17"/>
      <c r="G7" s="17"/>
      <c r="H7" s="66" t="str">
        <f>IF(C7="XXL (&gt;160h)",168,IF(C7="XL (&gt;40h)",48,IF(C7="L (20-40h)",30,IF(C7="M (10-20h)",15,IF(C7="S (&lt;10h)",5,"")))))</f>
        <v/>
      </c>
      <c r="I7" s="16"/>
      <c r="J7" s="67" t="str">
        <f>IF($E7="Q12028",COUNTIF($E$3:$E7,"Q12028"),"")</f>
        <v/>
      </c>
      <c r="K7" s="67" t="str">
        <f>IF($E7="Q22028",COUNTIF($E$3:$E7,"Q22028"),"")</f>
        <v/>
      </c>
      <c r="L7" s="67" t="str">
        <f>IF($E7="Q32028",COUNTIF($E$3:$E7,"Q32028"),"")</f>
        <v/>
      </c>
      <c r="M7" s="67" t="str">
        <f>IF($E7="Q42028",COUNTIF($E$3:$E7,"Q42028"),"")</f>
        <v/>
      </c>
      <c r="N7" s="67" t="str">
        <f>IF($E7="Backlog",COUNTIF($E$3:$E7,"Backlog"),"")</f>
        <v/>
      </c>
    </row>
    <row r="8" spans="1:14" ht="19.5" customHeight="1">
      <c r="A8" s="68">
        <v>6</v>
      </c>
      <c r="B8" s="18"/>
      <c r="C8" s="19"/>
      <c r="D8" s="19"/>
      <c r="E8" s="19"/>
      <c r="F8" s="19"/>
      <c r="G8" s="19"/>
      <c r="H8" s="69" t="str">
        <f>IF(C8="XXL (&gt;160h)",168,IF(C8="XL (&gt;40h)",48,IF(C8="L (20-40h)",30,IF(C8="M (10-20h)",15,IF(C8="S (&lt;10h)",5,"")))))</f>
        <v/>
      </c>
      <c r="I8" s="18"/>
      <c r="J8" s="67" t="str">
        <f>IF($E8="Q12028",COUNTIF($E$3:$E8,"Q12028"),"")</f>
        <v/>
      </c>
      <c r="K8" s="67" t="str">
        <f>IF($E8="Q22028",COUNTIF($E$3:$E8,"Q22028"),"")</f>
        <v/>
      </c>
      <c r="L8" s="67" t="str">
        <f>IF($E8="Q32028",COUNTIF($E$3:$E8,"Q32028"),"")</f>
        <v/>
      </c>
      <c r="M8" s="67" t="str">
        <f>IF($E8="Q42028",COUNTIF($E$3:$E8,"Q42028"),"")</f>
        <v/>
      </c>
      <c r="N8" s="67" t="str">
        <f>IF($E8="Backlog",COUNTIF($E$3:$E8,"Backlog"),"")</f>
        <v/>
      </c>
    </row>
    <row r="9" spans="1:14" ht="19.5" customHeight="1">
      <c r="A9" s="65">
        <v>7</v>
      </c>
      <c r="B9" s="16"/>
      <c r="C9" s="17"/>
      <c r="D9" s="17"/>
      <c r="E9" s="17"/>
      <c r="F9" s="17"/>
      <c r="G9" s="17"/>
      <c r="H9" s="66" t="str">
        <f>IF(C9="XXL (&gt;160h)",168,IF(C9="XL (&gt;40h)",48,IF(C9="L (20-40h)",30,IF(C9="M (10-20h)",15,IF(C9="S (&lt;10h)",5,"")))))</f>
        <v/>
      </c>
      <c r="I9" s="16"/>
      <c r="J9" s="67" t="str">
        <f>IF($E9="Q12028",COUNTIF($E$3:$E9,"Q12028"),"")</f>
        <v/>
      </c>
      <c r="K9" s="67" t="str">
        <f>IF($E9="Q22028",COUNTIF($E$3:$E9,"Q22028"),"")</f>
        <v/>
      </c>
      <c r="L9" s="67" t="str">
        <f>IF($E9="Q32028",COUNTIF($E$3:$E9,"Q32028"),"")</f>
        <v/>
      </c>
      <c r="M9" s="67" t="str">
        <f>IF($E9="Q42028",COUNTIF($E$3:$E9,"Q42028"),"")</f>
        <v/>
      </c>
      <c r="N9" s="67" t="str">
        <f>IF($E9="Backlog",COUNTIF($E$3:$E9,"Backlog"),"")</f>
        <v/>
      </c>
    </row>
    <row r="10" spans="1:14" ht="19.5" customHeight="1">
      <c r="A10" s="68">
        <v>8</v>
      </c>
      <c r="B10" s="18"/>
      <c r="C10" s="19"/>
      <c r="D10" s="19"/>
      <c r="E10" s="19"/>
      <c r="F10" s="19"/>
      <c r="G10" s="19"/>
      <c r="H10" s="69" t="str">
        <f>IF(C10="XXL (&gt;160h)",168,IF(C10="XL (&gt;40h)",48,IF(C10="L (20-40h)",30,IF(C10="M (10-20h)",15,IF(C10="S (&lt;10h)",5,"")))))</f>
        <v/>
      </c>
      <c r="I10" s="18"/>
      <c r="J10" s="67" t="str">
        <f>IF($E10="Q12028",COUNTIF($E$3:$E10,"Q12028"),"")</f>
        <v/>
      </c>
      <c r="K10" s="67" t="str">
        <f>IF($E10="Q22028",COUNTIF($E$3:$E10,"Q22028"),"")</f>
        <v/>
      </c>
      <c r="L10" s="67" t="str">
        <f>IF($E10="Q32028",COUNTIF($E$3:$E10,"Q32028"),"")</f>
        <v/>
      </c>
      <c r="M10" s="67" t="str">
        <f>IF($E10="Q42028",COUNTIF($E$3:$E10,"Q42028"),"")</f>
        <v/>
      </c>
      <c r="N10" s="67" t="str">
        <f>IF($E10="Backlog",COUNTIF($E$3:$E10,"Backlog"),"")</f>
        <v/>
      </c>
    </row>
    <row r="11" spans="1:14" ht="19.5" customHeight="1">
      <c r="A11" s="65">
        <v>9</v>
      </c>
      <c r="B11" s="16"/>
      <c r="C11" s="17"/>
      <c r="D11" s="17"/>
      <c r="E11" s="17"/>
      <c r="F11" s="17"/>
      <c r="G11" s="17"/>
      <c r="H11" s="66" t="str">
        <f>IF(C11="XXL (&gt;160h)",168,IF(C11="XL (&gt;40h)",48,IF(C11="L (20-40h)",30,IF(C11="M (10-20h)",15,IF(C11="S (&lt;10h)",5,"")))))</f>
        <v/>
      </c>
      <c r="I11" s="16"/>
      <c r="J11" s="67" t="str">
        <f>IF($E11="Q12028",COUNTIF($E$3:$E11,"Q12028"),"")</f>
        <v/>
      </c>
      <c r="K11" s="67" t="str">
        <f>IF($E11="Q22028",COUNTIF($E$3:$E11,"Q22028"),"")</f>
        <v/>
      </c>
      <c r="L11" s="67" t="str">
        <f>IF($E11="Q32028",COUNTIF($E$3:$E11,"Q32028"),"")</f>
        <v/>
      </c>
      <c r="M11" s="67" t="str">
        <f>IF($E11="Q42028",COUNTIF($E$3:$E11,"Q42028"),"")</f>
        <v/>
      </c>
      <c r="N11" s="67" t="str">
        <f>IF($E11="Backlog",COUNTIF($E$3:$E11,"Backlog"),"")</f>
        <v/>
      </c>
    </row>
    <row r="12" spans="1:14" ht="19.5" customHeight="1">
      <c r="A12" s="68">
        <v>10</v>
      </c>
      <c r="B12" s="18"/>
      <c r="C12" s="19"/>
      <c r="D12" s="19"/>
      <c r="E12" s="19"/>
      <c r="F12" s="19"/>
      <c r="G12" s="19"/>
      <c r="H12" s="69" t="str">
        <f>IF(C12="XXL (&gt;160h)",168,IF(C12="XL (&gt;40h)",48,IF(C12="L (20-40h)",30,IF(C12="M (10-20h)",15,IF(C12="S (&lt;10h)",5,"")))))</f>
        <v/>
      </c>
      <c r="I12" s="18"/>
      <c r="J12" s="67" t="str">
        <f>IF($E12="Q12028",COUNTIF($E$3:$E12,"Q12028"),"")</f>
        <v/>
      </c>
      <c r="K12" s="67" t="str">
        <f>IF($E12="Q22028",COUNTIF($E$3:$E12,"Q22028"),"")</f>
        <v/>
      </c>
      <c r="L12" s="67" t="str">
        <f>IF($E12="Q32028",COUNTIF($E$3:$E12,"Q32028"),"")</f>
        <v/>
      </c>
      <c r="M12" s="67" t="str">
        <f>IF($E12="Q42028",COUNTIF($E$3:$E12,"Q42028"),"")</f>
        <v/>
      </c>
      <c r="N12" s="67" t="str">
        <f>IF($E12="Backlog",COUNTIF($E$3:$E12,"Backlog"),"")</f>
        <v/>
      </c>
    </row>
    <row r="13" spans="1:14" ht="19.5" customHeight="1">
      <c r="A13" s="65">
        <v>11</v>
      </c>
      <c r="B13" s="16"/>
      <c r="C13" s="17"/>
      <c r="D13" s="17"/>
      <c r="E13" s="17"/>
      <c r="F13" s="17"/>
      <c r="G13" s="17"/>
      <c r="H13" s="66" t="str">
        <f>IF(C13="XXL (&gt;160h)",168,IF(C13="XL (&gt;40h)",48,IF(C13="L (20-40h)",30,IF(C13="M (10-20h)",15,IF(C13="S (&lt;10h)",5,"")))))</f>
        <v/>
      </c>
      <c r="I13" s="16"/>
      <c r="J13" s="67" t="str">
        <f>IF($E13="Q12028",COUNTIF($E$3:$E13,"Q12028"),"")</f>
        <v/>
      </c>
      <c r="K13" s="67" t="str">
        <f>IF($E13="Q22028",COUNTIF($E$3:$E13,"Q22028"),"")</f>
        <v/>
      </c>
      <c r="L13" s="67" t="str">
        <f>IF($E13="Q32028",COUNTIF($E$3:$E13,"Q32028"),"")</f>
        <v/>
      </c>
      <c r="M13" s="67" t="str">
        <f>IF($E13="Q42028",COUNTIF($E$3:$E13,"Q42028"),"")</f>
        <v/>
      </c>
      <c r="N13" s="67" t="str">
        <f>IF($E13="Backlog",COUNTIF($E$3:$E13,"Backlog"),"")</f>
        <v/>
      </c>
    </row>
    <row r="14" spans="1:14" ht="19.5" customHeight="1">
      <c r="A14" s="68">
        <v>12</v>
      </c>
      <c r="B14" s="18"/>
      <c r="C14" s="19"/>
      <c r="D14" s="19"/>
      <c r="E14" s="19"/>
      <c r="F14" s="19"/>
      <c r="G14" s="19"/>
      <c r="H14" s="69" t="str">
        <f>IF(C14="XXL (&gt;160h)",168,IF(C14="XL (&gt;40h)",48,IF(C14="L (20-40h)",30,IF(C14="M (10-20h)",15,IF(C14="S (&lt;10h)",5,"")))))</f>
        <v/>
      </c>
      <c r="I14" s="18"/>
      <c r="J14" s="67" t="str">
        <f>IF($E14="Q12028",COUNTIF($E$3:$E14,"Q12028"),"")</f>
        <v/>
      </c>
      <c r="K14" s="67" t="str">
        <f>IF($E14="Q22028",COUNTIF($E$3:$E14,"Q22028"),"")</f>
        <v/>
      </c>
      <c r="L14" s="67" t="str">
        <f>IF($E14="Q32028",COUNTIF($E$3:$E14,"Q32028"),"")</f>
        <v/>
      </c>
      <c r="M14" s="67" t="str">
        <f>IF($E14="Q42028",COUNTIF($E$3:$E14,"Q42028"),"")</f>
        <v/>
      </c>
      <c r="N14" s="67" t="str">
        <f>IF($E14="Backlog",COUNTIF($E$3:$E14,"Backlog"),"")</f>
        <v/>
      </c>
    </row>
    <row r="15" spans="1:14" ht="19.5" customHeight="1">
      <c r="A15" s="65">
        <v>13</v>
      </c>
      <c r="B15" s="16"/>
      <c r="C15" s="17"/>
      <c r="D15" s="17"/>
      <c r="E15" s="17"/>
      <c r="F15" s="17"/>
      <c r="G15" s="17"/>
      <c r="H15" s="66" t="str">
        <f>IF(C15="XXL (&gt;160h)",168,IF(C15="XL (&gt;40h)",48,IF(C15="L (20-40h)",30,IF(C15="M (10-20h)",15,IF(C15="S (&lt;10h)",5,"")))))</f>
        <v/>
      </c>
      <c r="I15" s="16"/>
      <c r="J15" s="67" t="str">
        <f>IF($E15="Q12028",COUNTIF($E$3:$E15,"Q12028"),"")</f>
        <v/>
      </c>
      <c r="K15" s="67" t="str">
        <f>IF($E15="Q22028",COUNTIF($E$3:$E15,"Q22028"),"")</f>
        <v/>
      </c>
      <c r="L15" s="67" t="str">
        <f>IF($E15="Q32028",COUNTIF($E$3:$E15,"Q32028"),"")</f>
        <v/>
      </c>
      <c r="M15" s="67" t="str">
        <f>IF($E15="Q42028",COUNTIF($E$3:$E15,"Q42028"),"")</f>
        <v/>
      </c>
      <c r="N15" s="67" t="str">
        <f>IF($E15="Backlog",COUNTIF($E$3:$E15,"Backlog"),"")</f>
        <v/>
      </c>
    </row>
    <row r="16" spans="1:14" ht="19.5" customHeight="1">
      <c r="A16" s="68">
        <v>14</v>
      </c>
      <c r="B16" s="18"/>
      <c r="C16" s="19"/>
      <c r="D16" s="19"/>
      <c r="E16" s="19"/>
      <c r="F16" s="19"/>
      <c r="G16" s="19"/>
      <c r="H16" s="69" t="str">
        <f>IF(C16="XXL (&gt;160h)",168,IF(C16="XL (&gt;40h)",48,IF(C16="L (20-40h)",30,IF(C16="M (10-20h)",15,IF(C16="S (&lt;10h)",5,"")))))</f>
        <v/>
      </c>
      <c r="I16" s="18"/>
      <c r="J16" s="67" t="str">
        <f>IF($E16="Q12028",COUNTIF($E$3:$E16,"Q12028"),"")</f>
        <v/>
      </c>
      <c r="K16" s="67" t="str">
        <f>IF($E16="Q22028",COUNTIF($E$3:$E16,"Q22028"),"")</f>
        <v/>
      </c>
      <c r="L16" s="67" t="str">
        <f>IF($E16="Q32028",COUNTIF($E$3:$E16,"Q32028"),"")</f>
        <v/>
      </c>
      <c r="M16" s="67" t="str">
        <f>IF($E16="Q42028",COUNTIF($E$3:$E16,"Q42028"),"")</f>
        <v/>
      </c>
      <c r="N16" s="67" t="str">
        <f>IF($E16="Backlog",COUNTIF($E$3:$E16,"Backlog"),"")</f>
        <v/>
      </c>
    </row>
    <row r="17" spans="1:14" ht="19.5" customHeight="1">
      <c r="A17" s="65">
        <v>15</v>
      </c>
      <c r="B17" s="16"/>
      <c r="C17" s="17"/>
      <c r="D17" s="17"/>
      <c r="E17" s="17"/>
      <c r="F17" s="17"/>
      <c r="G17" s="17"/>
      <c r="H17" s="66" t="str">
        <f>IF(C17="XXL (&gt;160h)",168,IF(C17="XL (&gt;40h)",48,IF(C17="L (20-40h)",30,IF(C17="M (10-20h)",15,IF(C17="S (&lt;10h)",5,"")))))</f>
        <v/>
      </c>
      <c r="I17" s="16"/>
      <c r="J17" s="67" t="str">
        <f>IF($E17="Q12028",COUNTIF($E$3:$E17,"Q12028"),"")</f>
        <v/>
      </c>
      <c r="K17" s="67" t="str">
        <f>IF($E17="Q22028",COUNTIF($E$3:$E17,"Q22028"),"")</f>
        <v/>
      </c>
      <c r="L17" s="67" t="str">
        <f>IF($E17="Q32028",COUNTIF($E$3:$E17,"Q32028"),"")</f>
        <v/>
      </c>
      <c r="M17" s="67" t="str">
        <f>IF($E17="Q42028",COUNTIF($E$3:$E17,"Q42028"),"")</f>
        <v/>
      </c>
      <c r="N17" s="67" t="str">
        <f>IF($E17="Backlog",COUNTIF($E$3:$E17,"Backlog"),"")</f>
        <v/>
      </c>
    </row>
    <row r="18" spans="1:14" ht="19.5" customHeight="1">
      <c r="A18" s="68">
        <v>16</v>
      </c>
      <c r="B18" s="18"/>
      <c r="C18" s="19"/>
      <c r="D18" s="19"/>
      <c r="E18" s="19"/>
      <c r="F18" s="19"/>
      <c r="G18" s="19"/>
      <c r="H18" s="69" t="str">
        <f>IF(C18="XXL (&gt;160h)",168,IF(C18="XL (&gt;40h)",48,IF(C18="L (20-40h)",30,IF(C18="M (10-20h)",15,IF(C18="S (&lt;10h)",5,"")))))</f>
        <v/>
      </c>
      <c r="I18" s="18"/>
      <c r="J18" s="67" t="str">
        <f>IF($E18="Q12028",COUNTIF($E$3:$E18,"Q12028"),"")</f>
        <v/>
      </c>
      <c r="K18" s="67" t="str">
        <f>IF($E18="Q22028",COUNTIF($E$3:$E18,"Q22028"),"")</f>
        <v/>
      </c>
      <c r="L18" s="67" t="str">
        <f>IF($E18="Q32028",COUNTIF($E$3:$E18,"Q32028"),"")</f>
        <v/>
      </c>
      <c r="M18" s="67" t="str">
        <f>IF($E18="Q42028",COUNTIF($E$3:$E18,"Q42028"),"")</f>
        <v/>
      </c>
      <c r="N18" s="67" t="str">
        <f>IF($E18="Backlog",COUNTIF($E$3:$E18,"Backlog"),"")</f>
        <v/>
      </c>
    </row>
    <row r="19" spans="1:14" ht="19.5" customHeight="1">
      <c r="A19" s="65">
        <v>17</v>
      </c>
      <c r="B19" s="16"/>
      <c r="C19" s="17"/>
      <c r="D19" s="17"/>
      <c r="E19" s="17"/>
      <c r="F19" s="17"/>
      <c r="G19" s="17"/>
      <c r="H19" s="66" t="str">
        <f>IF(C19="XXL (&gt;160h)",168,IF(C19="XL (&gt;40h)",48,IF(C19="L (20-40h)",30,IF(C19="M (10-20h)",15,IF(C19="S (&lt;10h)",5,"")))))</f>
        <v/>
      </c>
      <c r="I19" s="16"/>
      <c r="J19" s="67" t="str">
        <f>IF($E19="Q12028",COUNTIF($E$3:$E19,"Q12028"),"")</f>
        <v/>
      </c>
      <c r="K19" s="67" t="str">
        <f>IF($E19="Q22028",COUNTIF($E$3:$E19,"Q22028"),"")</f>
        <v/>
      </c>
      <c r="L19" s="67" t="str">
        <f>IF($E19="Q32028",COUNTIF($E$3:$E19,"Q32028"),"")</f>
        <v/>
      </c>
      <c r="M19" s="67" t="str">
        <f>IF($E19="Q42028",COUNTIF($E$3:$E19,"Q42028"),"")</f>
        <v/>
      </c>
      <c r="N19" s="67" t="str">
        <f>IF($E19="Backlog",COUNTIF($E$3:$E19,"Backlog"),"")</f>
        <v/>
      </c>
    </row>
    <row r="20" spans="1:14" ht="19.5" customHeight="1">
      <c r="A20" s="68">
        <v>18</v>
      </c>
      <c r="B20" s="18"/>
      <c r="C20" s="19"/>
      <c r="D20" s="19"/>
      <c r="E20" s="19"/>
      <c r="F20" s="19"/>
      <c r="G20" s="19"/>
      <c r="H20" s="69" t="str">
        <f>IF(C20="XXL (&gt;160h)",168,IF(C20="XL (&gt;40h)",48,IF(C20="L (20-40h)",30,IF(C20="M (10-20h)",15,IF(C20="S (&lt;10h)",5,"")))))</f>
        <v/>
      </c>
      <c r="I20" s="18"/>
      <c r="J20" s="67" t="str">
        <f>IF($E20="Q12028",COUNTIF($E$3:$E20,"Q12028"),"")</f>
        <v/>
      </c>
      <c r="K20" s="67" t="str">
        <f>IF($E20="Q22028",COUNTIF($E$3:$E20,"Q22028"),"")</f>
        <v/>
      </c>
      <c r="L20" s="67" t="str">
        <f>IF($E20="Q32028",COUNTIF($E$3:$E20,"Q32028"),"")</f>
        <v/>
      </c>
      <c r="M20" s="67" t="str">
        <f>IF($E20="Q42028",COUNTIF($E$3:$E20,"Q42028"),"")</f>
        <v/>
      </c>
      <c r="N20" s="67" t="str">
        <f>IF($E20="Backlog",COUNTIF($E$3:$E20,"Backlog"),"")</f>
        <v/>
      </c>
    </row>
    <row r="21" spans="1:14" ht="19.5" customHeight="1">
      <c r="A21" s="65">
        <v>19</v>
      </c>
      <c r="B21" s="16"/>
      <c r="C21" s="17"/>
      <c r="D21" s="17"/>
      <c r="E21" s="17"/>
      <c r="F21" s="17"/>
      <c r="G21" s="17"/>
      <c r="H21" s="66" t="str">
        <f>IF(C21="XXL (&gt;160h)",168,IF(C21="XL (&gt;40h)",48,IF(C21="L (20-40h)",30,IF(C21="M (10-20h)",15,IF(C21="S (&lt;10h)",5,"")))))</f>
        <v/>
      </c>
      <c r="I21" s="16"/>
      <c r="J21" s="67" t="str">
        <f>IF($E21="Q12028",COUNTIF($E$3:$E21,"Q12028"),"")</f>
        <v/>
      </c>
      <c r="K21" s="67" t="str">
        <f>IF($E21="Q22028",COUNTIF($E$3:$E21,"Q22028"),"")</f>
        <v/>
      </c>
      <c r="L21" s="67" t="str">
        <f>IF($E21="Q32028",COUNTIF($E$3:$E21,"Q32028"),"")</f>
        <v/>
      </c>
      <c r="M21" s="67" t="str">
        <f>IF($E21="Q42028",COUNTIF($E$3:$E21,"Q42028"),"")</f>
        <v/>
      </c>
      <c r="N21" s="67" t="str">
        <f>IF($E21="Backlog",COUNTIF($E$3:$E21,"Backlog"),"")</f>
        <v/>
      </c>
    </row>
    <row r="22" spans="1:14" ht="19.5" customHeight="1">
      <c r="A22" s="68">
        <v>20</v>
      </c>
      <c r="B22" s="18"/>
      <c r="C22" s="19"/>
      <c r="D22" s="19"/>
      <c r="E22" s="19"/>
      <c r="F22" s="19"/>
      <c r="G22" s="19"/>
      <c r="H22" s="69" t="str">
        <f>IF(C22="XXL (&gt;160h)",168,IF(C22="XL (&gt;40h)",48,IF(C22="L (20-40h)",30,IF(C22="M (10-20h)",15,IF(C22="S (&lt;10h)",5,"")))))</f>
        <v/>
      </c>
      <c r="I22" s="18"/>
      <c r="J22" s="67" t="str">
        <f>IF($E22="Q12028",COUNTIF($E$3:$E22,"Q12028"),"")</f>
        <v/>
      </c>
      <c r="K22" s="67" t="str">
        <f>IF($E22="Q22028",COUNTIF($E$3:$E22,"Q22028"),"")</f>
        <v/>
      </c>
      <c r="L22" s="67" t="str">
        <f>IF($E22="Q32028",COUNTIF($E$3:$E22,"Q32028"),"")</f>
        <v/>
      </c>
      <c r="M22" s="67" t="str">
        <f>IF($E22="Q42028",COUNTIF($E$3:$E22,"Q42028"),"")</f>
        <v/>
      </c>
      <c r="N22" s="67" t="str">
        <f>IF($E22="Backlog",COUNTIF($E$3:$E22,"Backlog"),"")</f>
        <v/>
      </c>
    </row>
    <row r="23" spans="1:14" ht="19.5" customHeight="1">
      <c r="A23" s="65">
        <v>21</v>
      </c>
      <c r="B23" s="16"/>
      <c r="C23" s="17"/>
      <c r="D23" s="17"/>
      <c r="E23" s="17"/>
      <c r="F23" s="17"/>
      <c r="G23" s="17"/>
      <c r="H23" s="66" t="str">
        <f>IF(C23="XXL (&gt;160h)",168,IF(C23="XL (&gt;40h)",48,IF(C23="L (20-40h)",30,IF(C23="M (10-20h)",15,IF(C23="S (&lt;10h)",5,"")))))</f>
        <v/>
      </c>
      <c r="I23" s="16"/>
      <c r="J23" s="67" t="str">
        <f>IF($E23="Q12028",COUNTIF($E$3:$E23,"Q12028"),"")</f>
        <v/>
      </c>
      <c r="K23" s="67" t="str">
        <f>IF($E23="Q22028",COUNTIF($E$3:$E23,"Q22028"),"")</f>
        <v/>
      </c>
      <c r="L23" s="67" t="str">
        <f>IF($E23="Q32028",COUNTIF($E$3:$E23,"Q32028"),"")</f>
        <v/>
      </c>
      <c r="M23" s="67" t="str">
        <f>IF($E23="Q42028",COUNTIF($E$3:$E23,"Q42028"),"")</f>
        <v/>
      </c>
      <c r="N23" s="67" t="str">
        <f>IF($E23="Backlog",COUNTIF($E$3:$E23,"Backlog"),"")</f>
        <v/>
      </c>
    </row>
    <row r="24" spans="1:14" ht="19.5" customHeight="1">
      <c r="A24" s="68">
        <v>22</v>
      </c>
      <c r="B24" s="18"/>
      <c r="C24" s="19"/>
      <c r="D24" s="19"/>
      <c r="E24" s="19"/>
      <c r="F24" s="19"/>
      <c r="G24" s="19"/>
      <c r="H24" s="69" t="str">
        <f>IF(C24="XXL (&gt;160h)",168,IF(C24="XL (&gt;40h)",48,IF(C24="L (20-40h)",30,IF(C24="M (10-20h)",15,IF(C24="S (&lt;10h)",5,"")))))</f>
        <v/>
      </c>
      <c r="I24" s="18"/>
      <c r="J24" s="67" t="str">
        <f>IF($E24="Q12028",COUNTIF($E$3:$E24,"Q12028"),"")</f>
        <v/>
      </c>
      <c r="K24" s="67" t="str">
        <f>IF($E24="Q22028",COUNTIF($E$3:$E24,"Q22028"),"")</f>
        <v/>
      </c>
      <c r="L24" s="67" t="str">
        <f>IF($E24="Q32028",COUNTIF($E$3:$E24,"Q32028"),"")</f>
        <v/>
      </c>
      <c r="M24" s="67" t="str">
        <f>IF($E24="Q42028",COUNTIF($E$3:$E24,"Q42028"),"")</f>
        <v/>
      </c>
      <c r="N24" s="67" t="str">
        <f>IF($E24="Backlog",COUNTIF($E$3:$E24,"Backlog"),"")</f>
        <v/>
      </c>
    </row>
    <row r="25" spans="1:14" ht="19.5" customHeight="1">
      <c r="A25" s="65">
        <v>23</v>
      </c>
      <c r="B25" s="16"/>
      <c r="C25" s="17"/>
      <c r="D25" s="17"/>
      <c r="E25" s="17"/>
      <c r="F25" s="17"/>
      <c r="G25" s="17"/>
      <c r="H25" s="66" t="str">
        <f>IF(C25="XXL (&gt;160h)",168,IF(C25="XL (&gt;40h)",48,IF(C25="L (20-40h)",30,IF(C25="M (10-20h)",15,IF(C25="S (&lt;10h)",5,"")))))</f>
        <v/>
      </c>
      <c r="I25" s="16"/>
      <c r="J25" s="67" t="str">
        <f>IF($E25="Q12028",COUNTIF($E$3:$E25,"Q12028"),"")</f>
        <v/>
      </c>
      <c r="K25" s="67" t="str">
        <f>IF($E25="Q22028",COUNTIF($E$3:$E25,"Q22028"),"")</f>
        <v/>
      </c>
      <c r="L25" s="67" t="str">
        <f>IF($E25="Q32028",COUNTIF($E$3:$E25,"Q32028"),"")</f>
        <v/>
      </c>
      <c r="M25" s="67" t="str">
        <f>IF($E25="Q42028",COUNTIF($E$3:$E25,"Q42028"),"")</f>
        <v/>
      </c>
      <c r="N25" s="67" t="str">
        <f>IF($E25="Backlog",COUNTIF($E$3:$E25,"Backlog"),"")</f>
        <v/>
      </c>
    </row>
    <row r="26" spans="1:14" ht="19.5" customHeight="1">
      <c r="A26" s="68">
        <v>24</v>
      </c>
      <c r="B26" s="18"/>
      <c r="C26" s="19"/>
      <c r="D26" s="19"/>
      <c r="E26" s="19"/>
      <c r="F26" s="19"/>
      <c r="G26" s="19"/>
      <c r="H26" s="69" t="str">
        <f>IF(C26="XXL (&gt;160h)",168,IF(C26="XL (&gt;40h)",48,IF(C26="L (20-40h)",30,IF(C26="M (10-20h)",15,IF(C26="S (&lt;10h)",5,"")))))</f>
        <v/>
      </c>
      <c r="I26" s="18"/>
      <c r="J26" s="67" t="str">
        <f>IF($E26="Q12028",COUNTIF($E$3:$E26,"Q12028"),"")</f>
        <v/>
      </c>
      <c r="K26" s="67" t="str">
        <f>IF($E26="Q22028",COUNTIF($E$3:$E26,"Q22028"),"")</f>
        <v/>
      </c>
      <c r="L26" s="67" t="str">
        <f>IF($E26="Q32028",COUNTIF($E$3:$E26,"Q32028"),"")</f>
        <v/>
      </c>
      <c r="M26" s="67" t="str">
        <f>IF($E26="Q42028",COUNTIF($E$3:$E26,"Q42028"),"")</f>
        <v/>
      </c>
      <c r="N26" s="67" t="str">
        <f>IF($E26="Backlog",COUNTIF($E$3:$E26,"Backlog"),"")</f>
        <v/>
      </c>
    </row>
    <row r="27" spans="1:14" ht="19.5" customHeight="1">
      <c r="A27" s="65">
        <v>25</v>
      </c>
      <c r="B27" s="16"/>
      <c r="C27" s="17"/>
      <c r="D27" s="17"/>
      <c r="E27" s="17"/>
      <c r="F27" s="17"/>
      <c r="G27" s="17"/>
      <c r="H27" s="66" t="str">
        <f>IF(C27="XXL (&gt;160h)",168,IF(C27="XL (&gt;40h)",48,IF(C27="L (20-40h)",30,IF(C27="M (10-20h)",15,IF(C27="S (&lt;10h)",5,"")))))</f>
        <v/>
      </c>
      <c r="I27" s="16"/>
      <c r="J27" s="67" t="str">
        <f>IF($E27="Q12028",COUNTIF($E$3:$E27,"Q12028"),"")</f>
        <v/>
      </c>
      <c r="K27" s="67" t="str">
        <f>IF($E27="Q22028",COUNTIF($E$3:$E27,"Q22028"),"")</f>
        <v/>
      </c>
      <c r="L27" s="67" t="str">
        <f>IF($E27="Q32028",COUNTIF($E$3:$E27,"Q32028"),"")</f>
        <v/>
      </c>
      <c r="M27" s="67" t="str">
        <f>IF($E27="Q42028",COUNTIF($E$3:$E27,"Q42028"),"")</f>
        <v/>
      </c>
      <c r="N27" s="67" t="str">
        <f>IF($E27="Backlog",COUNTIF($E$3:$E27,"Backlog"),"")</f>
        <v/>
      </c>
    </row>
    <row r="28" spans="1:14" ht="19.5" customHeight="1">
      <c r="A28" s="68">
        <v>26</v>
      </c>
      <c r="B28" s="18"/>
      <c r="C28" s="19"/>
      <c r="D28" s="19"/>
      <c r="E28" s="19"/>
      <c r="F28" s="19"/>
      <c r="G28" s="19"/>
      <c r="H28" s="69" t="str">
        <f>IF(C28="XXL (&gt;160h)",168,IF(C28="XL (&gt;40h)",48,IF(C28="L (20-40h)",30,IF(C28="M (10-20h)",15,IF(C28="S (&lt;10h)",5,"")))))</f>
        <v/>
      </c>
      <c r="I28" s="18"/>
      <c r="J28" s="67" t="str">
        <f>IF($E28="Q12028",COUNTIF($E$3:$E28,"Q12028"),"")</f>
        <v/>
      </c>
      <c r="K28" s="67" t="str">
        <f>IF($E28="Q22028",COUNTIF($E$3:$E28,"Q22028"),"")</f>
        <v/>
      </c>
      <c r="L28" s="67" t="str">
        <f>IF($E28="Q32028",COUNTIF($E$3:$E28,"Q32028"),"")</f>
        <v/>
      </c>
      <c r="M28" s="67" t="str">
        <f>IF($E28="Q42028",COUNTIF($E$3:$E28,"Q42028"),"")</f>
        <v/>
      </c>
      <c r="N28" s="67" t="str">
        <f>IF($E28="Backlog",COUNTIF($E$3:$E28,"Backlog"),"")</f>
        <v/>
      </c>
    </row>
    <row r="29" spans="1:14" ht="19.5" customHeight="1">
      <c r="A29" s="65">
        <v>27</v>
      </c>
      <c r="B29" s="16"/>
      <c r="C29" s="17"/>
      <c r="D29" s="17"/>
      <c r="E29" s="17"/>
      <c r="F29" s="17"/>
      <c r="G29" s="17"/>
      <c r="H29" s="66" t="str">
        <f>IF(C29="XXL (&gt;160h)",168,IF(C29="XL (&gt;40h)",48,IF(C29="L (20-40h)",30,IF(C29="M (10-20h)",15,IF(C29="S (&lt;10h)",5,"")))))</f>
        <v/>
      </c>
      <c r="I29" s="16"/>
      <c r="J29" s="67" t="str">
        <f>IF($E29="Q12028",COUNTIF($E$3:$E29,"Q12028"),"")</f>
        <v/>
      </c>
      <c r="K29" s="67" t="str">
        <f>IF($E29="Q22028",COUNTIF($E$3:$E29,"Q22028"),"")</f>
        <v/>
      </c>
      <c r="L29" s="67" t="str">
        <f>IF($E29="Q32028",COUNTIF($E$3:$E29,"Q32028"),"")</f>
        <v/>
      </c>
      <c r="M29" s="67" t="str">
        <f>IF($E29="Q42028",COUNTIF($E$3:$E29,"Q42028"),"")</f>
        <v/>
      </c>
      <c r="N29" s="67" t="str">
        <f>IF($E29="Backlog",COUNTIF($E$3:$E29,"Backlog"),"")</f>
        <v/>
      </c>
    </row>
    <row r="30" spans="1:14" ht="19.5" customHeight="1">
      <c r="A30" s="68">
        <v>28</v>
      </c>
      <c r="B30" s="18"/>
      <c r="C30" s="19"/>
      <c r="D30" s="19"/>
      <c r="E30" s="19"/>
      <c r="F30" s="19"/>
      <c r="G30" s="19"/>
      <c r="H30" s="69" t="str">
        <f>IF(C30="XXL (&gt;160h)",168,IF(C30="XL (&gt;40h)",48,IF(C30="L (20-40h)",30,IF(C30="M (10-20h)",15,IF(C30="S (&lt;10h)",5,"")))))</f>
        <v/>
      </c>
      <c r="I30" s="18"/>
      <c r="J30" s="67" t="str">
        <f>IF($E30="Q12028",COUNTIF($E$3:$E30,"Q12028"),"")</f>
        <v/>
      </c>
      <c r="K30" s="67" t="str">
        <f>IF($E30="Q22028",COUNTIF($E$3:$E30,"Q22028"),"")</f>
        <v/>
      </c>
      <c r="L30" s="67" t="str">
        <f>IF($E30="Q32028",COUNTIF($E$3:$E30,"Q32028"),"")</f>
        <v/>
      </c>
      <c r="M30" s="67" t="str">
        <f>IF($E30="Q42028",COUNTIF($E$3:$E30,"Q42028"),"")</f>
        <v/>
      </c>
      <c r="N30" s="67" t="str">
        <f>IF($E30="Backlog",COUNTIF($E$3:$E30,"Backlog"),"")</f>
        <v/>
      </c>
    </row>
    <row r="31" spans="1:14" ht="19.5" customHeight="1">
      <c r="A31" s="65">
        <v>29</v>
      </c>
      <c r="B31" s="16"/>
      <c r="C31" s="17"/>
      <c r="D31" s="17"/>
      <c r="E31" s="17"/>
      <c r="F31" s="17"/>
      <c r="G31" s="17"/>
      <c r="H31" s="66" t="str">
        <f>IF(C31="XXL (&gt;160h)",168,IF(C31="XL (&gt;40h)",48,IF(C31="L (20-40h)",30,IF(C31="M (10-20h)",15,IF(C31="S (&lt;10h)",5,"")))))</f>
        <v/>
      </c>
      <c r="I31" s="16"/>
      <c r="J31" s="67" t="str">
        <f>IF($E31="Q12028",COUNTIF($E$3:$E31,"Q12028"),"")</f>
        <v/>
      </c>
      <c r="K31" s="67" t="str">
        <f>IF($E31="Q22028",COUNTIF($E$3:$E31,"Q22028"),"")</f>
        <v/>
      </c>
      <c r="L31" s="67" t="str">
        <f>IF($E31="Q32028",COUNTIF($E$3:$E31,"Q32028"),"")</f>
        <v/>
      </c>
      <c r="M31" s="67" t="str">
        <f>IF($E31="Q42028",COUNTIF($E$3:$E31,"Q42028"),"")</f>
        <v/>
      </c>
      <c r="N31" s="67" t="str">
        <f>IF($E31="Backlog",COUNTIF($E$3:$E31,"Backlog"),"")</f>
        <v/>
      </c>
    </row>
    <row r="32" spans="1:14" ht="19.5" customHeight="1">
      <c r="A32" s="68">
        <v>30</v>
      </c>
      <c r="B32" s="18"/>
      <c r="C32" s="19"/>
      <c r="D32" s="19"/>
      <c r="E32" s="19"/>
      <c r="F32" s="19"/>
      <c r="G32" s="19"/>
      <c r="H32" s="69" t="str">
        <f>IF(C32="XXL (&gt;160h)",168,IF(C32="XL (&gt;40h)",48,IF(C32="L (20-40h)",30,IF(C32="M (10-20h)",15,IF(C32="S (&lt;10h)",5,"")))))</f>
        <v/>
      </c>
      <c r="I32" s="18"/>
      <c r="J32" s="67" t="str">
        <f>IF($E32="Q12028",COUNTIF($E$3:$E32,"Q12028"),"")</f>
        <v/>
      </c>
      <c r="K32" s="67" t="str">
        <f>IF($E32="Q22028",COUNTIF($E$3:$E32,"Q22028"),"")</f>
        <v/>
      </c>
      <c r="L32" s="67" t="str">
        <f>IF($E32="Q32028",COUNTIF($E$3:$E32,"Q32028"),"")</f>
        <v/>
      </c>
      <c r="M32" s="67" t="str">
        <f>IF($E32="Q42028",COUNTIF($E$3:$E32,"Q42028"),"")</f>
        <v/>
      </c>
      <c r="N32" s="67" t="str">
        <f>IF($E32="Backlog",COUNTIF($E$3:$E32,"Backlog"),"")</f>
        <v/>
      </c>
    </row>
    <row r="33" spans="1:14" ht="19.5" customHeight="1">
      <c r="A33" s="65">
        <v>31</v>
      </c>
      <c r="B33" s="16"/>
      <c r="C33" s="17"/>
      <c r="D33" s="17"/>
      <c r="E33" s="17"/>
      <c r="F33" s="17"/>
      <c r="G33" s="17"/>
      <c r="H33" s="66" t="str">
        <f>IF(C33="XXL (&gt;160h)",168,IF(C33="XL (&gt;40h)",48,IF(C33="L (20-40h)",30,IF(C33="M (10-20h)",15,IF(C33="S (&lt;10h)",5,"")))))</f>
        <v/>
      </c>
      <c r="I33" s="16"/>
      <c r="J33" s="67" t="str">
        <f>IF($E33="Q12028",COUNTIF($E$3:$E33,"Q12028"),"")</f>
        <v/>
      </c>
      <c r="K33" s="67" t="str">
        <f>IF($E33="Q22028",COUNTIF($E$3:$E33,"Q22028"),"")</f>
        <v/>
      </c>
      <c r="L33" s="67" t="str">
        <f>IF($E33="Q32028",COUNTIF($E$3:$E33,"Q32028"),"")</f>
        <v/>
      </c>
      <c r="M33" s="67" t="str">
        <f>IF($E33="Q42028",COUNTIF($E$3:$E33,"Q42028"),"")</f>
        <v/>
      </c>
      <c r="N33" s="67" t="str">
        <f>IF($E33="Backlog",COUNTIF($E$3:$E33,"Backlog"),"")</f>
        <v/>
      </c>
    </row>
    <row r="34" spans="1:14" ht="19.5" customHeight="1">
      <c r="A34" s="68">
        <v>32</v>
      </c>
      <c r="B34" s="18"/>
      <c r="C34" s="19"/>
      <c r="D34" s="19"/>
      <c r="E34" s="19"/>
      <c r="F34" s="19"/>
      <c r="G34" s="19"/>
      <c r="H34" s="69" t="str">
        <f>IF(C34="XXL (&gt;160h)",168,IF(C34="XL (&gt;40h)",48,IF(C34="L (20-40h)",30,IF(C34="M (10-20h)",15,IF(C34="S (&lt;10h)",5,"")))))</f>
        <v/>
      </c>
      <c r="I34" s="18"/>
      <c r="J34" s="67" t="str">
        <f>IF($E34="Q12028",COUNTIF($E$3:$E34,"Q12028"),"")</f>
        <v/>
      </c>
      <c r="K34" s="67" t="str">
        <f>IF($E34="Q22028",COUNTIF($E$3:$E34,"Q22028"),"")</f>
        <v/>
      </c>
      <c r="L34" s="67" t="str">
        <f>IF($E34="Q32028",COUNTIF($E$3:$E34,"Q32028"),"")</f>
        <v/>
      </c>
      <c r="M34" s="67" t="str">
        <f>IF($E34="Q42028",COUNTIF($E$3:$E34,"Q42028"),"")</f>
        <v/>
      </c>
      <c r="N34" s="67" t="str">
        <f>IF($E34="Backlog",COUNTIF($E$3:$E34,"Backlog"),"")</f>
        <v/>
      </c>
    </row>
    <row r="35" spans="1:14" ht="19.5" customHeight="1">
      <c r="A35" s="65">
        <v>33</v>
      </c>
      <c r="B35" s="16"/>
      <c r="C35" s="17"/>
      <c r="D35" s="17"/>
      <c r="E35" s="17"/>
      <c r="F35" s="17"/>
      <c r="G35" s="17"/>
      <c r="H35" s="66" t="str">
        <f>IF(C35="XXL (&gt;160h)",168,IF(C35="XL (&gt;40h)",48,IF(C35="L (20-40h)",30,IF(C35="M (10-20h)",15,IF(C35="S (&lt;10h)",5,"")))))</f>
        <v/>
      </c>
      <c r="I35" s="16"/>
      <c r="J35" s="67" t="str">
        <f>IF($E35="Q12028",COUNTIF($E$3:$E35,"Q12028"),"")</f>
        <v/>
      </c>
      <c r="K35" s="67" t="str">
        <f>IF($E35="Q22028",COUNTIF($E$3:$E35,"Q22028"),"")</f>
        <v/>
      </c>
      <c r="L35" s="67" t="str">
        <f>IF($E35="Q32028",COUNTIF($E$3:$E35,"Q32028"),"")</f>
        <v/>
      </c>
      <c r="M35" s="67" t="str">
        <f>IF($E35="Q42028",COUNTIF($E$3:$E35,"Q42028"),"")</f>
        <v/>
      </c>
      <c r="N35" s="67" t="str">
        <f>IF($E35="Backlog",COUNTIF($E$3:$E35,"Backlog"),"")</f>
        <v/>
      </c>
    </row>
    <row r="36" spans="1:14" ht="19.5" customHeight="1">
      <c r="A36" s="68">
        <v>34</v>
      </c>
      <c r="B36" s="18"/>
      <c r="C36" s="19"/>
      <c r="D36" s="19"/>
      <c r="E36" s="19"/>
      <c r="F36" s="19"/>
      <c r="G36" s="19"/>
      <c r="H36" s="69" t="str">
        <f>IF(C36="XXL (&gt;160h)",168,IF(C36="XL (&gt;40h)",48,IF(C36="L (20-40h)",30,IF(C36="M (10-20h)",15,IF(C36="S (&lt;10h)",5,"")))))</f>
        <v/>
      </c>
      <c r="I36" s="18"/>
      <c r="J36" s="67" t="str">
        <f>IF($E36="Q12028",COUNTIF($E$3:$E36,"Q12028"),"")</f>
        <v/>
      </c>
      <c r="K36" s="67" t="str">
        <f>IF($E36="Q22028",COUNTIF($E$3:$E36,"Q22028"),"")</f>
        <v/>
      </c>
      <c r="L36" s="67" t="str">
        <f>IF($E36="Q32028",COUNTIF($E$3:$E36,"Q32028"),"")</f>
        <v/>
      </c>
      <c r="M36" s="67" t="str">
        <f>IF($E36="Q42028",COUNTIF($E$3:$E36,"Q42028"),"")</f>
        <v/>
      </c>
      <c r="N36" s="67" t="str">
        <f>IF($E36="Backlog",COUNTIF($E$3:$E36,"Backlog"),"")</f>
        <v/>
      </c>
    </row>
    <row r="37" spans="1:14" ht="19.5" customHeight="1">
      <c r="A37" s="65">
        <v>35</v>
      </c>
      <c r="B37" s="16"/>
      <c r="C37" s="17"/>
      <c r="D37" s="17"/>
      <c r="E37" s="17"/>
      <c r="F37" s="17"/>
      <c r="G37" s="17"/>
      <c r="H37" s="66" t="str">
        <f>IF(C37="XXL (&gt;160h)",168,IF(C37="XL (&gt;40h)",48,IF(C37="L (20-40h)",30,IF(C37="M (10-20h)",15,IF(C37="S (&lt;10h)",5,"")))))</f>
        <v/>
      </c>
      <c r="I37" s="16"/>
      <c r="J37" s="67" t="str">
        <f>IF($E37="Q12028",COUNTIF($E$3:$E37,"Q12028"),"")</f>
        <v/>
      </c>
      <c r="K37" s="67" t="str">
        <f>IF($E37="Q22028",COUNTIF($E$3:$E37,"Q22028"),"")</f>
        <v/>
      </c>
      <c r="L37" s="67" t="str">
        <f>IF($E37="Q32028",COUNTIF($E$3:$E37,"Q32028"),"")</f>
        <v/>
      </c>
      <c r="M37" s="67" t="str">
        <f>IF($E37="Q42028",COUNTIF($E$3:$E37,"Q42028"),"")</f>
        <v/>
      </c>
      <c r="N37" s="67" t="str">
        <f>IF($E37="Backlog",COUNTIF($E$3:$E37,"Backlog"),"")</f>
        <v/>
      </c>
    </row>
    <row r="38" spans="1:14" ht="19.5" customHeight="1">
      <c r="A38" s="68">
        <v>36</v>
      </c>
      <c r="B38" s="18"/>
      <c r="C38" s="19"/>
      <c r="D38" s="19"/>
      <c r="E38" s="19"/>
      <c r="F38" s="19"/>
      <c r="G38" s="19"/>
      <c r="H38" s="69" t="str">
        <f>IF(C38="XXL (&gt;160h)",168,IF(C38="XL (&gt;40h)",48,IF(C38="L (20-40h)",30,IF(C38="M (10-20h)",15,IF(C38="S (&lt;10h)",5,"")))))</f>
        <v/>
      </c>
      <c r="I38" s="18"/>
      <c r="J38" s="67" t="str">
        <f>IF($E38="Q12028",COUNTIF($E$3:$E38,"Q12028"),"")</f>
        <v/>
      </c>
      <c r="K38" s="67" t="str">
        <f>IF($E38="Q22028",COUNTIF($E$3:$E38,"Q22028"),"")</f>
        <v/>
      </c>
      <c r="L38" s="67" t="str">
        <f>IF($E38="Q32028",COUNTIF($E$3:$E38,"Q32028"),"")</f>
        <v/>
      </c>
      <c r="M38" s="67" t="str">
        <f>IF($E38="Q42028",COUNTIF($E$3:$E38,"Q42028"),"")</f>
        <v/>
      </c>
      <c r="N38" s="67" t="str">
        <f>IF($E38="Backlog",COUNTIF($E$3:$E38,"Backlog"),"")</f>
        <v/>
      </c>
    </row>
    <row r="39" spans="1:14" ht="19.5" customHeight="1">
      <c r="A39" s="65">
        <v>37</v>
      </c>
      <c r="B39" s="16"/>
      <c r="C39" s="17"/>
      <c r="D39" s="17"/>
      <c r="E39" s="17"/>
      <c r="F39" s="17"/>
      <c r="G39" s="17"/>
      <c r="H39" s="66" t="str">
        <f>IF(C39="XXL (&gt;160h)",168,IF(C39="XL (&gt;40h)",48,IF(C39="L (20-40h)",30,IF(C39="M (10-20h)",15,IF(C39="S (&lt;10h)",5,"")))))</f>
        <v/>
      </c>
      <c r="I39" s="16"/>
      <c r="J39" s="67" t="str">
        <f>IF($E39="Q12028",COUNTIF($E$3:$E39,"Q12028"),"")</f>
        <v/>
      </c>
      <c r="K39" s="67" t="str">
        <f>IF($E39="Q22028",COUNTIF($E$3:$E39,"Q22028"),"")</f>
        <v/>
      </c>
      <c r="L39" s="67" t="str">
        <f>IF($E39="Q32028",COUNTIF($E$3:$E39,"Q32028"),"")</f>
        <v/>
      </c>
      <c r="M39" s="67" t="str">
        <f>IF($E39="Q42028",COUNTIF($E$3:$E39,"Q42028"),"")</f>
        <v/>
      </c>
      <c r="N39" s="67" t="str">
        <f>IF($E39="Backlog",COUNTIF($E$3:$E39,"Backlog"),"")</f>
        <v/>
      </c>
    </row>
    <row r="40" spans="1:14" ht="19.5" customHeight="1">
      <c r="A40" s="68">
        <v>38</v>
      </c>
      <c r="B40" s="18"/>
      <c r="C40" s="19"/>
      <c r="D40" s="19"/>
      <c r="E40" s="19"/>
      <c r="F40" s="19"/>
      <c r="G40" s="19"/>
      <c r="H40" s="69" t="str">
        <f>IF(C40="XXL (&gt;160h)",168,IF(C40="XL (&gt;40h)",48,IF(C40="L (20-40h)",30,IF(C40="M (10-20h)",15,IF(C40="S (&lt;10h)",5,"")))))</f>
        <v/>
      </c>
      <c r="I40" s="18"/>
      <c r="J40" s="67" t="str">
        <f>IF($E40="Q12028",COUNTIF($E$3:$E40,"Q12028"),"")</f>
        <v/>
      </c>
      <c r="K40" s="67" t="str">
        <f>IF($E40="Q22028",COUNTIF($E$3:$E40,"Q22028"),"")</f>
        <v/>
      </c>
      <c r="L40" s="67" t="str">
        <f>IF($E40="Q32028",COUNTIF($E$3:$E40,"Q32028"),"")</f>
        <v/>
      </c>
      <c r="M40" s="67" t="str">
        <f>IF($E40="Q42028",COUNTIF($E$3:$E40,"Q42028"),"")</f>
        <v/>
      </c>
      <c r="N40" s="67" t="str">
        <f>IF($E40="Backlog",COUNTIF($E$3:$E40,"Backlog"),"")</f>
        <v/>
      </c>
    </row>
    <row r="41" spans="1:14" ht="19.5" customHeight="1">
      <c r="A41" s="65">
        <v>39</v>
      </c>
      <c r="B41" s="16"/>
      <c r="C41" s="17"/>
      <c r="D41" s="17"/>
      <c r="E41" s="17"/>
      <c r="F41" s="17"/>
      <c r="G41" s="17"/>
      <c r="H41" s="66" t="str">
        <f>IF(C41="XXL (&gt;160h)",168,IF(C41="XL (&gt;40h)",48,IF(C41="L (20-40h)",30,IF(C41="M (10-20h)",15,IF(C41="S (&lt;10h)",5,"")))))</f>
        <v/>
      </c>
      <c r="I41" s="16"/>
      <c r="J41" s="67" t="str">
        <f>IF($E41="Q12028",COUNTIF($E$3:$E41,"Q12028"),"")</f>
        <v/>
      </c>
      <c r="K41" s="67" t="str">
        <f>IF($E41="Q22028",COUNTIF($E$3:$E41,"Q22028"),"")</f>
        <v/>
      </c>
      <c r="L41" s="67" t="str">
        <f>IF($E41="Q32028",COUNTIF($E$3:$E41,"Q32028"),"")</f>
        <v/>
      </c>
      <c r="M41" s="67" t="str">
        <f>IF($E41="Q42028",COUNTIF($E$3:$E41,"Q42028"),"")</f>
        <v/>
      </c>
      <c r="N41" s="67" t="str">
        <f>IF($E41="Backlog",COUNTIF($E$3:$E41,"Backlog"),"")</f>
        <v/>
      </c>
    </row>
    <row r="42" spans="1:14" ht="19.5" customHeight="1">
      <c r="A42" s="68">
        <v>40</v>
      </c>
      <c r="B42" s="18"/>
      <c r="C42" s="19"/>
      <c r="D42" s="19"/>
      <c r="E42" s="19"/>
      <c r="F42" s="19"/>
      <c r="G42" s="19"/>
      <c r="H42" s="69" t="str">
        <f>IF(C42="XXL (&gt;160h)",168,IF(C42="XL (&gt;40h)",48,IF(C42="L (20-40h)",30,IF(C42="M (10-20h)",15,IF(C42="S (&lt;10h)",5,"")))))</f>
        <v/>
      </c>
      <c r="I42" s="18"/>
      <c r="J42" s="67" t="str">
        <f>IF($E42="Q12028",COUNTIF($E$3:$E42,"Q12028"),"")</f>
        <v/>
      </c>
      <c r="K42" s="67" t="str">
        <f>IF($E42="Q22028",COUNTIF($E$3:$E42,"Q22028"),"")</f>
        <v/>
      </c>
      <c r="L42" s="67" t="str">
        <f>IF($E42="Q32028",COUNTIF($E$3:$E42,"Q32028"),"")</f>
        <v/>
      </c>
      <c r="M42" s="67" t="str">
        <f>IF($E42="Q42028",COUNTIF($E$3:$E42,"Q42028"),"")</f>
        <v/>
      </c>
      <c r="N42" s="67" t="str">
        <f>IF($E42="Backlog",COUNTIF($E$3:$E42,"Backlog"),"")</f>
        <v/>
      </c>
    </row>
    <row r="43" spans="1:14" ht="19.5" customHeight="1">
      <c r="A43" s="65">
        <v>41</v>
      </c>
      <c r="B43" s="16"/>
      <c r="C43" s="17"/>
      <c r="D43" s="17"/>
      <c r="E43" s="17"/>
      <c r="F43" s="17"/>
      <c r="G43" s="17"/>
      <c r="H43" s="66" t="str">
        <f>IF(C43="XXL (&gt;160h)",168,IF(C43="XL (&gt;40h)",48,IF(C43="L (20-40h)",30,IF(C43="M (10-20h)",15,IF(C43="S (&lt;10h)",5,"")))))</f>
        <v/>
      </c>
      <c r="I43" s="16"/>
      <c r="J43" s="67" t="str">
        <f>IF($E43="Q12028",COUNTIF($E$3:$E43,"Q12028"),"")</f>
        <v/>
      </c>
      <c r="K43" s="67" t="str">
        <f>IF($E43="Q22028",COUNTIF($E$3:$E43,"Q22028"),"")</f>
        <v/>
      </c>
      <c r="L43" s="67" t="str">
        <f>IF($E43="Q32028",COUNTIF($E$3:$E43,"Q32028"),"")</f>
        <v/>
      </c>
      <c r="M43" s="67" t="str">
        <f>IF($E43="Q42028",COUNTIF($E$3:$E43,"Q42028"),"")</f>
        <v/>
      </c>
      <c r="N43" s="67" t="str">
        <f>IF($E43="Backlog",COUNTIF($E$3:$E43,"Backlog"),"")</f>
        <v/>
      </c>
    </row>
    <row r="44" spans="1:14" ht="19.5" customHeight="1">
      <c r="A44" s="68">
        <v>42</v>
      </c>
      <c r="B44" s="18"/>
      <c r="C44" s="19"/>
      <c r="D44" s="19"/>
      <c r="E44" s="19"/>
      <c r="F44" s="19"/>
      <c r="G44" s="19"/>
      <c r="H44" s="69" t="str">
        <f>IF(C44="XXL (&gt;160h)",168,IF(C44="XL (&gt;40h)",48,IF(C44="L (20-40h)",30,IF(C44="M (10-20h)",15,IF(C44="S (&lt;10h)",5,"")))))</f>
        <v/>
      </c>
      <c r="I44" s="18"/>
      <c r="J44" s="67" t="str">
        <f>IF($E44="Q12028",COUNTIF($E$3:$E44,"Q12028"),"")</f>
        <v/>
      </c>
      <c r="K44" s="67" t="str">
        <f>IF($E44="Q22028",COUNTIF($E$3:$E44,"Q22028"),"")</f>
        <v/>
      </c>
      <c r="L44" s="67" t="str">
        <f>IF($E44="Q32028",COUNTIF($E$3:$E44,"Q32028"),"")</f>
        <v/>
      </c>
      <c r="M44" s="67" t="str">
        <f>IF($E44="Q42028",COUNTIF($E$3:$E44,"Q42028"),"")</f>
        <v/>
      </c>
      <c r="N44" s="67" t="str">
        <f>IF($E44="Backlog",COUNTIF($E$3:$E44,"Backlog"),"")</f>
        <v/>
      </c>
    </row>
    <row r="45" spans="1:14" ht="19.5" customHeight="1">
      <c r="A45" s="65">
        <v>43</v>
      </c>
      <c r="B45" s="16"/>
      <c r="C45" s="17"/>
      <c r="D45" s="17"/>
      <c r="E45" s="17"/>
      <c r="F45" s="17"/>
      <c r="G45" s="17"/>
      <c r="H45" s="66" t="str">
        <f>IF(C45="XXL (&gt;160h)",168,IF(C45="XL (&gt;40h)",48,IF(C45="L (20-40h)",30,IF(C45="M (10-20h)",15,IF(C45="S (&lt;10h)",5,"")))))</f>
        <v/>
      </c>
      <c r="I45" s="16"/>
      <c r="J45" s="67" t="str">
        <f>IF($E45="Q12028",COUNTIF($E$3:$E45,"Q12028"),"")</f>
        <v/>
      </c>
      <c r="K45" s="67" t="str">
        <f>IF($E45="Q22028",COUNTIF($E$3:$E45,"Q22028"),"")</f>
        <v/>
      </c>
      <c r="L45" s="67" t="str">
        <f>IF($E45="Q32028",COUNTIF($E$3:$E45,"Q32028"),"")</f>
        <v/>
      </c>
      <c r="M45" s="67" t="str">
        <f>IF($E45="Q42028",COUNTIF($E$3:$E45,"Q42028"),"")</f>
        <v/>
      </c>
      <c r="N45" s="67" t="str">
        <f>IF($E45="Backlog",COUNTIF($E$3:$E45,"Backlog"),"")</f>
        <v/>
      </c>
    </row>
    <row r="46" spans="1:14" ht="19.5" customHeight="1">
      <c r="A46" s="68">
        <v>44</v>
      </c>
      <c r="B46" s="18"/>
      <c r="C46" s="19"/>
      <c r="D46" s="19"/>
      <c r="E46" s="19"/>
      <c r="F46" s="19"/>
      <c r="G46" s="19"/>
      <c r="H46" s="69" t="str">
        <f>IF(C46="XXL (&gt;160h)",168,IF(C46="XL (&gt;40h)",48,IF(C46="L (20-40h)",30,IF(C46="M (10-20h)",15,IF(C46="S (&lt;10h)",5,"")))))</f>
        <v/>
      </c>
      <c r="I46" s="18"/>
      <c r="J46" s="67" t="str">
        <f>IF($E46="Q12028",COUNTIF($E$3:$E46,"Q12028"),"")</f>
        <v/>
      </c>
      <c r="K46" s="67" t="str">
        <f>IF($E46="Q22028",COUNTIF($E$3:$E46,"Q22028"),"")</f>
        <v/>
      </c>
      <c r="L46" s="67" t="str">
        <f>IF($E46="Q32028",COUNTIF($E$3:$E46,"Q32028"),"")</f>
        <v/>
      </c>
      <c r="M46" s="67" t="str">
        <f>IF($E46="Q42028",COUNTIF($E$3:$E46,"Q42028"),"")</f>
        <v/>
      </c>
      <c r="N46" s="67" t="str">
        <f>IF($E46="Backlog",COUNTIF($E$3:$E46,"Backlog"),"")</f>
        <v/>
      </c>
    </row>
    <row r="47" spans="1:14" ht="19.5" customHeight="1">
      <c r="A47" s="65">
        <v>45</v>
      </c>
      <c r="B47" s="16"/>
      <c r="C47" s="17"/>
      <c r="D47" s="17"/>
      <c r="E47" s="17"/>
      <c r="F47" s="17"/>
      <c r="G47" s="17"/>
      <c r="H47" s="66" t="str">
        <f>IF(C47="XXL (&gt;160h)",168,IF(C47="XL (&gt;40h)",48,IF(C47="L (20-40h)",30,IF(C47="M (10-20h)",15,IF(C47="S (&lt;10h)",5,"")))))</f>
        <v/>
      </c>
      <c r="I47" s="16"/>
      <c r="J47" s="67" t="str">
        <f>IF($E47="Q12028",COUNTIF($E$3:$E47,"Q12028"),"")</f>
        <v/>
      </c>
      <c r="K47" s="67" t="str">
        <f>IF($E47="Q22028",COUNTIF($E$3:$E47,"Q22028"),"")</f>
        <v/>
      </c>
      <c r="L47" s="67" t="str">
        <f>IF($E47="Q32028",COUNTIF($E$3:$E47,"Q32028"),"")</f>
        <v/>
      </c>
      <c r="M47" s="67" t="str">
        <f>IF($E47="Q42028",COUNTIF($E$3:$E47,"Q42028"),"")</f>
        <v/>
      </c>
      <c r="N47" s="67" t="str">
        <f>IF($E47="Backlog",COUNTIF($E$3:$E47,"Backlog"),"")</f>
        <v/>
      </c>
    </row>
    <row r="48" spans="1:14" ht="19.5" customHeight="1">
      <c r="A48" s="68">
        <v>46</v>
      </c>
      <c r="B48" s="18"/>
      <c r="C48" s="19"/>
      <c r="D48" s="19"/>
      <c r="E48" s="19"/>
      <c r="F48" s="19"/>
      <c r="G48" s="19"/>
      <c r="H48" s="69" t="str">
        <f>IF(C48="XXL (&gt;160h)",168,IF(C48="XL (&gt;40h)",48,IF(C48="L (20-40h)",30,IF(C48="M (10-20h)",15,IF(C48="S (&lt;10h)",5,"")))))</f>
        <v/>
      </c>
      <c r="I48" s="18"/>
      <c r="J48" s="67" t="str">
        <f>IF($E48="Q12028",COUNTIF($E$3:$E48,"Q12028"),"")</f>
        <v/>
      </c>
      <c r="K48" s="67" t="str">
        <f>IF($E48="Q22028",COUNTIF($E$3:$E48,"Q22028"),"")</f>
        <v/>
      </c>
      <c r="L48" s="67" t="str">
        <f>IF($E48="Q32028",COUNTIF($E$3:$E48,"Q32028"),"")</f>
        <v/>
      </c>
      <c r="M48" s="67" t="str">
        <f>IF($E48="Q42028",COUNTIF($E$3:$E48,"Q42028"),"")</f>
        <v/>
      </c>
      <c r="N48" s="67" t="str">
        <f>IF($E48="Backlog",COUNTIF($E$3:$E48,"Backlog"),"")</f>
        <v/>
      </c>
    </row>
    <row r="49" spans="1:14" ht="19.5" customHeight="1">
      <c r="A49" s="65">
        <v>47</v>
      </c>
      <c r="B49" s="16"/>
      <c r="C49" s="17"/>
      <c r="D49" s="17"/>
      <c r="E49" s="17"/>
      <c r="F49" s="17"/>
      <c r="G49" s="17"/>
      <c r="H49" s="66" t="str">
        <f>IF(C49="XXL (&gt;160h)",168,IF(C49="XL (&gt;40h)",48,IF(C49="L (20-40h)",30,IF(C49="M (10-20h)",15,IF(C49="S (&lt;10h)",5,"")))))</f>
        <v/>
      </c>
      <c r="I49" s="16"/>
      <c r="J49" s="67" t="str">
        <f>IF($E49="Q12028",COUNTIF($E$3:$E49,"Q12028"),"")</f>
        <v/>
      </c>
      <c r="K49" s="67" t="str">
        <f>IF($E49="Q22028",COUNTIF($E$3:$E49,"Q22028"),"")</f>
        <v/>
      </c>
      <c r="L49" s="67" t="str">
        <f>IF($E49="Q32028",COUNTIF($E$3:$E49,"Q32028"),"")</f>
        <v/>
      </c>
      <c r="M49" s="67" t="str">
        <f>IF($E49="Q42028",COUNTIF($E$3:$E49,"Q42028"),"")</f>
        <v/>
      </c>
      <c r="N49" s="67" t="str">
        <f>IF($E49="Backlog",COUNTIF($E$3:$E49,"Backlog"),"")</f>
        <v/>
      </c>
    </row>
    <row r="50" spans="1:14" ht="19.5" customHeight="1">
      <c r="A50" s="68">
        <v>48</v>
      </c>
      <c r="B50" s="18"/>
      <c r="C50" s="19"/>
      <c r="D50" s="19"/>
      <c r="E50" s="19"/>
      <c r="F50" s="19"/>
      <c r="G50" s="19"/>
      <c r="H50" s="69" t="str">
        <f>IF(C50="XXL (&gt;160h)",168,IF(C50="XL (&gt;40h)",48,IF(C50="L (20-40h)",30,IF(C50="M (10-20h)",15,IF(C50="S (&lt;10h)",5,"")))))</f>
        <v/>
      </c>
      <c r="I50" s="18"/>
      <c r="J50" s="67" t="str">
        <f>IF($E50="Q12028",COUNTIF($E$3:$E50,"Q12028"),"")</f>
        <v/>
      </c>
      <c r="K50" s="67" t="str">
        <f>IF($E50="Q22028",COUNTIF($E$3:$E50,"Q22028"),"")</f>
        <v/>
      </c>
      <c r="L50" s="67" t="str">
        <f>IF($E50="Q32028",COUNTIF($E$3:$E50,"Q32028"),"")</f>
        <v/>
      </c>
      <c r="M50" s="67" t="str">
        <f>IF($E50="Q42028",COUNTIF($E$3:$E50,"Q42028"),"")</f>
        <v/>
      </c>
      <c r="N50" s="67" t="str">
        <f>IF($E50="Backlog",COUNTIF($E$3:$E50,"Backlog"),"")</f>
        <v/>
      </c>
    </row>
    <row r="51" spans="1:14" ht="19.5" customHeight="1">
      <c r="A51" s="65">
        <v>49</v>
      </c>
      <c r="B51" s="16"/>
      <c r="C51" s="17"/>
      <c r="D51" s="17"/>
      <c r="E51" s="17"/>
      <c r="F51" s="17"/>
      <c r="G51" s="17"/>
      <c r="H51" s="66" t="str">
        <f>IF(C51="XXL (&gt;160h)",168,IF(C51="XL (&gt;40h)",48,IF(C51="L (20-40h)",30,IF(C51="M (10-20h)",15,IF(C51="S (&lt;10h)",5,"")))))</f>
        <v/>
      </c>
      <c r="I51" s="16"/>
      <c r="J51" s="67" t="str">
        <f>IF($E51="Q12028",COUNTIF($E$3:$E51,"Q12028"),"")</f>
        <v/>
      </c>
      <c r="K51" s="67" t="str">
        <f>IF($E51="Q22028",COUNTIF($E$3:$E51,"Q22028"),"")</f>
        <v/>
      </c>
      <c r="L51" s="67" t="str">
        <f>IF($E51="Q32028",COUNTIF($E$3:$E51,"Q32028"),"")</f>
        <v/>
      </c>
      <c r="M51" s="67" t="str">
        <f>IF($E51="Q42028",COUNTIF($E$3:$E51,"Q42028"),"")</f>
        <v/>
      </c>
      <c r="N51" s="67" t="str">
        <f>IF($E51="Backlog",COUNTIF($E$3:$E51,"Backlog"),"")</f>
        <v/>
      </c>
    </row>
    <row r="52" spans="1:14" ht="19.5" customHeight="1">
      <c r="A52" s="68">
        <v>50</v>
      </c>
      <c r="B52" s="18"/>
      <c r="C52" s="19"/>
      <c r="D52" s="19"/>
      <c r="E52" s="19"/>
      <c r="F52" s="19"/>
      <c r="G52" s="19"/>
      <c r="H52" s="69" t="str">
        <f>IF(C52="XXL (&gt;160h)",168,IF(C52="XL (&gt;40h)",48,IF(C52="L (20-40h)",30,IF(C52="M (10-20h)",15,IF(C52="S (&lt;10h)",5,"")))))</f>
        <v/>
      </c>
      <c r="I52" s="18"/>
      <c r="J52" s="67" t="str">
        <f>IF($E52="Q12028",COUNTIF($E$3:$E52,"Q12028"),"")</f>
        <v/>
      </c>
      <c r="K52" s="67" t="str">
        <f>IF($E52="Q22028",COUNTIF($E$3:$E52,"Q22028"),"")</f>
        <v/>
      </c>
      <c r="L52" s="67" t="str">
        <f>IF($E52="Q32028",COUNTIF($E$3:$E52,"Q32028"),"")</f>
        <v/>
      </c>
      <c r="M52" s="67" t="str">
        <f>IF($E52="Q42028",COUNTIF($E$3:$E52,"Q42028"),"")</f>
        <v/>
      </c>
      <c r="N52" s="67" t="str">
        <f>IF($E52="Backlog",COUNTIF($E$3:$E52,"Backlog"),"")</f>
        <v/>
      </c>
    </row>
    <row r="53" spans="1:14" ht="19.5" customHeight="1">
      <c r="A53" s="65">
        <v>51</v>
      </c>
      <c r="B53" s="16"/>
      <c r="C53" s="17"/>
      <c r="D53" s="17"/>
      <c r="E53" s="17"/>
      <c r="F53" s="17"/>
      <c r="G53" s="17"/>
      <c r="H53" s="66" t="str">
        <f>IF(C53="XXL (&gt;160h)",168,IF(C53="XL (&gt;40h)",48,IF(C53="L (20-40h)",30,IF(C53="M (10-20h)",15,IF(C53="S (&lt;10h)",5,"")))))</f>
        <v/>
      </c>
      <c r="I53" s="16"/>
      <c r="J53" s="67" t="str">
        <f>IF($E53="Q12028",COUNTIF($E$3:$E53,"Q12028"),"")</f>
        <v/>
      </c>
      <c r="K53" s="67" t="str">
        <f>IF($E53="Q22028",COUNTIF($E$3:$E53,"Q22028"),"")</f>
        <v/>
      </c>
      <c r="L53" s="67" t="str">
        <f>IF($E53="Q32028",COUNTIF($E$3:$E53,"Q32028"),"")</f>
        <v/>
      </c>
      <c r="M53" s="67" t="str">
        <f>IF($E53="Q42028",COUNTIF($E$3:$E53,"Q42028"),"")</f>
        <v/>
      </c>
      <c r="N53" s="67" t="str">
        <f>IF($E53="Backlog",COUNTIF($E$3:$E53,"Backlog"),"")</f>
        <v/>
      </c>
    </row>
    <row r="54" spans="1:14" ht="19.5" customHeight="1">
      <c r="A54" s="68">
        <v>52</v>
      </c>
      <c r="B54" s="18"/>
      <c r="C54" s="19"/>
      <c r="D54" s="19"/>
      <c r="E54" s="19"/>
      <c r="F54" s="19"/>
      <c r="G54" s="19"/>
      <c r="H54" s="69" t="str">
        <f>IF(C54="XXL (&gt;160h)",168,IF(C54="XL (&gt;40h)",48,IF(C54="L (20-40h)",30,IF(C54="M (10-20h)",15,IF(C54="S (&lt;10h)",5,"")))))</f>
        <v/>
      </c>
      <c r="I54" s="18"/>
      <c r="J54" s="67" t="str">
        <f>IF($E54="Q12028",COUNTIF($E$3:$E54,"Q12028"),"")</f>
        <v/>
      </c>
      <c r="K54" s="67" t="str">
        <f>IF($E54="Q22028",COUNTIF($E$3:$E54,"Q22028"),"")</f>
        <v/>
      </c>
      <c r="L54" s="67" t="str">
        <f>IF($E54="Q32028",COUNTIF($E$3:$E54,"Q32028"),"")</f>
        <v/>
      </c>
      <c r="M54" s="67" t="str">
        <f>IF($E54="Q42028",COUNTIF($E$3:$E54,"Q42028"),"")</f>
        <v/>
      </c>
      <c r="N54" s="67" t="str">
        <f>IF($E54="Backlog",COUNTIF($E$3:$E54,"Backlog"),"")</f>
        <v/>
      </c>
    </row>
    <row r="55" spans="1:14" ht="19.5" customHeight="1">
      <c r="A55" s="65">
        <v>53</v>
      </c>
      <c r="B55" s="16"/>
      <c r="C55" s="17"/>
      <c r="D55" s="17"/>
      <c r="E55" s="17"/>
      <c r="F55" s="17"/>
      <c r="G55" s="17"/>
      <c r="H55" s="66" t="str">
        <f>IF(C55="XXL (&gt;160h)",168,IF(C55="XL (&gt;40h)",48,IF(C55="L (20-40h)",30,IF(C55="M (10-20h)",15,IF(C55="S (&lt;10h)",5,"")))))</f>
        <v/>
      </c>
      <c r="I55" s="16"/>
      <c r="J55" s="67" t="str">
        <f>IF($E55="Q12028",COUNTIF($E$3:$E55,"Q12028"),"")</f>
        <v/>
      </c>
      <c r="K55" s="67" t="str">
        <f>IF($E55="Q22028",COUNTIF($E$3:$E55,"Q22028"),"")</f>
        <v/>
      </c>
      <c r="L55" s="67" t="str">
        <f>IF($E55="Q32028",COUNTIF($E$3:$E55,"Q32028"),"")</f>
        <v/>
      </c>
      <c r="M55" s="67" t="str">
        <f>IF($E55="Q42028",COUNTIF($E$3:$E55,"Q42028"),"")</f>
        <v/>
      </c>
      <c r="N55" s="67" t="str">
        <f>IF($E55="Backlog",COUNTIF($E$3:$E55,"Backlog"),"")</f>
        <v/>
      </c>
    </row>
    <row r="56" spans="1:14" ht="19.5" customHeight="1">
      <c r="A56" s="68">
        <v>54</v>
      </c>
      <c r="B56" s="18"/>
      <c r="C56" s="19"/>
      <c r="D56" s="19"/>
      <c r="E56" s="19"/>
      <c r="F56" s="19"/>
      <c r="G56" s="19"/>
      <c r="H56" s="69" t="str">
        <f>IF(C56="XXL (&gt;160h)",168,IF(C56="XL (&gt;40h)",48,IF(C56="L (20-40h)",30,IF(C56="M (10-20h)",15,IF(C56="S (&lt;10h)",5,"")))))</f>
        <v/>
      </c>
      <c r="I56" s="18"/>
      <c r="J56" s="67" t="str">
        <f>IF($E56="Q12028",COUNTIF($E$3:$E56,"Q12028"),"")</f>
        <v/>
      </c>
      <c r="K56" s="67" t="str">
        <f>IF($E56="Q22028",COUNTIF($E$3:$E56,"Q22028"),"")</f>
        <v/>
      </c>
      <c r="L56" s="67" t="str">
        <f>IF($E56="Q32028",COUNTIF($E$3:$E56,"Q32028"),"")</f>
        <v/>
      </c>
      <c r="M56" s="67" t="str">
        <f>IF($E56="Q42028",COUNTIF($E$3:$E56,"Q42028"),"")</f>
        <v/>
      </c>
      <c r="N56" s="67" t="str">
        <f>IF($E56="Backlog",COUNTIF($E$3:$E56,"Backlog"),"")</f>
        <v/>
      </c>
    </row>
    <row r="57" spans="1:14" ht="19.5" customHeight="1">
      <c r="A57" s="65">
        <v>55</v>
      </c>
      <c r="B57" s="16"/>
      <c r="C57" s="17"/>
      <c r="D57" s="17"/>
      <c r="E57" s="17"/>
      <c r="F57" s="17"/>
      <c r="G57" s="17"/>
      <c r="H57" s="66" t="str">
        <f>IF(C57="XXL (&gt;160h)",168,IF(C57="XL (&gt;40h)",48,IF(C57="L (20-40h)",30,IF(C57="M (10-20h)",15,IF(C57="S (&lt;10h)",5,"")))))</f>
        <v/>
      </c>
      <c r="I57" s="16"/>
      <c r="J57" s="67" t="str">
        <f>IF($E57="Q12028",COUNTIF($E$3:$E57,"Q12028"),"")</f>
        <v/>
      </c>
      <c r="K57" s="67" t="str">
        <f>IF($E57="Q22028",COUNTIF($E$3:$E57,"Q22028"),"")</f>
        <v/>
      </c>
      <c r="L57" s="67" t="str">
        <f>IF($E57="Q32028",COUNTIF($E$3:$E57,"Q32028"),"")</f>
        <v/>
      </c>
      <c r="M57" s="67" t="str">
        <f>IF($E57="Q42028",COUNTIF($E$3:$E57,"Q42028"),"")</f>
        <v/>
      </c>
      <c r="N57" s="67" t="str">
        <f>IF($E57="Backlog",COUNTIF($E$3:$E57,"Backlog"),"")</f>
        <v/>
      </c>
    </row>
    <row r="58" spans="1:14" ht="19.5" customHeight="1">
      <c r="A58" s="68">
        <v>56</v>
      </c>
      <c r="B58" s="18"/>
      <c r="C58" s="19"/>
      <c r="D58" s="19"/>
      <c r="E58" s="19"/>
      <c r="F58" s="19"/>
      <c r="G58" s="19"/>
      <c r="H58" s="69" t="str">
        <f>IF(C58="XXL (&gt;160h)",168,IF(C58="XL (&gt;40h)",48,IF(C58="L (20-40h)",30,IF(C58="M (10-20h)",15,IF(C58="S (&lt;10h)",5,"")))))</f>
        <v/>
      </c>
      <c r="I58" s="18"/>
      <c r="J58" s="67" t="str">
        <f>IF($E58="Q12028",COUNTIF($E$3:$E58,"Q12028"),"")</f>
        <v/>
      </c>
      <c r="K58" s="67" t="str">
        <f>IF($E58="Q22028",COUNTIF($E$3:$E58,"Q22028"),"")</f>
        <v/>
      </c>
      <c r="L58" s="67" t="str">
        <f>IF($E58="Q32028",COUNTIF($E$3:$E58,"Q32028"),"")</f>
        <v/>
      </c>
      <c r="M58" s="67" t="str">
        <f>IF($E58="Q42028",COUNTIF($E$3:$E58,"Q42028"),"")</f>
        <v/>
      </c>
      <c r="N58" s="67" t="str">
        <f>IF($E58="Backlog",COUNTIF($E$3:$E58,"Backlog"),"")</f>
        <v/>
      </c>
    </row>
    <row r="59" spans="1:14" ht="19.5" customHeight="1">
      <c r="A59" s="65">
        <v>57</v>
      </c>
      <c r="B59" s="16"/>
      <c r="C59" s="17"/>
      <c r="D59" s="17"/>
      <c r="E59" s="17"/>
      <c r="F59" s="17"/>
      <c r="G59" s="17"/>
      <c r="H59" s="66" t="str">
        <f>IF(C59="XXL (&gt;160h)",168,IF(C59="XL (&gt;40h)",48,IF(C59="L (20-40h)",30,IF(C59="M (10-20h)",15,IF(C59="S (&lt;10h)",5,"")))))</f>
        <v/>
      </c>
      <c r="I59" s="16"/>
      <c r="J59" s="67" t="str">
        <f>IF($E59="Q12028",COUNTIF($E$3:$E59,"Q12028"),"")</f>
        <v/>
      </c>
      <c r="K59" s="67" t="str">
        <f>IF($E59="Q22028",COUNTIF($E$3:$E59,"Q22028"),"")</f>
        <v/>
      </c>
      <c r="L59" s="67" t="str">
        <f>IF($E59="Q32028",COUNTIF($E$3:$E59,"Q32028"),"")</f>
        <v/>
      </c>
      <c r="M59" s="67" t="str">
        <f>IF($E59="Q42028",COUNTIF($E$3:$E59,"Q42028"),"")</f>
        <v/>
      </c>
      <c r="N59" s="67" t="str">
        <f>IF($E59="Backlog",COUNTIF($E$3:$E59,"Backlog"),"")</f>
        <v/>
      </c>
    </row>
    <row r="60" spans="1:14" ht="19.5" customHeight="1">
      <c r="A60" s="68">
        <v>58</v>
      </c>
      <c r="B60" s="18"/>
      <c r="C60" s="19"/>
      <c r="D60" s="19"/>
      <c r="E60" s="19"/>
      <c r="F60" s="19"/>
      <c r="G60" s="19"/>
      <c r="H60" s="69" t="str">
        <f>IF(C60="XXL (&gt;160h)",168,IF(C60="XL (&gt;40h)",48,IF(C60="L (20-40h)",30,IF(C60="M (10-20h)",15,IF(C60="S (&lt;10h)",5,"")))))</f>
        <v/>
      </c>
      <c r="I60" s="18"/>
      <c r="J60" s="67" t="str">
        <f>IF($E60="Q12028",COUNTIF($E$3:$E60,"Q12028"),"")</f>
        <v/>
      </c>
      <c r="K60" s="67" t="str">
        <f>IF($E60="Q22028",COUNTIF($E$3:$E60,"Q22028"),"")</f>
        <v/>
      </c>
      <c r="L60" s="67" t="str">
        <f>IF($E60="Q32028",COUNTIF($E$3:$E60,"Q32028"),"")</f>
        <v/>
      </c>
      <c r="M60" s="67" t="str">
        <f>IF($E60="Q42028",COUNTIF($E$3:$E60,"Q42028"),"")</f>
        <v/>
      </c>
      <c r="N60" s="67" t="str">
        <f>IF($E60="Backlog",COUNTIF($E$3:$E60,"Backlog"),"")</f>
        <v/>
      </c>
    </row>
    <row r="61" spans="1:14" ht="19.5" customHeight="1">
      <c r="A61" s="65">
        <v>59</v>
      </c>
      <c r="B61" s="16"/>
      <c r="C61" s="17"/>
      <c r="D61" s="17"/>
      <c r="E61" s="17"/>
      <c r="F61" s="17"/>
      <c r="G61" s="17"/>
      <c r="H61" s="66" t="str">
        <f>IF(C61="XXL (&gt;160h)",168,IF(C61="XL (&gt;40h)",48,IF(C61="L (20-40h)",30,IF(C61="M (10-20h)",15,IF(C61="S (&lt;10h)",5,"")))))</f>
        <v/>
      </c>
      <c r="I61" s="16"/>
      <c r="J61" s="67" t="str">
        <f>IF($E61="Q12028",COUNTIF($E$3:$E61,"Q12028"),"")</f>
        <v/>
      </c>
      <c r="K61" s="67" t="str">
        <f>IF($E61="Q22028",COUNTIF($E$3:$E61,"Q22028"),"")</f>
        <v/>
      </c>
      <c r="L61" s="67" t="str">
        <f>IF($E61="Q32028",COUNTIF($E$3:$E61,"Q32028"),"")</f>
        <v/>
      </c>
      <c r="M61" s="67" t="str">
        <f>IF($E61="Q42028",COUNTIF($E$3:$E61,"Q42028"),"")</f>
        <v/>
      </c>
      <c r="N61" s="67" t="str">
        <f>IF($E61="Backlog",COUNTIF($E$3:$E61,"Backlog"),"")</f>
        <v/>
      </c>
    </row>
    <row r="62" spans="1:14" ht="19.5" customHeight="1">
      <c r="A62" s="68">
        <v>60</v>
      </c>
      <c r="B62" s="18"/>
      <c r="C62" s="19"/>
      <c r="D62" s="19"/>
      <c r="E62" s="19"/>
      <c r="F62" s="19"/>
      <c r="G62" s="19"/>
      <c r="H62" s="69" t="str">
        <f>IF(C62="XXL (&gt;160h)",168,IF(C62="XL (&gt;40h)",48,IF(C62="L (20-40h)",30,IF(C62="M (10-20h)",15,IF(C62="S (&lt;10h)",5,"")))))</f>
        <v/>
      </c>
      <c r="I62" s="18"/>
      <c r="J62" s="67" t="str">
        <f>IF($E62="Q12028",COUNTIF($E$3:$E62,"Q12028"),"")</f>
        <v/>
      </c>
      <c r="K62" s="67" t="str">
        <f>IF($E62="Q22028",COUNTIF($E$3:$E62,"Q22028"),"")</f>
        <v/>
      </c>
      <c r="L62" s="67" t="str">
        <f>IF($E62="Q32028",COUNTIF($E$3:$E62,"Q32028"),"")</f>
        <v/>
      </c>
      <c r="M62" s="67" t="str">
        <f>IF($E62="Q42028",COUNTIF($E$3:$E62,"Q42028"),"")</f>
        <v/>
      </c>
      <c r="N62" s="67" t="str">
        <f>IF($E62="Backlog",COUNTIF($E$3:$E62,"Backlog"),"")</f>
        <v/>
      </c>
    </row>
    <row r="63" spans="1:14" ht="19.5" customHeight="1">
      <c r="A63" s="65">
        <v>61</v>
      </c>
      <c r="B63" s="16"/>
      <c r="C63" s="17"/>
      <c r="D63" s="17"/>
      <c r="E63" s="17"/>
      <c r="F63" s="17"/>
      <c r="G63" s="17"/>
      <c r="H63" s="66" t="str">
        <f>IF(C63="XXL (&gt;160h)",168,IF(C63="XL (&gt;40h)",48,IF(C63="L (20-40h)",30,IF(C63="M (10-20h)",15,IF(C63="S (&lt;10h)",5,"")))))</f>
        <v/>
      </c>
      <c r="I63" s="16"/>
      <c r="J63" s="67" t="str">
        <f>IF($E63="Q12028",COUNTIF($E$3:$E63,"Q12028"),"")</f>
        <v/>
      </c>
      <c r="K63" s="67" t="str">
        <f>IF($E63="Q22028",COUNTIF($E$3:$E63,"Q22028"),"")</f>
        <v/>
      </c>
      <c r="L63" s="67" t="str">
        <f>IF($E63="Q32028",COUNTIF($E$3:$E63,"Q32028"),"")</f>
        <v/>
      </c>
      <c r="M63" s="67" t="str">
        <f>IF($E63="Q42028",COUNTIF($E$3:$E63,"Q42028"),"")</f>
        <v/>
      </c>
      <c r="N63" s="67" t="str">
        <f>IF($E63="Backlog",COUNTIF($E$3:$E63,"Backlog"),"")</f>
        <v/>
      </c>
    </row>
    <row r="64" spans="1:14" ht="19.5" customHeight="1">
      <c r="A64" s="68">
        <v>62</v>
      </c>
      <c r="B64" s="18"/>
      <c r="C64" s="19"/>
      <c r="D64" s="19"/>
      <c r="E64" s="19"/>
      <c r="F64" s="19"/>
      <c r="G64" s="19"/>
      <c r="H64" s="69" t="str">
        <f>IF(C64="XXL (&gt;160h)",168,IF(C64="XL (&gt;40h)",48,IF(C64="L (20-40h)",30,IF(C64="M (10-20h)",15,IF(C64="S (&lt;10h)",5,"")))))</f>
        <v/>
      </c>
      <c r="I64" s="18"/>
      <c r="J64" s="67" t="str">
        <f>IF($E64="Q12028",COUNTIF($E$3:$E64,"Q12028"),"")</f>
        <v/>
      </c>
      <c r="K64" s="67" t="str">
        <f>IF($E64="Q22028",COUNTIF($E$3:$E64,"Q22028"),"")</f>
        <v/>
      </c>
      <c r="L64" s="67" t="str">
        <f>IF($E64="Q32028",COUNTIF($E$3:$E64,"Q32028"),"")</f>
        <v/>
      </c>
      <c r="M64" s="67" t="str">
        <f>IF($E64="Q42028",COUNTIF($E$3:$E64,"Q42028"),"")</f>
        <v/>
      </c>
      <c r="N64" s="67" t="str">
        <f>IF($E64="Backlog",COUNTIF($E$3:$E64,"Backlog"),"")</f>
        <v/>
      </c>
    </row>
    <row r="65" spans="1:14" ht="19.5" customHeight="1">
      <c r="A65" s="65">
        <v>63</v>
      </c>
      <c r="B65" s="16"/>
      <c r="C65" s="17"/>
      <c r="D65" s="17"/>
      <c r="E65" s="17"/>
      <c r="F65" s="17"/>
      <c r="G65" s="17"/>
      <c r="H65" s="66" t="str">
        <f>IF(C65="XXL (&gt;160h)",168,IF(C65="XL (&gt;40h)",48,IF(C65="L (20-40h)",30,IF(C65="M (10-20h)",15,IF(C65="S (&lt;10h)",5,"")))))</f>
        <v/>
      </c>
      <c r="I65" s="16"/>
      <c r="J65" s="67" t="str">
        <f>IF($E65="Q12028",COUNTIF($E$3:$E65,"Q12028"),"")</f>
        <v/>
      </c>
      <c r="K65" s="67" t="str">
        <f>IF($E65="Q22028",COUNTIF($E$3:$E65,"Q22028"),"")</f>
        <v/>
      </c>
      <c r="L65" s="67" t="str">
        <f>IF($E65="Q32028",COUNTIF($E$3:$E65,"Q32028"),"")</f>
        <v/>
      </c>
      <c r="M65" s="67" t="str">
        <f>IF($E65="Q42028",COUNTIF($E$3:$E65,"Q42028"),"")</f>
        <v/>
      </c>
      <c r="N65" s="67" t="str">
        <f>IF($E65="Backlog",COUNTIF($E$3:$E65,"Backlog"),"")</f>
        <v/>
      </c>
    </row>
    <row r="66" spans="1:14" ht="19.5" customHeight="1">
      <c r="A66" s="68">
        <v>64</v>
      </c>
      <c r="B66" s="18"/>
      <c r="C66" s="19"/>
      <c r="D66" s="19"/>
      <c r="E66" s="19"/>
      <c r="F66" s="19"/>
      <c r="G66" s="19"/>
      <c r="H66" s="69" t="str">
        <f>IF(C66="XXL (&gt;160h)",168,IF(C66="XL (&gt;40h)",48,IF(C66="L (20-40h)",30,IF(C66="M (10-20h)",15,IF(C66="S (&lt;10h)",5,"")))))</f>
        <v/>
      </c>
      <c r="I66" s="18"/>
      <c r="J66" s="67" t="str">
        <f>IF($E66="Q12028",COUNTIF($E$3:$E66,"Q12028"),"")</f>
        <v/>
      </c>
      <c r="K66" s="67" t="str">
        <f>IF($E66="Q22028",COUNTIF($E$3:$E66,"Q22028"),"")</f>
        <v/>
      </c>
      <c r="L66" s="67" t="str">
        <f>IF($E66="Q32028",COUNTIF($E$3:$E66,"Q32028"),"")</f>
        <v/>
      </c>
      <c r="M66" s="67" t="str">
        <f>IF($E66="Q42028",COUNTIF($E$3:$E66,"Q42028"),"")</f>
        <v/>
      </c>
      <c r="N66" s="67" t="str">
        <f>IF($E66="Backlog",COUNTIF($E$3:$E66,"Backlog"),"")</f>
        <v/>
      </c>
    </row>
    <row r="67" spans="1:14" ht="19.5" customHeight="1">
      <c r="A67" s="65">
        <v>65</v>
      </c>
      <c r="B67" s="16"/>
      <c r="C67" s="17"/>
      <c r="D67" s="17"/>
      <c r="E67" s="17"/>
      <c r="F67" s="17"/>
      <c r="G67" s="17"/>
      <c r="H67" s="66" t="str">
        <f>IF(C67="XXL (&gt;160h)",168,IF(C67="XL (&gt;40h)",48,IF(C67="L (20-40h)",30,IF(C67="M (10-20h)",15,IF(C67="S (&lt;10h)",5,"")))))</f>
        <v/>
      </c>
      <c r="I67" s="16"/>
      <c r="J67" s="67" t="str">
        <f>IF($E67="Q12028",COUNTIF($E$3:$E67,"Q12028"),"")</f>
        <v/>
      </c>
      <c r="K67" s="67" t="str">
        <f>IF($E67="Q22028",COUNTIF($E$3:$E67,"Q22028"),"")</f>
        <v/>
      </c>
      <c r="L67" s="67" t="str">
        <f>IF($E67="Q32028",COUNTIF($E$3:$E67,"Q32028"),"")</f>
        <v/>
      </c>
      <c r="M67" s="67" t="str">
        <f>IF($E67="Q42028",COUNTIF($E$3:$E67,"Q42028"),"")</f>
        <v/>
      </c>
      <c r="N67" s="67" t="str">
        <f>IF($E67="Backlog",COUNTIF($E$3:$E67,"Backlog"),"")</f>
        <v/>
      </c>
    </row>
    <row r="68" spans="1:14" ht="19.5" customHeight="1">
      <c r="A68" s="68">
        <v>66</v>
      </c>
      <c r="B68" s="18"/>
      <c r="C68" s="19"/>
      <c r="D68" s="19"/>
      <c r="E68" s="19"/>
      <c r="F68" s="19"/>
      <c r="G68" s="19"/>
      <c r="H68" s="69" t="str">
        <f>IF(C68="XXL (&gt;160h)",168,IF(C68="XL (&gt;40h)",48,IF(C68="L (20-40h)",30,IF(C68="M (10-20h)",15,IF(C68="S (&lt;10h)",5,"")))))</f>
        <v/>
      </c>
      <c r="I68" s="18"/>
      <c r="J68" s="67" t="str">
        <f>IF($E68="Q12028",COUNTIF($E$3:$E68,"Q12028"),"")</f>
        <v/>
      </c>
      <c r="K68" s="67" t="str">
        <f>IF($E68="Q22028",COUNTIF($E$3:$E68,"Q22028"),"")</f>
        <v/>
      </c>
      <c r="L68" s="67" t="str">
        <f>IF($E68="Q32028",COUNTIF($E$3:$E68,"Q32028"),"")</f>
        <v/>
      </c>
      <c r="M68" s="67" t="str">
        <f>IF($E68="Q42028",COUNTIF($E$3:$E68,"Q42028"),"")</f>
        <v/>
      </c>
      <c r="N68" s="67" t="str">
        <f>IF($E68="Backlog",COUNTIF($E$3:$E68,"Backlog"),"")</f>
        <v/>
      </c>
    </row>
    <row r="69" spans="1:14" ht="19.5" customHeight="1">
      <c r="A69" s="65">
        <v>67</v>
      </c>
      <c r="B69" s="16"/>
      <c r="C69" s="17"/>
      <c r="D69" s="17"/>
      <c r="E69" s="17"/>
      <c r="F69" s="17"/>
      <c r="G69" s="17"/>
      <c r="H69" s="66" t="str">
        <f>IF(C69="XXL (&gt;160h)",168,IF(C69="XL (&gt;40h)",48,IF(C69="L (20-40h)",30,IF(C69="M (10-20h)",15,IF(C69="S (&lt;10h)",5,"")))))</f>
        <v/>
      </c>
      <c r="I69" s="16"/>
      <c r="J69" s="67" t="str">
        <f>IF($E69="Q12028",COUNTIF($E$3:$E69,"Q12028"),"")</f>
        <v/>
      </c>
      <c r="K69" s="67" t="str">
        <f>IF($E69="Q22028",COUNTIF($E$3:$E69,"Q22028"),"")</f>
        <v/>
      </c>
      <c r="L69" s="67" t="str">
        <f>IF($E69="Q32028",COUNTIF($E$3:$E69,"Q32028"),"")</f>
        <v/>
      </c>
      <c r="M69" s="67" t="str">
        <f>IF($E69="Q42028",COUNTIF($E$3:$E69,"Q42028"),"")</f>
        <v/>
      </c>
      <c r="N69" s="67" t="str">
        <f>IF($E69="Backlog",COUNTIF($E$3:$E69,"Backlog"),"")</f>
        <v/>
      </c>
    </row>
    <row r="70" spans="1:14" ht="19.5" customHeight="1">
      <c r="A70" s="68">
        <v>68</v>
      </c>
      <c r="B70" s="18"/>
      <c r="C70" s="19"/>
      <c r="D70" s="19"/>
      <c r="E70" s="19"/>
      <c r="F70" s="19"/>
      <c r="G70" s="19"/>
      <c r="H70" s="69" t="str">
        <f>IF(C70="XXL (&gt;160h)",168,IF(C70="XL (&gt;40h)",48,IF(C70="L (20-40h)",30,IF(C70="M (10-20h)",15,IF(C70="S (&lt;10h)",5,"")))))</f>
        <v/>
      </c>
      <c r="I70" s="18"/>
      <c r="J70" s="67" t="str">
        <f>IF($E70="Q12028",COUNTIF($E$3:$E70,"Q12028"),"")</f>
        <v/>
      </c>
      <c r="K70" s="67" t="str">
        <f>IF($E70="Q22028",COUNTIF($E$3:$E70,"Q22028"),"")</f>
        <v/>
      </c>
      <c r="L70" s="67" t="str">
        <f>IF($E70="Q32028",COUNTIF($E$3:$E70,"Q32028"),"")</f>
        <v/>
      </c>
      <c r="M70" s="67" t="str">
        <f>IF($E70="Q42028",COUNTIF($E$3:$E70,"Q42028"),"")</f>
        <v/>
      </c>
      <c r="N70" s="67" t="str">
        <f>IF($E70="Backlog",COUNTIF($E$3:$E70,"Backlog"),"")</f>
        <v/>
      </c>
    </row>
    <row r="71" spans="1:14" ht="19.5" customHeight="1">
      <c r="A71" s="65">
        <v>69</v>
      </c>
      <c r="B71" s="16"/>
      <c r="C71" s="17"/>
      <c r="D71" s="17"/>
      <c r="E71" s="17"/>
      <c r="F71" s="17"/>
      <c r="G71" s="17"/>
      <c r="H71" s="66" t="str">
        <f>IF(C71="XXL (&gt;160h)",168,IF(C71="XL (&gt;40h)",48,IF(C71="L (20-40h)",30,IF(C71="M (10-20h)",15,IF(C71="S (&lt;10h)",5,"")))))</f>
        <v/>
      </c>
      <c r="I71" s="16"/>
      <c r="J71" s="67" t="str">
        <f>IF($E71="Q12028",COUNTIF($E$3:$E71,"Q12028"),"")</f>
        <v/>
      </c>
      <c r="K71" s="67" t="str">
        <f>IF($E71="Q22028",COUNTIF($E$3:$E71,"Q22028"),"")</f>
        <v/>
      </c>
      <c r="L71" s="67" t="str">
        <f>IF($E71="Q32028",COUNTIF($E$3:$E71,"Q32028"),"")</f>
        <v/>
      </c>
      <c r="M71" s="67" t="str">
        <f>IF($E71="Q42028",COUNTIF($E$3:$E71,"Q42028"),"")</f>
        <v/>
      </c>
      <c r="N71" s="67" t="str">
        <f>IF($E71="Backlog",COUNTIF($E$3:$E71,"Backlog"),"")</f>
        <v/>
      </c>
    </row>
    <row r="72" spans="1:14" ht="19.5" customHeight="1">
      <c r="A72" s="68">
        <v>70</v>
      </c>
      <c r="B72" s="18"/>
      <c r="C72" s="19"/>
      <c r="D72" s="19"/>
      <c r="E72" s="19"/>
      <c r="F72" s="19"/>
      <c r="G72" s="19"/>
      <c r="H72" s="69" t="str">
        <f>IF(C72="XXL (&gt;160h)",168,IF(C72="XL (&gt;40h)",48,IF(C72="L (20-40h)",30,IF(C72="M (10-20h)",15,IF(C72="S (&lt;10h)",5,"")))))</f>
        <v/>
      </c>
      <c r="I72" s="18"/>
      <c r="J72" s="67" t="str">
        <f>IF($E72="Q12028",COUNTIF($E$3:$E72,"Q12028"),"")</f>
        <v/>
      </c>
      <c r="K72" s="67" t="str">
        <f>IF($E72="Q22028",COUNTIF($E$3:$E72,"Q22028"),"")</f>
        <v/>
      </c>
      <c r="L72" s="67" t="str">
        <f>IF($E72="Q32028",COUNTIF($E$3:$E72,"Q32028"),"")</f>
        <v/>
      </c>
      <c r="M72" s="67" t="str">
        <f>IF($E72="Q42028",COUNTIF($E$3:$E72,"Q42028"),"")</f>
        <v/>
      </c>
      <c r="N72" s="67" t="str">
        <f>IF($E72="Backlog",COUNTIF($E$3:$E72,"Backlog"),"")</f>
        <v/>
      </c>
    </row>
    <row r="73" spans="1:14" ht="19.5" customHeight="1">
      <c r="A73" s="65">
        <v>71</v>
      </c>
      <c r="B73" s="16"/>
      <c r="C73" s="17"/>
      <c r="D73" s="17"/>
      <c r="E73" s="17"/>
      <c r="F73" s="17"/>
      <c r="G73" s="17"/>
      <c r="H73" s="66" t="str">
        <f>IF(C73="XXL (&gt;160h)",168,IF(C73="XL (&gt;40h)",48,IF(C73="L (20-40h)",30,IF(C73="M (10-20h)",15,IF(C73="S (&lt;10h)",5,"")))))</f>
        <v/>
      </c>
      <c r="I73" s="16"/>
      <c r="J73" s="67" t="str">
        <f>IF($E73="Q12028",COUNTIF($E$3:$E73,"Q12028"),"")</f>
        <v/>
      </c>
      <c r="K73" s="67" t="str">
        <f>IF($E73="Q22028",COUNTIF($E$3:$E73,"Q22028"),"")</f>
        <v/>
      </c>
      <c r="L73" s="67" t="str">
        <f>IF($E73="Q32028",COUNTIF($E$3:$E73,"Q32028"),"")</f>
        <v/>
      </c>
      <c r="M73" s="67" t="str">
        <f>IF($E73="Q42028",COUNTIF($E$3:$E73,"Q42028"),"")</f>
        <v/>
      </c>
      <c r="N73" s="67" t="str">
        <f>IF($E73="Backlog",COUNTIF($E$3:$E73,"Backlog"),"")</f>
        <v/>
      </c>
    </row>
    <row r="74" spans="1:14" ht="19.5" customHeight="1">
      <c r="A74" s="68">
        <v>72</v>
      </c>
      <c r="B74" s="18"/>
      <c r="C74" s="19"/>
      <c r="D74" s="19"/>
      <c r="E74" s="19"/>
      <c r="F74" s="19"/>
      <c r="G74" s="19"/>
      <c r="H74" s="69" t="str">
        <f>IF(C74="XXL (&gt;160h)",168,IF(C74="XL (&gt;40h)",48,IF(C74="L (20-40h)",30,IF(C74="M (10-20h)",15,IF(C74="S (&lt;10h)",5,"")))))</f>
        <v/>
      </c>
      <c r="I74" s="18"/>
      <c r="J74" s="67" t="str">
        <f>IF($E74="Q12028",COUNTIF($E$3:$E74,"Q12028"),"")</f>
        <v/>
      </c>
      <c r="K74" s="67" t="str">
        <f>IF($E74="Q22028",COUNTIF($E$3:$E74,"Q22028"),"")</f>
        <v/>
      </c>
      <c r="L74" s="67" t="str">
        <f>IF($E74="Q32028",COUNTIF($E$3:$E74,"Q32028"),"")</f>
        <v/>
      </c>
      <c r="M74" s="67" t="str">
        <f>IF($E74="Q42028",COUNTIF($E$3:$E74,"Q42028"),"")</f>
        <v/>
      </c>
      <c r="N74" s="67" t="str">
        <f>IF($E74="Backlog",COUNTIF($E$3:$E74,"Backlog"),"")</f>
        <v/>
      </c>
    </row>
    <row r="75" spans="1:14" ht="19.5" customHeight="1">
      <c r="A75" s="65">
        <v>73</v>
      </c>
      <c r="B75" s="16"/>
      <c r="C75" s="17"/>
      <c r="D75" s="17"/>
      <c r="E75" s="17"/>
      <c r="F75" s="17"/>
      <c r="G75" s="17"/>
      <c r="H75" s="66" t="str">
        <f>IF(C75="XXL (&gt;160h)",168,IF(C75="XL (&gt;40h)",48,IF(C75="L (20-40h)",30,IF(C75="M (10-20h)",15,IF(C75="S (&lt;10h)",5,"")))))</f>
        <v/>
      </c>
      <c r="I75" s="16"/>
      <c r="J75" s="67" t="str">
        <f>IF($E75="Q12028",COUNTIF($E$3:$E75,"Q12028"),"")</f>
        <v/>
      </c>
      <c r="K75" s="67" t="str">
        <f>IF($E75="Q22028",COUNTIF($E$3:$E75,"Q22028"),"")</f>
        <v/>
      </c>
      <c r="L75" s="67" t="str">
        <f>IF($E75="Q32028",COUNTIF($E$3:$E75,"Q32028"),"")</f>
        <v/>
      </c>
      <c r="M75" s="67" t="str">
        <f>IF($E75="Q42028",COUNTIF($E$3:$E75,"Q42028"),"")</f>
        <v/>
      </c>
      <c r="N75" s="67" t="str">
        <f>IF($E75="Backlog",COUNTIF($E$3:$E75,"Backlog"),"")</f>
        <v/>
      </c>
    </row>
    <row r="76" spans="1:14" ht="19.5" customHeight="1">
      <c r="A76" s="68">
        <v>74</v>
      </c>
      <c r="B76" s="18"/>
      <c r="C76" s="19"/>
      <c r="D76" s="19"/>
      <c r="E76" s="19"/>
      <c r="F76" s="19"/>
      <c r="G76" s="19"/>
      <c r="H76" s="69" t="str">
        <f>IF(C76="XXL (&gt;160h)",168,IF(C76="XL (&gt;40h)",48,IF(C76="L (20-40h)",30,IF(C76="M (10-20h)",15,IF(C76="S (&lt;10h)",5,"")))))</f>
        <v/>
      </c>
      <c r="I76" s="18"/>
      <c r="J76" s="67" t="str">
        <f>IF($E76="Q12028",COUNTIF($E$3:$E76,"Q12028"),"")</f>
        <v/>
      </c>
      <c r="K76" s="67" t="str">
        <f>IF($E76="Q22028",COUNTIF($E$3:$E76,"Q22028"),"")</f>
        <v/>
      </c>
      <c r="L76" s="67" t="str">
        <f>IF($E76="Q32028",COUNTIF($E$3:$E76,"Q32028"),"")</f>
        <v/>
      </c>
      <c r="M76" s="67" t="str">
        <f>IF($E76="Q42028",COUNTIF($E$3:$E76,"Q42028"),"")</f>
        <v/>
      </c>
      <c r="N76" s="67" t="str">
        <f>IF($E76="Backlog",COUNTIF($E$3:$E76,"Backlog"),"")</f>
        <v/>
      </c>
    </row>
    <row r="77" spans="1:14" ht="19.5" customHeight="1">
      <c r="A77" s="65">
        <v>75</v>
      </c>
      <c r="B77" s="16"/>
      <c r="C77" s="17"/>
      <c r="D77" s="17"/>
      <c r="E77" s="17"/>
      <c r="F77" s="17"/>
      <c r="G77" s="17"/>
      <c r="H77" s="66" t="str">
        <f>IF(C77="XXL (&gt;160h)",168,IF(C77="XL (&gt;40h)",48,IF(C77="L (20-40h)",30,IF(C77="M (10-20h)",15,IF(C77="S (&lt;10h)",5,"")))))</f>
        <v/>
      </c>
      <c r="I77" s="16"/>
      <c r="J77" s="67" t="str">
        <f>IF($E77="Q12028",COUNTIF($E$3:$E77,"Q12028"),"")</f>
        <v/>
      </c>
      <c r="K77" s="67" t="str">
        <f>IF($E77="Q22028",COUNTIF($E$3:$E77,"Q22028"),"")</f>
        <v/>
      </c>
      <c r="L77" s="67" t="str">
        <f>IF($E77="Q32028",COUNTIF($E$3:$E77,"Q32028"),"")</f>
        <v/>
      </c>
      <c r="M77" s="67" t="str">
        <f>IF($E77="Q42028",COUNTIF($E$3:$E77,"Q42028"),"")</f>
        <v/>
      </c>
      <c r="N77" s="67" t="str">
        <f>IF($E77="Backlog",COUNTIF($E$3:$E77,"Backlog"),"")</f>
        <v/>
      </c>
    </row>
    <row r="78" spans="1:14" ht="19.5" customHeight="1">
      <c r="A78" s="68">
        <v>76</v>
      </c>
      <c r="B78" s="18"/>
      <c r="C78" s="19"/>
      <c r="D78" s="19"/>
      <c r="E78" s="19"/>
      <c r="F78" s="19"/>
      <c r="G78" s="19"/>
      <c r="H78" s="69" t="str">
        <f>IF(C78="XXL (&gt;160h)",168,IF(C78="XL (&gt;40h)",48,IF(C78="L (20-40h)",30,IF(C78="M (10-20h)",15,IF(C78="S (&lt;10h)",5,"")))))</f>
        <v/>
      </c>
      <c r="I78" s="18"/>
      <c r="J78" s="67" t="str">
        <f>IF($E78="Q12028",COUNTIF($E$3:$E78,"Q12028"),"")</f>
        <v/>
      </c>
      <c r="K78" s="67" t="str">
        <f>IF($E78="Q22028",COUNTIF($E$3:$E78,"Q22028"),"")</f>
        <v/>
      </c>
      <c r="L78" s="67" t="str">
        <f>IF($E78="Q32028",COUNTIF($E$3:$E78,"Q32028"),"")</f>
        <v/>
      </c>
      <c r="M78" s="67" t="str">
        <f>IF($E78="Q42028",COUNTIF($E$3:$E78,"Q42028"),"")</f>
        <v/>
      </c>
      <c r="N78" s="67" t="str">
        <f>IF($E78="Backlog",COUNTIF($E$3:$E78,"Backlog"),"")</f>
        <v/>
      </c>
    </row>
    <row r="79" spans="1:14" ht="19.5" customHeight="1">
      <c r="A79" s="65">
        <v>77</v>
      </c>
      <c r="B79" s="16"/>
      <c r="C79" s="17"/>
      <c r="D79" s="17"/>
      <c r="E79" s="17"/>
      <c r="F79" s="17"/>
      <c r="G79" s="17"/>
      <c r="H79" s="66" t="str">
        <f>IF(C79="XXL (&gt;160h)",168,IF(C79="XL (&gt;40h)",48,IF(C79="L (20-40h)",30,IF(C79="M (10-20h)",15,IF(C79="S (&lt;10h)",5,"")))))</f>
        <v/>
      </c>
      <c r="I79" s="16"/>
      <c r="J79" s="67" t="str">
        <f>IF($E79="Q12028",COUNTIF($E$3:$E79,"Q12028"),"")</f>
        <v/>
      </c>
      <c r="K79" s="67" t="str">
        <f>IF($E79="Q22028",COUNTIF($E$3:$E79,"Q22028"),"")</f>
        <v/>
      </c>
      <c r="L79" s="67" t="str">
        <f>IF($E79="Q32028",COUNTIF($E$3:$E79,"Q32028"),"")</f>
        <v/>
      </c>
      <c r="M79" s="67" t="str">
        <f>IF($E79="Q42028",COUNTIF($E$3:$E79,"Q42028"),"")</f>
        <v/>
      </c>
      <c r="N79" s="67" t="str">
        <f>IF($E79="Backlog",COUNTIF($E$3:$E79,"Backlog"),"")</f>
        <v/>
      </c>
    </row>
    <row r="80" spans="1:14" ht="19.5" customHeight="1">
      <c r="A80" s="68">
        <v>78</v>
      </c>
      <c r="B80" s="18"/>
      <c r="C80" s="19"/>
      <c r="D80" s="19"/>
      <c r="E80" s="19"/>
      <c r="F80" s="19"/>
      <c r="G80" s="19"/>
      <c r="H80" s="69" t="str">
        <f>IF(C80="XXL (&gt;160h)",168,IF(C80="XL (&gt;40h)",48,IF(C80="L (20-40h)",30,IF(C80="M (10-20h)",15,IF(C80="S (&lt;10h)",5,"")))))</f>
        <v/>
      </c>
      <c r="I80" s="18"/>
      <c r="J80" s="67" t="str">
        <f>IF($E80="Q12028",COUNTIF($E$3:$E80,"Q12028"),"")</f>
        <v/>
      </c>
      <c r="K80" s="67" t="str">
        <f>IF($E80="Q22028",COUNTIF($E$3:$E80,"Q22028"),"")</f>
        <v/>
      </c>
      <c r="L80" s="67" t="str">
        <f>IF($E80="Q32028",COUNTIF($E$3:$E80,"Q32028"),"")</f>
        <v/>
      </c>
      <c r="M80" s="67" t="str">
        <f>IF($E80="Q42028",COUNTIF($E$3:$E80,"Q42028"),"")</f>
        <v/>
      </c>
      <c r="N80" s="67" t="str">
        <f>IF($E80="Backlog",COUNTIF($E$3:$E80,"Backlog"),"")</f>
        <v/>
      </c>
    </row>
    <row r="81" spans="1:14" ht="19.5" customHeight="1">
      <c r="A81" s="65">
        <v>79</v>
      </c>
      <c r="B81" s="16"/>
      <c r="C81" s="17"/>
      <c r="D81" s="17"/>
      <c r="E81" s="17"/>
      <c r="F81" s="17"/>
      <c r="G81" s="17"/>
      <c r="H81" s="66" t="str">
        <f>IF(C81="XXL (&gt;160h)",168,IF(C81="XL (&gt;40h)",48,IF(C81="L (20-40h)",30,IF(C81="M (10-20h)",15,IF(C81="S (&lt;10h)",5,"")))))</f>
        <v/>
      </c>
      <c r="I81" s="16"/>
      <c r="J81" s="67" t="str">
        <f>IF($E81="Q12028",COUNTIF($E$3:$E81,"Q12028"),"")</f>
        <v/>
      </c>
      <c r="K81" s="67" t="str">
        <f>IF($E81="Q22028",COUNTIF($E$3:$E81,"Q22028"),"")</f>
        <v/>
      </c>
      <c r="L81" s="67" t="str">
        <f>IF($E81="Q32028",COUNTIF($E$3:$E81,"Q32028"),"")</f>
        <v/>
      </c>
      <c r="M81" s="67" t="str">
        <f>IF($E81="Q42028",COUNTIF($E$3:$E81,"Q42028"),"")</f>
        <v/>
      </c>
      <c r="N81" s="67" t="str">
        <f>IF($E81="Backlog",COUNTIF($E$3:$E81,"Backlog"),"")</f>
        <v/>
      </c>
    </row>
    <row r="82" spans="1:14" ht="19.5" customHeight="1">
      <c r="A82" s="68">
        <v>80</v>
      </c>
      <c r="B82" s="18"/>
      <c r="C82" s="19"/>
      <c r="D82" s="19"/>
      <c r="E82" s="19"/>
      <c r="F82" s="19"/>
      <c r="G82" s="19"/>
      <c r="H82" s="69" t="str">
        <f>IF(C82="XXL (&gt;160h)",168,IF(C82="XL (&gt;40h)",48,IF(C82="L (20-40h)",30,IF(C82="M (10-20h)",15,IF(C82="S (&lt;10h)",5,"")))))</f>
        <v/>
      </c>
      <c r="I82" s="18"/>
      <c r="J82" s="67" t="str">
        <f>IF($E82="Q12028",COUNTIF($E$3:$E82,"Q12028"),"")</f>
        <v/>
      </c>
      <c r="K82" s="67" t="str">
        <f>IF($E82="Q22028",COUNTIF($E$3:$E82,"Q22028"),"")</f>
        <v/>
      </c>
      <c r="L82" s="67" t="str">
        <f>IF($E82="Q32028",COUNTIF($E$3:$E82,"Q32028"),"")</f>
        <v/>
      </c>
      <c r="M82" s="67" t="str">
        <f>IF($E82="Q42028",COUNTIF($E$3:$E82,"Q42028"),"")</f>
        <v/>
      </c>
      <c r="N82" s="67" t="str">
        <f>IF($E82="Backlog",COUNTIF($E$3:$E82,"Backlog"),"")</f>
        <v/>
      </c>
    </row>
    <row r="83" spans="1:14" ht="21.75" customHeight="1">
      <c r="A83" s="128" t="s">
        <v>56</v>
      </c>
      <c r="B83" s="128"/>
      <c r="C83" s="128"/>
      <c r="D83" s="128"/>
      <c r="E83" s="128"/>
      <c r="F83" s="128"/>
      <c r="G83" s="128"/>
      <c r="H83" s="21">
        <f>SUM(H3:H82)</f>
        <v>0</v>
      </c>
      <c r="I83" s="71"/>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8" priority="2" operator="equal">
      <formula>"Strengthen"</formula>
    </cfRule>
    <cfRule type="cellIs" dxfId="7" priority="3" operator="equal">
      <formula>"Innovation"</formula>
    </cfRule>
    <cfRule type="cellIs" dxfId="6" priority="4" operator="equal">
      <formula>"Repair"</formula>
    </cfRule>
  </conditionalFormatting>
  <dataValidations count="5">
    <dataValidation type="list" allowBlank="1" sqref="D3:D82" xr:uid="{00000000-0002-0000-1300-000000000000}">
      <formula1>"Strengthen,Innovation,Repair"</formula1>
      <formula2>0</formula2>
    </dataValidation>
    <dataValidation type="list" allowBlank="1" sqref="C3:C82" xr:uid="{00000000-0002-0000-1300-000001000000}">
      <formula1>"XXL (&gt;160h),XL (&gt;40h),L (20-40h),M (10-20h),S (&lt;10h)"</formula1>
      <formula2>0</formula2>
    </dataValidation>
    <dataValidation type="list" allowBlank="1" sqref="E3:E82" xr:uid="{00000000-0002-0000-1300-000002000000}">
      <formula1>"Q12028,Q22028,Q32028,Q42028,Backlog"</formula1>
      <formula2>0</formula2>
    </dataValidation>
    <dataValidation type="list" allowBlank="1" sqref="F3:F82" xr:uid="{00000000-0002-0000-1300-000003000000}">
      <formula1>"Must,Should,Could,Won't"</formula1>
      <formula2>0</formula2>
    </dataValidation>
    <dataValidation type="list" allowBlank="1" sqref="G3:G82" xr:uid="{00000000-0002-0000-13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87"/>
  <sheetViews>
    <sheetView showGridLines="0" zoomScaleNormal="100" workbookViewId="0">
      <pane xSplit="1" ySplit="2" topLeftCell="B3" activePane="bottomRight" state="frozen"/>
      <selection pane="bottomRight"/>
      <selection pane="bottomLeft" activeCell="A3" sqref="A3"/>
      <selection pane="topRight" activeCell="B1" sqref="B1"/>
    </sheetView>
  </sheetViews>
  <sheetFormatPr defaultColWidth="8.7109375" defaultRowHeight="15"/>
  <cols>
    <col min="1" max="1" width="5" customWidth="1"/>
    <col min="2" max="2" width="42.85546875" customWidth="1"/>
    <col min="3" max="3" width="16" customWidth="1"/>
    <col min="4" max="4" width="14" customWidth="1"/>
    <col min="5" max="5" width="16" customWidth="1"/>
    <col min="6" max="7" width="12" customWidth="1"/>
    <col min="8" max="8" width="11" customWidth="1"/>
    <col min="9" max="9" width="30" customWidth="1"/>
    <col min="10" max="16" width="0.140625" hidden="1" customWidth="1"/>
  </cols>
  <sheetData>
    <row r="1" spans="1:14" ht="43.5" customHeight="1">
      <c r="A1" s="109" t="s">
        <v>266</v>
      </c>
      <c r="B1" s="109"/>
      <c r="C1" s="109"/>
      <c r="D1" s="109"/>
      <c r="E1" s="109"/>
      <c r="F1" s="109"/>
      <c r="G1" s="109"/>
      <c r="H1" s="109"/>
      <c r="I1" s="109"/>
    </row>
    <row r="2" spans="1:14" ht="24" customHeight="1">
      <c r="A2" s="24" t="s">
        <v>1</v>
      </c>
      <c r="B2" s="24" t="s">
        <v>2</v>
      </c>
      <c r="C2" s="24" t="s">
        <v>3</v>
      </c>
      <c r="D2" s="24" t="s">
        <v>4</v>
      </c>
      <c r="E2" s="24" t="s">
        <v>5</v>
      </c>
      <c r="F2" s="24" t="s">
        <v>6</v>
      </c>
      <c r="G2" s="24" t="s">
        <v>7</v>
      </c>
      <c r="H2" s="24" t="s">
        <v>8</v>
      </c>
      <c r="I2" s="24" t="s">
        <v>9</v>
      </c>
    </row>
    <row r="3" spans="1:14" ht="19.5" customHeight="1">
      <c r="A3" s="65">
        <v>1</v>
      </c>
      <c r="B3" s="16"/>
      <c r="C3" s="17"/>
      <c r="D3" s="17"/>
      <c r="E3" s="17"/>
      <c r="F3" s="17"/>
      <c r="G3" s="17"/>
      <c r="H3" s="66" t="str">
        <f>IF(C3="XXL (&gt;160h)",168,IF(C3="XL (&gt;40h)",48,IF(C3="L (20-40h)",30,IF(C3="M (10-20h)",15,IF(C3="S (&lt;10h)",5,"")))))</f>
        <v/>
      </c>
      <c r="I3" s="16"/>
      <c r="J3" s="67" t="str">
        <f>IF($E3="Q12028",COUNTIF($E$3:$E3,"Q12028"),"")</f>
        <v/>
      </c>
      <c r="K3" s="67" t="str">
        <f>IF($E3="Q22028",COUNTIF($E$3:$E3,"Q22028"),"")</f>
        <v/>
      </c>
      <c r="L3" s="67" t="str">
        <f>IF($E3="Q32028",COUNTIF($E$3:$E3,"Q32028"),"")</f>
        <v/>
      </c>
      <c r="M3" s="67" t="str">
        <f>IF($E3="Q42028",COUNTIF($E$3:$E3,"Q42028"),"")</f>
        <v/>
      </c>
      <c r="N3" s="67" t="str">
        <f>IF($E3="Backlog",COUNTIF($E$3:$E3,"Backlog"),"")</f>
        <v/>
      </c>
    </row>
    <row r="4" spans="1:14" ht="19.5" customHeight="1">
      <c r="A4" s="68">
        <v>2</v>
      </c>
      <c r="B4" s="18"/>
      <c r="C4" s="19"/>
      <c r="D4" s="19"/>
      <c r="E4" s="19"/>
      <c r="F4" s="19"/>
      <c r="G4" s="19"/>
      <c r="H4" s="69" t="str">
        <f>IF(C4="XXL (&gt;160h)",168,IF(C4="XL (&gt;40h)",48,IF(C4="L (20-40h)",30,IF(C4="M (10-20h)",15,IF(C4="S (&lt;10h)",5,"")))))</f>
        <v/>
      </c>
      <c r="I4" s="18"/>
      <c r="J4" s="67" t="str">
        <f>IF($E4="Q12028",COUNTIF($E$3:$E4,"Q12028"),"")</f>
        <v/>
      </c>
      <c r="K4" s="67" t="str">
        <f>IF($E4="Q22028",COUNTIF($E$3:$E4,"Q22028"),"")</f>
        <v/>
      </c>
      <c r="L4" s="67" t="str">
        <f>IF($E4="Q32028",COUNTIF($E$3:$E4,"Q32028"),"")</f>
        <v/>
      </c>
      <c r="M4" s="67" t="str">
        <f>IF($E4="Q42028",COUNTIF($E$3:$E4,"Q42028"),"")</f>
        <v/>
      </c>
      <c r="N4" s="67" t="str">
        <f>IF($E4="Backlog",COUNTIF($E$3:$E4,"Backlog"),"")</f>
        <v/>
      </c>
    </row>
    <row r="5" spans="1:14" ht="19.5" customHeight="1">
      <c r="A5" s="65">
        <v>3</v>
      </c>
      <c r="B5" s="16"/>
      <c r="C5" s="17"/>
      <c r="D5" s="17"/>
      <c r="E5" s="17"/>
      <c r="F5" s="17"/>
      <c r="G5" s="17"/>
      <c r="H5" s="66" t="str">
        <f>IF(C5="XXL (&gt;160h)",168,IF(C5="XL (&gt;40h)",48,IF(C5="L (20-40h)",30,IF(C5="M (10-20h)",15,IF(C5="S (&lt;10h)",5,"")))))</f>
        <v/>
      </c>
      <c r="I5" s="16"/>
      <c r="J5" s="67" t="str">
        <f>IF($E5="Q12028",COUNTIF($E$3:$E5,"Q12028"),"")</f>
        <v/>
      </c>
      <c r="K5" s="67" t="str">
        <f>IF($E5="Q22028",COUNTIF($E$3:$E5,"Q22028"),"")</f>
        <v/>
      </c>
      <c r="L5" s="67" t="str">
        <f>IF($E5="Q32028",COUNTIF($E$3:$E5,"Q32028"),"")</f>
        <v/>
      </c>
      <c r="M5" s="67" t="str">
        <f>IF($E5="Q42028",COUNTIF($E$3:$E5,"Q42028"),"")</f>
        <v/>
      </c>
      <c r="N5" s="67" t="str">
        <f>IF($E5="Backlog",COUNTIF($E$3:$E5,"Backlog"),"")</f>
        <v/>
      </c>
    </row>
    <row r="6" spans="1:14" ht="19.5" customHeight="1">
      <c r="A6" s="68">
        <v>4</v>
      </c>
      <c r="B6" s="18"/>
      <c r="C6" s="19"/>
      <c r="D6" s="19"/>
      <c r="E6" s="19"/>
      <c r="F6" s="19"/>
      <c r="G6" s="19"/>
      <c r="H6" s="69" t="str">
        <f>IF(C6="XXL (&gt;160h)",168,IF(C6="XL (&gt;40h)",48,IF(C6="L (20-40h)",30,IF(C6="M (10-20h)",15,IF(C6="S (&lt;10h)",5,"")))))</f>
        <v/>
      </c>
      <c r="I6" s="18"/>
      <c r="J6" s="67" t="str">
        <f>IF($E6="Q12028",COUNTIF($E$3:$E6,"Q12028"),"")</f>
        <v/>
      </c>
      <c r="K6" s="67" t="str">
        <f>IF($E6="Q22028",COUNTIF($E$3:$E6,"Q22028"),"")</f>
        <v/>
      </c>
      <c r="L6" s="67" t="str">
        <f>IF($E6="Q32028",COUNTIF($E$3:$E6,"Q32028"),"")</f>
        <v/>
      </c>
      <c r="M6" s="67" t="str">
        <f>IF($E6="Q42028",COUNTIF($E$3:$E6,"Q42028"),"")</f>
        <v/>
      </c>
      <c r="N6" s="67" t="str">
        <f>IF($E6="Backlog",COUNTIF($E$3:$E6,"Backlog"),"")</f>
        <v/>
      </c>
    </row>
    <row r="7" spans="1:14" ht="19.5" customHeight="1">
      <c r="A7" s="65">
        <v>5</v>
      </c>
      <c r="B7" s="16"/>
      <c r="C7" s="17"/>
      <c r="D7" s="17"/>
      <c r="E7" s="17"/>
      <c r="F7" s="17"/>
      <c r="G7" s="17"/>
      <c r="H7" s="66" t="str">
        <f>IF(C7="XXL (&gt;160h)",168,IF(C7="XL (&gt;40h)",48,IF(C7="L (20-40h)",30,IF(C7="M (10-20h)",15,IF(C7="S (&lt;10h)",5,"")))))</f>
        <v/>
      </c>
      <c r="I7" s="16"/>
      <c r="J7" s="67" t="str">
        <f>IF($E7="Q12028",COUNTIF($E$3:$E7,"Q12028"),"")</f>
        <v/>
      </c>
      <c r="K7" s="67" t="str">
        <f>IF($E7="Q22028",COUNTIF($E$3:$E7,"Q22028"),"")</f>
        <v/>
      </c>
      <c r="L7" s="67" t="str">
        <f>IF($E7="Q32028",COUNTIF($E$3:$E7,"Q32028"),"")</f>
        <v/>
      </c>
      <c r="M7" s="67" t="str">
        <f>IF($E7="Q42028",COUNTIF($E$3:$E7,"Q42028"),"")</f>
        <v/>
      </c>
      <c r="N7" s="67" t="str">
        <f>IF($E7="Backlog",COUNTIF($E$3:$E7,"Backlog"),"")</f>
        <v/>
      </c>
    </row>
    <row r="8" spans="1:14" ht="19.5" customHeight="1">
      <c r="A8" s="68">
        <v>6</v>
      </c>
      <c r="B8" s="18"/>
      <c r="C8" s="19"/>
      <c r="D8" s="19"/>
      <c r="E8" s="19"/>
      <c r="F8" s="19"/>
      <c r="G8" s="19"/>
      <c r="H8" s="69" t="str">
        <f>IF(C8="XXL (&gt;160h)",168,IF(C8="XL (&gt;40h)",48,IF(C8="L (20-40h)",30,IF(C8="M (10-20h)",15,IF(C8="S (&lt;10h)",5,"")))))</f>
        <v/>
      </c>
      <c r="I8" s="18"/>
      <c r="J8" s="67" t="str">
        <f>IF($E8="Q12028",COUNTIF($E$3:$E8,"Q12028"),"")</f>
        <v/>
      </c>
      <c r="K8" s="67" t="str">
        <f>IF($E8="Q22028",COUNTIF($E$3:$E8,"Q22028"),"")</f>
        <v/>
      </c>
      <c r="L8" s="67" t="str">
        <f>IF($E8="Q32028",COUNTIF($E$3:$E8,"Q32028"),"")</f>
        <v/>
      </c>
      <c r="M8" s="67" t="str">
        <f>IF($E8="Q42028",COUNTIF($E$3:$E8,"Q42028"),"")</f>
        <v/>
      </c>
      <c r="N8" s="67" t="str">
        <f>IF($E8="Backlog",COUNTIF($E$3:$E8,"Backlog"),"")</f>
        <v/>
      </c>
    </row>
    <row r="9" spans="1:14" ht="19.5" customHeight="1">
      <c r="A9" s="65">
        <v>7</v>
      </c>
      <c r="B9" s="16"/>
      <c r="C9" s="17"/>
      <c r="D9" s="17"/>
      <c r="E9" s="17"/>
      <c r="F9" s="17"/>
      <c r="G9" s="17"/>
      <c r="H9" s="66" t="str">
        <f>IF(C9="XXL (&gt;160h)",168,IF(C9="XL (&gt;40h)",48,IF(C9="L (20-40h)",30,IF(C9="M (10-20h)",15,IF(C9="S (&lt;10h)",5,"")))))</f>
        <v/>
      </c>
      <c r="I9" s="16"/>
      <c r="J9" s="67" t="str">
        <f>IF($E9="Q12028",COUNTIF($E$3:$E9,"Q12028"),"")</f>
        <v/>
      </c>
      <c r="K9" s="67" t="str">
        <f>IF($E9="Q22028",COUNTIF($E$3:$E9,"Q22028"),"")</f>
        <v/>
      </c>
      <c r="L9" s="67" t="str">
        <f>IF($E9="Q32028",COUNTIF($E$3:$E9,"Q32028"),"")</f>
        <v/>
      </c>
      <c r="M9" s="67" t="str">
        <f>IF($E9="Q42028",COUNTIF($E$3:$E9,"Q42028"),"")</f>
        <v/>
      </c>
      <c r="N9" s="67" t="str">
        <f>IF($E9="Backlog",COUNTIF($E$3:$E9,"Backlog"),"")</f>
        <v/>
      </c>
    </row>
    <row r="10" spans="1:14" ht="19.5" customHeight="1">
      <c r="A10" s="68">
        <v>8</v>
      </c>
      <c r="B10" s="18"/>
      <c r="C10" s="19"/>
      <c r="D10" s="19"/>
      <c r="E10" s="19"/>
      <c r="F10" s="19"/>
      <c r="G10" s="19"/>
      <c r="H10" s="69" t="str">
        <f>IF(C10="XXL (&gt;160h)",168,IF(C10="XL (&gt;40h)",48,IF(C10="L (20-40h)",30,IF(C10="M (10-20h)",15,IF(C10="S (&lt;10h)",5,"")))))</f>
        <v/>
      </c>
      <c r="I10" s="18"/>
      <c r="J10" s="67" t="str">
        <f>IF($E10="Q12028",COUNTIF($E$3:$E10,"Q12028"),"")</f>
        <v/>
      </c>
      <c r="K10" s="67" t="str">
        <f>IF($E10="Q22028",COUNTIF($E$3:$E10,"Q22028"),"")</f>
        <v/>
      </c>
      <c r="L10" s="67" t="str">
        <f>IF($E10="Q32028",COUNTIF($E$3:$E10,"Q32028"),"")</f>
        <v/>
      </c>
      <c r="M10" s="67" t="str">
        <f>IF($E10="Q42028",COUNTIF($E$3:$E10,"Q42028"),"")</f>
        <v/>
      </c>
      <c r="N10" s="67" t="str">
        <f>IF($E10="Backlog",COUNTIF($E$3:$E10,"Backlog"),"")</f>
        <v/>
      </c>
    </row>
    <row r="11" spans="1:14" ht="19.5" customHeight="1">
      <c r="A11" s="65">
        <v>9</v>
      </c>
      <c r="B11" s="16"/>
      <c r="C11" s="17"/>
      <c r="D11" s="17"/>
      <c r="E11" s="17"/>
      <c r="F11" s="17"/>
      <c r="G11" s="17"/>
      <c r="H11" s="66" t="str">
        <f>IF(C11="XXL (&gt;160h)",168,IF(C11="XL (&gt;40h)",48,IF(C11="L (20-40h)",30,IF(C11="M (10-20h)",15,IF(C11="S (&lt;10h)",5,"")))))</f>
        <v/>
      </c>
      <c r="I11" s="16"/>
      <c r="J11" s="67" t="str">
        <f>IF($E11="Q12028",COUNTIF($E$3:$E11,"Q12028"),"")</f>
        <v/>
      </c>
      <c r="K11" s="67" t="str">
        <f>IF($E11="Q22028",COUNTIF($E$3:$E11,"Q22028"),"")</f>
        <v/>
      </c>
      <c r="L11" s="67" t="str">
        <f>IF($E11="Q32028",COUNTIF($E$3:$E11,"Q32028"),"")</f>
        <v/>
      </c>
      <c r="M11" s="67" t="str">
        <f>IF($E11="Q42028",COUNTIF($E$3:$E11,"Q42028"),"")</f>
        <v/>
      </c>
      <c r="N11" s="67" t="str">
        <f>IF($E11="Backlog",COUNTIF($E$3:$E11,"Backlog"),"")</f>
        <v/>
      </c>
    </row>
    <row r="12" spans="1:14" ht="19.5" customHeight="1">
      <c r="A12" s="68">
        <v>10</v>
      </c>
      <c r="B12" s="18"/>
      <c r="C12" s="19"/>
      <c r="D12" s="19"/>
      <c r="E12" s="19"/>
      <c r="F12" s="19"/>
      <c r="G12" s="19"/>
      <c r="H12" s="69" t="str">
        <f>IF(C12="XXL (&gt;160h)",168,IF(C12="XL (&gt;40h)",48,IF(C12="L (20-40h)",30,IF(C12="M (10-20h)",15,IF(C12="S (&lt;10h)",5,"")))))</f>
        <v/>
      </c>
      <c r="I12" s="18"/>
      <c r="J12" s="67" t="str">
        <f>IF($E12="Q12028",COUNTIF($E$3:$E12,"Q12028"),"")</f>
        <v/>
      </c>
      <c r="K12" s="67" t="str">
        <f>IF($E12="Q22028",COUNTIF($E$3:$E12,"Q22028"),"")</f>
        <v/>
      </c>
      <c r="L12" s="67" t="str">
        <f>IF($E12="Q32028",COUNTIF($E$3:$E12,"Q32028"),"")</f>
        <v/>
      </c>
      <c r="M12" s="67" t="str">
        <f>IF($E12="Q42028",COUNTIF($E$3:$E12,"Q42028"),"")</f>
        <v/>
      </c>
      <c r="N12" s="67" t="str">
        <f>IF($E12="Backlog",COUNTIF($E$3:$E12,"Backlog"),"")</f>
        <v/>
      </c>
    </row>
    <row r="13" spans="1:14" ht="19.5" customHeight="1">
      <c r="A13" s="65">
        <v>11</v>
      </c>
      <c r="B13" s="16"/>
      <c r="C13" s="17"/>
      <c r="D13" s="17"/>
      <c r="E13" s="17"/>
      <c r="F13" s="17"/>
      <c r="G13" s="17"/>
      <c r="H13" s="66" t="str">
        <f>IF(C13="XXL (&gt;160h)",168,IF(C13="XL (&gt;40h)",48,IF(C13="L (20-40h)",30,IF(C13="M (10-20h)",15,IF(C13="S (&lt;10h)",5,"")))))</f>
        <v/>
      </c>
      <c r="I13" s="16"/>
      <c r="J13" s="67" t="str">
        <f>IF($E13="Q12028",COUNTIF($E$3:$E13,"Q12028"),"")</f>
        <v/>
      </c>
      <c r="K13" s="67" t="str">
        <f>IF($E13="Q22028",COUNTIF($E$3:$E13,"Q22028"),"")</f>
        <v/>
      </c>
      <c r="L13" s="67" t="str">
        <f>IF($E13="Q32028",COUNTIF($E$3:$E13,"Q32028"),"")</f>
        <v/>
      </c>
      <c r="M13" s="67" t="str">
        <f>IF($E13="Q42028",COUNTIF($E$3:$E13,"Q42028"),"")</f>
        <v/>
      </c>
      <c r="N13" s="67" t="str">
        <f>IF($E13="Backlog",COUNTIF($E$3:$E13,"Backlog"),"")</f>
        <v/>
      </c>
    </row>
    <row r="14" spans="1:14" ht="19.5" customHeight="1">
      <c r="A14" s="68">
        <v>12</v>
      </c>
      <c r="B14" s="18"/>
      <c r="C14" s="19"/>
      <c r="D14" s="19"/>
      <c r="E14" s="19"/>
      <c r="F14" s="19"/>
      <c r="G14" s="19"/>
      <c r="H14" s="69" t="str">
        <f>IF(C14="XXL (&gt;160h)",168,IF(C14="XL (&gt;40h)",48,IF(C14="L (20-40h)",30,IF(C14="M (10-20h)",15,IF(C14="S (&lt;10h)",5,"")))))</f>
        <v/>
      </c>
      <c r="I14" s="18"/>
      <c r="J14" s="67" t="str">
        <f>IF($E14="Q12028",COUNTIF($E$3:$E14,"Q12028"),"")</f>
        <v/>
      </c>
      <c r="K14" s="67" t="str">
        <f>IF($E14="Q22028",COUNTIF($E$3:$E14,"Q22028"),"")</f>
        <v/>
      </c>
      <c r="L14" s="67" t="str">
        <f>IF($E14="Q32028",COUNTIF($E$3:$E14,"Q32028"),"")</f>
        <v/>
      </c>
      <c r="M14" s="67" t="str">
        <f>IF($E14="Q42028",COUNTIF($E$3:$E14,"Q42028"),"")</f>
        <v/>
      </c>
      <c r="N14" s="67" t="str">
        <f>IF($E14="Backlog",COUNTIF($E$3:$E14,"Backlog"),"")</f>
        <v/>
      </c>
    </row>
    <row r="15" spans="1:14" ht="19.5" customHeight="1">
      <c r="A15" s="65">
        <v>13</v>
      </c>
      <c r="B15" s="16"/>
      <c r="C15" s="17"/>
      <c r="D15" s="17"/>
      <c r="E15" s="17"/>
      <c r="F15" s="17"/>
      <c r="G15" s="17"/>
      <c r="H15" s="66" t="str">
        <f>IF(C15="XXL (&gt;160h)",168,IF(C15="XL (&gt;40h)",48,IF(C15="L (20-40h)",30,IF(C15="M (10-20h)",15,IF(C15="S (&lt;10h)",5,"")))))</f>
        <v/>
      </c>
      <c r="I15" s="16"/>
      <c r="J15" s="67" t="str">
        <f>IF($E15="Q12028",COUNTIF($E$3:$E15,"Q12028"),"")</f>
        <v/>
      </c>
      <c r="K15" s="67" t="str">
        <f>IF($E15="Q22028",COUNTIF($E$3:$E15,"Q22028"),"")</f>
        <v/>
      </c>
      <c r="L15" s="67" t="str">
        <f>IF($E15="Q32028",COUNTIF($E$3:$E15,"Q32028"),"")</f>
        <v/>
      </c>
      <c r="M15" s="67" t="str">
        <f>IF($E15="Q42028",COUNTIF($E$3:$E15,"Q42028"),"")</f>
        <v/>
      </c>
      <c r="N15" s="67" t="str">
        <f>IF($E15="Backlog",COUNTIF($E$3:$E15,"Backlog"),"")</f>
        <v/>
      </c>
    </row>
    <row r="16" spans="1:14" ht="19.5" customHeight="1">
      <c r="A16" s="68">
        <v>14</v>
      </c>
      <c r="B16" s="18"/>
      <c r="C16" s="19"/>
      <c r="D16" s="19"/>
      <c r="E16" s="19"/>
      <c r="F16" s="19"/>
      <c r="G16" s="19"/>
      <c r="H16" s="69" t="str">
        <f>IF(C16="XXL (&gt;160h)",168,IF(C16="XL (&gt;40h)",48,IF(C16="L (20-40h)",30,IF(C16="M (10-20h)",15,IF(C16="S (&lt;10h)",5,"")))))</f>
        <v/>
      </c>
      <c r="I16" s="18"/>
      <c r="J16" s="67" t="str">
        <f>IF($E16="Q12028",COUNTIF($E$3:$E16,"Q12028"),"")</f>
        <v/>
      </c>
      <c r="K16" s="67" t="str">
        <f>IF($E16="Q22028",COUNTIF($E$3:$E16,"Q22028"),"")</f>
        <v/>
      </c>
      <c r="L16" s="67" t="str">
        <f>IF($E16="Q32028",COUNTIF($E$3:$E16,"Q32028"),"")</f>
        <v/>
      </c>
      <c r="M16" s="67" t="str">
        <f>IF($E16="Q42028",COUNTIF($E$3:$E16,"Q42028"),"")</f>
        <v/>
      </c>
      <c r="N16" s="67" t="str">
        <f>IF($E16="Backlog",COUNTIF($E$3:$E16,"Backlog"),"")</f>
        <v/>
      </c>
    </row>
    <row r="17" spans="1:14" ht="19.5" customHeight="1">
      <c r="A17" s="65">
        <v>15</v>
      </c>
      <c r="B17" s="16"/>
      <c r="C17" s="17"/>
      <c r="D17" s="17"/>
      <c r="E17" s="17"/>
      <c r="F17" s="17"/>
      <c r="G17" s="17"/>
      <c r="H17" s="66" t="str">
        <f>IF(C17="XXL (&gt;160h)",168,IF(C17="XL (&gt;40h)",48,IF(C17="L (20-40h)",30,IF(C17="M (10-20h)",15,IF(C17="S (&lt;10h)",5,"")))))</f>
        <v/>
      </c>
      <c r="I17" s="16"/>
      <c r="J17" s="67" t="str">
        <f>IF($E17="Q12028",COUNTIF($E$3:$E17,"Q12028"),"")</f>
        <v/>
      </c>
      <c r="K17" s="67" t="str">
        <f>IF($E17="Q22028",COUNTIF($E$3:$E17,"Q22028"),"")</f>
        <v/>
      </c>
      <c r="L17" s="67" t="str">
        <f>IF($E17="Q32028",COUNTIF($E$3:$E17,"Q32028"),"")</f>
        <v/>
      </c>
      <c r="M17" s="67" t="str">
        <f>IF($E17="Q42028",COUNTIF($E$3:$E17,"Q42028"),"")</f>
        <v/>
      </c>
      <c r="N17" s="67" t="str">
        <f>IF($E17="Backlog",COUNTIF($E$3:$E17,"Backlog"),"")</f>
        <v/>
      </c>
    </row>
    <row r="18" spans="1:14" ht="19.5" customHeight="1">
      <c r="A18" s="68">
        <v>16</v>
      </c>
      <c r="B18" s="18"/>
      <c r="C18" s="19"/>
      <c r="D18" s="19"/>
      <c r="E18" s="19"/>
      <c r="F18" s="19"/>
      <c r="G18" s="19"/>
      <c r="H18" s="69" t="str">
        <f>IF(C18="XXL (&gt;160h)",168,IF(C18="XL (&gt;40h)",48,IF(C18="L (20-40h)",30,IF(C18="M (10-20h)",15,IF(C18="S (&lt;10h)",5,"")))))</f>
        <v/>
      </c>
      <c r="I18" s="18"/>
      <c r="J18" s="67" t="str">
        <f>IF($E18="Q12028",COUNTIF($E$3:$E18,"Q12028"),"")</f>
        <v/>
      </c>
      <c r="K18" s="67" t="str">
        <f>IF($E18="Q22028",COUNTIF($E$3:$E18,"Q22028"),"")</f>
        <v/>
      </c>
      <c r="L18" s="67" t="str">
        <f>IF($E18="Q32028",COUNTIF($E$3:$E18,"Q32028"),"")</f>
        <v/>
      </c>
      <c r="M18" s="67" t="str">
        <f>IF($E18="Q42028",COUNTIF($E$3:$E18,"Q42028"),"")</f>
        <v/>
      </c>
      <c r="N18" s="67" t="str">
        <f>IF($E18="Backlog",COUNTIF($E$3:$E18,"Backlog"),"")</f>
        <v/>
      </c>
    </row>
    <row r="19" spans="1:14" ht="19.5" customHeight="1">
      <c r="A19" s="65">
        <v>17</v>
      </c>
      <c r="B19" s="16"/>
      <c r="C19" s="17"/>
      <c r="D19" s="17"/>
      <c r="E19" s="17"/>
      <c r="F19" s="17"/>
      <c r="G19" s="17"/>
      <c r="H19" s="66" t="str">
        <f>IF(C19="XXL (&gt;160h)",168,IF(C19="XL (&gt;40h)",48,IF(C19="L (20-40h)",30,IF(C19="M (10-20h)",15,IF(C19="S (&lt;10h)",5,"")))))</f>
        <v/>
      </c>
      <c r="I19" s="16"/>
      <c r="J19" s="67" t="str">
        <f>IF($E19="Q12028",COUNTIF($E$3:$E19,"Q12028"),"")</f>
        <v/>
      </c>
      <c r="K19" s="67" t="str">
        <f>IF($E19="Q22028",COUNTIF($E$3:$E19,"Q22028"),"")</f>
        <v/>
      </c>
      <c r="L19" s="67" t="str">
        <f>IF($E19="Q32028",COUNTIF($E$3:$E19,"Q32028"),"")</f>
        <v/>
      </c>
      <c r="M19" s="67" t="str">
        <f>IF($E19="Q42028",COUNTIF($E$3:$E19,"Q42028"),"")</f>
        <v/>
      </c>
      <c r="N19" s="67" t="str">
        <f>IF($E19="Backlog",COUNTIF($E$3:$E19,"Backlog"),"")</f>
        <v/>
      </c>
    </row>
    <row r="20" spans="1:14" ht="19.5" customHeight="1">
      <c r="A20" s="68">
        <v>18</v>
      </c>
      <c r="B20" s="18"/>
      <c r="C20" s="19"/>
      <c r="D20" s="19"/>
      <c r="E20" s="19"/>
      <c r="F20" s="19"/>
      <c r="G20" s="19"/>
      <c r="H20" s="69" t="str">
        <f>IF(C20="XXL (&gt;160h)",168,IF(C20="XL (&gt;40h)",48,IF(C20="L (20-40h)",30,IF(C20="M (10-20h)",15,IF(C20="S (&lt;10h)",5,"")))))</f>
        <v/>
      </c>
      <c r="I20" s="18"/>
      <c r="J20" s="67" t="str">
        <f>IF($E20="Q12028",COUNTIF($E$3:$E20,"Q12028"),"")</f>
        <v/>
      </c>
      <c r="K20" s="67" t="str">
        <f>IF($E20="Q22028",COUNTIF($E$3:$E20,"Q22028"),"")</f>
        <v/>
      </c>
      <c r="L20" s="67" t="str">
        <f>IF($E20="Q32028",COUNTIF($E$3:$E20,"Q32028"),"")</f>
        <v/>
      </c>
      <c r="M20" s="67" t="str">
        <f>IF($E20="Q42028",COUNTIF($E$3:$E20,"Q42028"),"")</f>
        <v/>
      </c>
      <c r="N20" s="67" t="str">
        <f>IF($E20="Backlog",COUNTIF($E$3:$E20,"Backlog"),"")</f>
        <v/>
      </c>
    </row>
    <row r="21" spans="1:14" ht="19.5" customHeight="1">
      <c r="A21" s="65">
        <v>19</v>
      </c>
      <c r="B21" s="16"/>
      <c r="C21" s="17"/>
      <c r="D21" s="17"/>
      <c r="E21" s="17"/>
      <c r="F21" s="17"/>
      <c r="G21" s="17"/>
      <c r="H21" s="66" t="str">
        <f>IF(C21="XXL (&gt;160h)",168,IF(C21="XL (&gt;40h)",48,IF(C21="L (20-40h)",30,IF(C21="M (10-20h)",15,IF(C21="S (&lt;10h)",5,"")))))</f>
        <v/>
      </c>
      <c r="I21" s="16"/>
      <c r="J21" s="67" t="str">
        <f>IF($E21="Q12028",COUNTIF($E$3:$E21,"Q12028"),"")</f>
        <v/>
      </c>
      <c r="K21" s="67" t="str">
        <f>IF($E21="Q22028",COUNTIF($E$3:$E21,"Q22028"),"")</f>
        <v/>
      </c>
      <c r="L21" s="67" t="str">
        <f>IF($E21="Q32028",COUNTIF($E$3:$E21,"Q32028"),"")</f>
        <v/>
      </c>
      <c r="M21" s="67" t="str">
        <f>IF($E21="Q42028",COUNTIF($E$3:$E21,"Q42028"),"")</f>
        <v/>
      </c>
      <c r="N21" s="67" t="str">
        <f>IF($E21="Backlog",COUNTIF($E$3:$E21,"Backlog"),"")</f>
        <v/>
      </c>
    </row>
    <row r="22" spans="1:14" ht="19.5" customHeight="1">
      <c r="A22" s="68">
        <v>20</v>
      </c>
      <c r="B22" s="18"/>
      <c r="C22" s="19"/>
      <c r="D22" s="19"/>
      <c r="E22" s="19"/>
      <c r="F22" s="19"/>
      <c r="G22" s="19"/>
      <c r="H22" s="69" t="str">
        <f>IF(C22="XXL (&gt;160h)",168,IF(C22="XL (&gt;40h)",48,IF(C22="L (20-40h)",30,IF(C22="M (10-20h)",15,IF(C22="S (&lt;10h)",5,"")))))</f>
        <v/>
      </c>
      <c r="I22" s="18"/>
      <c r="J22" s="67" t="str">
        <f>IF($E22="Q12028",COUNTIF($E$3:$E22,"Q12028"),"")</f>
        <v/>
      </c>
      <c r="K22" s="67" t="str">
        <f>IF($E22="Q22028",COUNTIF($E$3:$E22,"Q22028"),"")</f>
        <v/>
      </c>
      <c r="L22" s="67" t="str">
        <f>IF($E22="Q32028",COUNTIF($E$3:$E22,"Q32028"),"")</f>
        <v/>
      </c>
      <c r="M22" s="67" t="str">
        <f>IF($E22="Q42028",COUNTIF($E$3:$E22,"Q42028"),"")</f>
        <v/>
      </c>
      <c r="N22" s="67" t="str">
        <f>IF($E22="Backlog",COUNTIF($E$3:$E22,"Backlog"),"")</f>
        <v/>
      </c>
    </row>
    <row r="23" spans="1:14" ht="19.5" customHeight="1">
      <c r="A23" s="65">
        <v>21</v>
      </c>
      <c r="B23" s="16"/>
      <c r="C23" s="17"/>
      <c r="D23" s="17"/>
      <c r="E23" s="17"/>
      <c r="F23" s="17"/>
      <c r="G23" s="17"/>
      <c r="H23" s="66" t="str">
        <f>IF(C23="XXL (&gt;160h)",168,IF(C23="XL (&gt;40h)",48,IF(C23="L (20-40h)",30,IF(C23="M (10-20h)",15,IF(C23="S (&lt;10h)",5,"")))))</f>
        <v/>
      </c>
      <c r="I23" s="16"/>
      <c r="J23" s="67" t="str">
        <f>IF($E23="Q12028",COUNTIF($E$3:$E23,"Q12028"),"")</f>
        <v/>
      </c>
      <c r="K23" s="67" t="str">
        <f>IF($E23="Q22028",COUNTIF($E$3:$E23,"Q22028"),"")</f>
        <v/>
      </c>
      <c r="L23" s="67" t="str">
        <f>IF($E23="Q32028",COUNTIF($E$3:$E23,"Q32028"),"")</f>
        <v/>
      </c>
      <c r="M23" s="67" t="str">
        <f>IF($E23="Q42028",COUNTIF($E$3:$E23,"Q42028"),"")</f>
        <v/>
      </c>
      <c r="N23" s="67" t="str">
        <f>IF($E23="Backlog",COUNTIF($E$3:$E23,"Backlog"),"")</f>
        <v/>
      </c>
    </row>
    <row r="24" spans="1:14" ht="19.5" customHeight="1">
      <c r="A24" s="68">
        <v>22</v>
      </c>
      <c r="B24" s="18"/>
      <c r="C24" s="19"/>
      <c r="D24" s="19"/>
      <c r="E24" s="19"/>
      <c r="F24" s="19"/>
      <c r="G24" s="19"/>
      <c r="H24" s="69" t="str">
        <f>IF(C24="XXL (&gt;160h)",168,IF(C24="XL (&gt;40h)",48,IF(C24="L (20-40h)",30,IF(C24="M (10-20h)",15,IF(C24="S (&lt;10h)",5,"")))))</f>
        <v/>
      </c>
      <c r="I24" s="18"/>
      <c r="J24" s="67" t="str">
        <f>IF($E24="Q12028",COUNTIF($E$3:$E24,"Q12028"),"")</f>
        <v/>
      </c>
      <c r="K24" s="67" t="str">
        <f>IF($E24="Q22028",COUNTIF($E$3:$E24,"Q22028"),"")</f>
        <v/>
      </c>
      <c r="L24" s="67" t="str">
        <f>IF($E24="Q32028",COUNTIF($E$3:$E24,"Q32028"),"")</f>
        <v/>
      </c>
      <c r="M24" s="67" t="str">
        <f>IF($E24="Q42028",COUNTIF($E$3:$E24,"Q42028"),"")</f>
        <v/>
      </c>
      <c r="N24" s="67" t="str">
        <f>IF($E24="Backlog",COUNTIF($E$3:$E24,"Backlog"),"")</f>
        <v/>
      </c>
    </row>
    <row r="25" spans="1:14" ht="19.5" customHeight="1">
      <c r="A25" s="65">
        <v>23</v>
      </c>
      <c r="B25" s="16"/>
      <c r="C25" s="17"/>
      <c r="D25" s="17"/>
      <c r="E25" s="17"/>
      <c r="F25" s="17"/>
      <c r="G25" s="17"/>
      <c r="H25" s="66" t="str">
        <f>IF(C25="XXL (&gt;160h)",168,IF(C25="XL (&gt;40h)",48,IF(C25="L (20-40h)",30,IF(C25="M (10-20h)",15,IF(C25="S (&lt;10h)",5,"")))))</f>
        <v/>
      </c>
      <c r="I25" s="16"/>
      <c r="J25" s="67" t="str">
        <f>IF($E25="Q12028",COUNTIF($E$3:$E25,"Q12028"),"")</f>
        <v/>
      </c>
      <c r="K25" s="67" t="str">
        <f>IF($E25="Q22028",COUNTIF($E$3:$E25,"Q22028"),"")</f>
        <v/>
      </c>
      <c r="L25" s="67" t="str">
        <f>IF($E25="Q32028",COUNTIF($E$3:$E25,"Q32028"),"")</f>
        <v/>
      </c>
      <c r="M25" s="67" t="str">
        <f>IF($E25="Q42028",COUNTIF($E$3:$E25,"Q42028"),"")</f>
        <v/>
      </c>
      <c r="N25" s="67" t="str">
        <f>IF($E25="Backlog",COUNTIF($E$3:$E25,"Backlog"),"")</f>
        <v/>
      </c>
    </row>
    <row r="26" spans="1:14" ht="19.5" customHeight="1">
      <c r="A26" s="68">
        <v>24</v>
      </c>
      <c r="B26" s="18"/>
      <c r="C26" s="19"/>
      <c r="D26" s="19"/>
      <c r="E26" s="19"/>
      <c r="F26" s="19"/>
      <c r="G26" s="19"/>
      <c r="H26" s="69" t="str">
        <f>IF(C26="XXL (&gt;160h)",168,IF(C26="XL (&gt;40h)",48,IF(C26="L (20-40h)",30,IF(C26="M (10-20h)",15,IF(C26="S (&lt;10h)",5,"")))))</f>
        <v/>
      </c>
      <c r="I26" s="18"/>
      <c r="J26" s="67" t="str">
        <f>IF($E26="Q12028",COUNTIF($E$3:$E26,"Q12028"),"")</f>
        <v/>
      </c>
      <c r="K26" s="67" t="str">
        <f>IF($E26="Q22028",COUNTIF($E$3:$E26,"Q22028"),"")</f>
        <v/>
      </c>
      <c r="L26" s="67" t="str">
        <f>IF($E26="Q32028",COUNTIF($E$3:$E26,"Q32028"),"")</f>
        <v/>
      </c>
      <c r="M26" s="67" t="str">
        <f>IF($E26="Q42028",COUNTIF($E$3:$E26,"Q42028"),"")</f>
        <v/>
      </c>
      <c r="N26" s="67" t="str">
        <f>IF($E26="Backlog",COUNTIF($E$3:$E26,"Backlog"),"")</f>
        <v/>
      </c>
    </row>
    <row r="27" spans="1:14" ht="19.5" customHeight="1">
      <c r="A27" s="65">
        <v>25</v>
      </c>
      <c r="B27" s="16"/>
      <c r="C27" s="17"/>
      <c r="D27" s="17"/>
      <c r="E27" s="17"/>
      <c r="F27" s="17"/>
      <c r="G27" s="17"/>
      <c r="H27" s="66" t="str">
        <f>IF(C27="XXL (&gt;160h)",168,IF(C27="XL (&gt;40h)",48,IF(C27="L (20-40h)",30,IF(C27="M (10-20h)",15,IF(C27="S (&lt;10h)",5,"")))))</f>
        <v/>
      </c>
      <c r="I27" s="16"/>
      <c r="J27" s="67" t="str">
        <f>IF($E27="Q12028",COUNTIF($E$3:$E27,"Q12028"),"")</f>
        <v/>
      </c>
      <c r="K27" s="67" t="str">
        <f>IF($E27="Q22028",COUNTIF($E$3:$E27,"Q22028"),"")</f>
        <v/>
      </c>
      <c r="L27" s="67" t="str">
        <f>IF($E27="Q32028",COUNTIF($E$3:$E27,"Q32028"),"")</f>
        <v/>
      </c>
      <c r="M27" s="67" t="str">
        <f>IF($E27="Q42028",COUNTIF($E$3:$E27,"Q42028"),"")</f>
        <v/>
      </c>
      <c r="N27" s="67" t="str">
        <f>IF($E27="Backlog",COUNTIF($E$3:$E27,"Backlog"),"")</f>
        <v/>
      </c>
    </row>
    <row r="28" spans="1:14" ht="19.5" customHeight="1">
      <c r="A28" s="68">
        <v>26</v>
      </c>
      <c r="B28" s="18"/>
      <c r="C28" s="19"/>
      <c r="D28" s="19"/>
      <c r="E28" s="19"/>
      <c r="F28" s="19"/>
      <c r="G28" s="19"/>
      <c r="H28" s="69" t="str">
        <f>IF(C28="XXL (&gt;160h)",168,IF(C28="XL (&gt;40h)",48,IF(C28="L (20-40h)",30,IF(C28="M (10-20h)",15,IF(C28="S (&lt;10h)",5,"")))))</f>
        <v/>
      </c>
      <c r="I28" s="18"/>
      <c r="J28" s="67" t="str">
        <f>IF($E28="Q12028",COUNTIF($E$3:$E28,"Q12028"),"")</f>
        <v/>
      </c>
      <c r="K28" s="67" t="str">
        <f>IF($E28="Q22028",COUNTIF($E$3:$E28,"Q22028"),"")</f>
        <v/>
      </c>
      <c r="L28" s="67" t="str">
        <f>IF($E28="Q32028",COUNTIF($E$3:$E28,"Q32028"),"")</f>
        <v/>
      </c>
      <c r="M28" s="67" t="str">
        <f>IF($E28="Q42028",COUNTIF($E$3:$E28,"Q42028"),"")</f>
        <v/>
      </c>
      <c r="N28" s="67" t="str">
        <f>IF($E28="Backlog",COUNTIF($E$3:$E28,"Backlog"),"")</f>
        <v/>
      </c>
    </row>
    <row r="29" spans="1:14" ht="19.5" customHeight="1">
      <c r="A29" s="65">
        <v>27</v>
      </c>
      <c r="B29" s="16"/>
      <c r="C29" s="17"/>
      <c r="D29" s="17"/>
      <c r="E29" s="17"/>
      <c r="F29" s="17"/>
      <c r="G29" s="17"/>
      <c r="H29" s="66" t="str">
        <f>IF(C29="XXL (&gt;160h)",168,IF(C29="XL (&gt;40h)",48,IF(C29="L (20-40h)",30,IF(C29="M (10-20h)",15,IF(C29="S (&lt;10h)",5,"")))))</f>
        <v/>
      </c>
      <c r="I29" s="16"/>
      <c r="J29" s="67" t="str">
        <f>IF($E29="Q12028",COUNTIF($E$3:$E29,"Q12028"),"")</f>
        <v/>
      </c>
      <c r="K29" s="67" t="str">
        <f>IF($E29="Q22028",COUNTIF($E$3:$E29,"Q22028"),"")</f>
        <v/>
      </c>
      <c r="L29" s="67" t="str">
        <f>IF($E29="Q32028",COUNTIF($E$3:$E29,"Q32028"),"")</f>
        <v/>
      </c>
      <c r="M29" s="67" t="str">
        <f>IF($E29="Q42028",COUNTIF($E$3:$E29,"Q42028"),"")</f>
        <v/>
      </c>
      <c r="N29" s="67" t="str">
        <f>IF($E29="Backlog",COUNTIF($E$3:$E29,"Backlog"),"")</f>
        <v/>
      </c>
    </row>
    <row r="30" spans="1:14" ht="19.5" customHeight="1">
      <c r="A30" s="68">
        <v>28</v>
      </c>
      <c r="B30" s="18"/>
      <c r="C30" s="19"/>
      <c r="D30" s="19"/>
      <c r="E30" s="19"/>
      <c r="F30" s="19"/>
      <c r="G30" s="19"/>
      <c r="H30" s="69" t="str">
        <f>IF(C30="XXL (&gt;160h)",168,IF(C30="XL (&gt;40h)",48,IF(C30="L (20-40h)",30,IF(C30="M (10-20h)",15,IF(C30="S (&lt;10h)",5,"")))))</f>
        <v/>
      </c>
      <c r="I30" s="18"/>
      <c r="J30" s="67" t="str">
        <f>IF($E30="Q12028",COUNTIF($E$3:$E30,"Q12028"),"")</f>
        <v/>
      </c>
      <c r="K30" s="67" t="str">
        <f>IF($E30="Q22028",COUNTIF($E$3:$E30,"Q22028"),"")</f>
        <v/>
      </c>
      <c r="L30" s="67" t="str">
        <f>IF($E30="Q32028",COUNTIF($E$3:$E30,"Q32028"),"")</f>
        <v/>
      </c>
      <c r="M30" s="67" t="str">
        <f>IF($E30="Q42028",COUNTIF($E$3:$E30,"Q42028"),"")</f>
        <v/>
      </c>
      <c r="N30" s="67" t="str">
        <f>IF($E30="Backlog",COUNTIF($E$3:$E30,"Backlog"),"")</f>
        <v/>
      </c>
    </row>
    <row r="31" spans="1:14" ht="19.5" customHeight="1">
      <c r="A31" s="65">
        <v>29</v>
      </c>
      <c r="B31" s="16"/>
      <c r="C31" s="17"/>
      <c r="D31" s="17"/>
      <c r="E31" s="17"/>
      <c r="F31" s="17"/>
      <c r="G31" s="17"/>
      <c r="H31" s="66" t="str">
        <f>IF(C31="XXL (&gt;160h)",168,IF(C31="XL (&gt;40h)",48,IF(C31="L (20-40h)",30,IF(C31="M (10-20h)",15,IF(C31="S (&lt;10h)",5,"")))))</f>
        <v/>
      </c>
      <c r="I31" s="16"/>
      <c r="J31" s="67" t="str">
        <f>IF($E31="Q12028",COUNTIF($E$3:$E31,"Q12028"),"")</f>
        <v/>
      </c>
      <c r="K31" s="67" t="str">
        <f>IF($E31="Q22028",COUNTIF($E$3:$E31,"Q22028"),"")</f>
        <v/>
      </c>
      <c r="L31" s="67" t="str">
        <f>IF($E31="Q32028",COUNTIF($E$3:$E31,"Q32028"),"")</f>
        <v/>
      </c>
      <c r="M31" s="67" t="str">
        <f>IF($E31="Q42028",COUNTIF($E$3:$E31,"Q42028"),"")</f>
        <v/>
      </c>
      <c r="N31" s="67" t="str">
        <f>IF($E31="Backlog",COUNTIF($E$3:$E31,"Backlog"),"")</f>
        <v/>
      </c>
    </row>
    <row r="32" spans="1:14" ht="19.5" customHeight="1">
      <c r="A32" s="68">
        <v>30</v>
      </c>
      <c r="B32" s="18"/>
      <c r="C32" s="19"/>
      <c r="D32" s="19"/>
      <c r="E32" s="19"/>
      <c r="F32" s="19"/>
      <c r="G32" s="19"/>
      <c r="H32" s="69" t="str">
        <f>IF(C32="XXL (&gt;160h)",168,IF(C32="XL (&gt;40h)",48,IF(C32="L (20-40h)",30,IF(C32="M (10-20h)",15,IF(C32="S (&lt;10h)",5,"")))))</f>
        <v/>
      </c>
      <c r="I32" s="18"/>
      <c r="J32" s="67" t="str">
        <f>IF($E32="Q12028",COUNTIF($E$3:$E32,"Q12028"),"")</f>
        <v/>
      </c>
      <c r="K32" s="67" t="str">
        <f>IF($E32="Q22028",COUNTIF($E$3:$E32,"Q22028"),"")</f>
        <v/>
      </c>
      <c r="L32" s="67" t="str">
        <f>IF($E32="Q32028",COUNTIF($E$3:$E32,"Q32028"),"")</f>
        <v/>
      </c>
      <c r="M32" s="67" t="str">
        <f>IF($E32="Q42028",COUNTIF($E$3:$E32,"Q42028"),"")</f>
        <v/>
      </c>
      <c r="N32" s="67" t="str">
        <f>IF($E32="Backlog",COUNTIF($E$3:$E32,"Backlog"),"")</f>
        <v/>
      </c>
    </row>
    <row r="33" spans="1:14" ht="19.5" customHeight="1">
      <c r="A33" s="65">
        <v>31</v>
      </c>
      <c r="B33" s="16"/>
      <c r="C33" s="17"/>
      <c r="D33" s="17"/>
      <c r="E33" s="17"/>
      <c r="F33" s="17"/>
      <c r="G33" s="17"/>
      <c r="H33" s="66" t="str">
        <f>IF(C33="XXL (&gt;160h)",168,IF(C33="XL (&gt;40h)",48,IF(C33="L (20-40h)",30,IF(C33="M (10-20h)",15,IF(C33="S (&lt;10h)",5,"")))))</f>
        <v/>
      </c>
      <c r="I33" s="16"/>
      <c r="J33" s="67" t="str">
        <f>IF($E33="Q12028",COUNTIF($E$3:$E33,"Q12028"),"")</f>
        <v/>
      </c>
      <c r="K33" s="67" t="str">
        <f>IF($E33="Q22028",COUNTIF($E$3:$E33,"Q22028"),"")</f>
        <v/>
      </c>
      <c r="L33" s="67" t="str">
        <f>IF($E33="Q32028",COUNTIF($E$3:$E33,"Q32028"),"")</f>
        <v/>
      </c>
      <c r="M33" s="67" t="str">
        <f>IF($E33="Q42028",COUNTIF($E$3:$E33,"Q42028"),"")</f>
        <v/>
      </c>
      <c r="N33" s="67" t="str">
        <f>IF($E33="Backlog",COUNTIF($E$3:$E33,"Backlog"),"")</f>
        <v/>
      </c>
    </row>
    <row r="34" spans="1:14" ht="19.5" customHeight="1">
      <c r="A34" s="68">
        <v>32</v>
      </c>
      <c r="B34" s="18"/>
      <c r="C34" s="19"/>
      <c r="D34" s="19"/>
      <c r="E34" s="19"/>
      <c r="F34" s="19"/>
      <c r="G34" s="19"/>
      <c r="H34" s="69" t="str">
        <f>IF(C34="XXL (&gt;160h)",168,IF(C34="XL (&gt;40h)",48,IF(C34="L (20-40h)",30,IF(C34="M (10-20h)",15,IF(C34="S (&lt;10h)",5,"")))))</f>
        <v/>
      </c>
      <c r="I34" s="18"/>
      <c r="J34" s="67" t="str">
        <f>IF($E34="Q12028",COUNTIF($E$3:$E34,"Q12028"),"")</f>
        <v/>
      </c>
      <c r="K34" s="67" t="str">
        <f>IF($E34="Q22028",COUNTIF($E$3:$E34,"Q22028"),"")</f>
        <v/>
      </c>
      <c r="L34" s="67" t="str">
        <f>IF($E34="Q32028",COUNTIF($E$3:$E34,"Q32028"),"")</f>
        <v/>
      </c>
      <c r="M34" s="67" t="str">
        <f>IF($E34="Q42028",COUNTIF($E$3:$E34,"Q42028"),"")</f>
        <v/>
      </c>
      <c r="N34" s="67" t="str">
        <f>IF($E34="Backlog",COUNTIF($E$3:$E34,"Backlog"),"")</f>
        <v/>
      </c>
    </row>
    <row r="35" spans="1:14" ht="19.5" customHeight="1">
      <c r="A35" s="65">
        <v>33</v>
      </c>
      <c r="B35" s="16"/>
      <c r="C35" s="17"/>
      <c r="D35" s="17"/>
      <c r="E35" s="17"/>
      <c r="F35" s="17"/>
      <c r="G35" s="17"/>
      <c r="H35" s="66" t="str">
        <f>IF(C35="XXL (&gt;160h)",168,IF(C35="XL (&gt;40h)",48,IF(C35="L (20-40h)",30,IF(C35="M (10-20h)",15,IF(C35="S (&lt;10h)",5,"")))))</f>
        <v/>
      </c>
      <c r="I35" s="16"/>
      <c r="J35" s="67" t="str">
        <f>IF($E35="Q12028",COUNTIF($E$3:$E35,"Q12028"),"")</f>
        <v/>
      </c>
      <c r="K35" s="67" t="str">
        <f>IF($E35="Q22028",COUNTIF($E$3:$E35,"Q22028"),"")</f>
        <v/>
      </c>
      <c r="L35" s="67" t="str">
        <f>IF($E35="Q32028",COUNTIF($E$3:$E35,"Q32028"),"")</f>
        <v/>
      </c>
      <c r="M35" s="67" t="str">
        <f>IF($E35="Q42028",COUNTIF($E$3:$E35,"Q42028"),"")</f>
        <v/>
      </c>
      <c r="N35" s="67" t="str">
        <f>IF($E35="Backlog",COUNTIF($E$3:$E35,"Backlog"),"")</f>
        <v/>
      </c>
    </row>
    <row r="36" spans="1:14" ht="19.5" customHeight="1">
      <c r="A36" s="68">
        <v>34</v>
      </c>
      <c r="B36" s="18"/>
      <c r="C36" s="19"/>
      <c r="D36" s="19"/>
      <c r="E36" s="19"/>
      <c r="F36" s="19"/>
      <c r="G36" s="19"/>
      <c r="H36" s="69" t="str">
        <f>IF(C36="XXL (&gt;160h)",168,IF(C36="XL (&gt;40h)",48,IF(C36="L (20-40h)",30,IF(C36="M (10-20h)",15,IF(C36="S (&lt;10h)",5,"")))))</f>
        <v/>
      </c>
      <c r="I36" s="18"/>
      <c r="J36" s="67" t="str">
        <f>IF($E36="Q12028",COUNTIF($E$3:$E36,"Q12028"),"")</f>
        <v/>
      </c>
      <c r="K36" s="67" t="str">
        <f>IF($E36="Q22028",COUNTIF($E$3:$E36,"Q22028"),"")</f>
        <v/>
      </c>
      <c r="L36" s="67" t="str">
        <f>IF($E36="Q32028",COUNTIF($E$3:$E36,"Q32028"),"")</f>
        <v/>
      </c>
      <c r="M36" s="67" t="str">
        <f>IF($E36="Q42028",COUNTIF($E$3:$E36,"Q42028"),"")</f>
        <v/>
      </c>
      <c r="N36" s="67" t="str">
        <f>IF($E36="Backlog",COUNTIF($E$3:$E36,"Backlog"),"")</f>
        <v/>
      </c>
    </row>
    <row r="37" spans="1:14" ht="19.5" customHeight="1">
      <c r="A37" s="65">
        <v>35</v>
      </c>
      <c r="B37" s="16"/>
      <c r="C37" s="17"/>
      <c r="D37" s="17"/>
      <c r="E37" s="17"/>
      <c r="F37" s="17"/>
      <c r="G37" s="17"/>
      <c r="H37" s="66" t="str">
        <f>IF(C37="XXL (&gt;160h)",168,IF(C37="XL (&gt;40h)",48,IF(C37="L (20-40h)",30,IF(C37="M (10-20h)",15,IF(C37="S (&lt;10h)",5,"")))))</f>
        <v/>
      </c>
      <c r="I37" s="16"/>
      <c r="J37" s="67" t="str">
        <f>IF($E37="Q12028",COUNTIF($E$3:$E37,"Q12028"),"")</f>
        <v/>
      </c>
      <c r="K37" s="67" t="str">
        <f>IF($E37="Q22028",COUNTIF($E$3:$E37,"Q22028"),"")</f>
        <v/>
      </c>
      <c r="L37" s="67" t="str">
        <f>IF($E37="Q32028",COUNTIF($E$3:$E37,"Q32028"),"")</f>
        <v/>
      </c>
      <c r="M37" s="67" t="str">
        <f>IF($E37="Q42028",COUNTIF($E$3:$E37,"Q42028"),"")</f>
        <v/>
      </c>
      <c r="N37" s="67" t="str">
        <f>IF($E37="Backlog",COUNTIF($E$3:$E37,"Backlog"),"")</f>
        <v/>
      </c>
    </row>
    <row r="38" spans="1:14" ht="19.5" customHeight="1">
      <c r="A38" s="68">
        <v>36</v>
      </c>
      <c r="B38" s="18"/>
      <c r="C38" s="19"/>
      <c r="D38" s="19"/>
      <c r="E38" s="19"/>
      <c r="F38" s="19"/>
      <c r="G38" s="19"/>
      <c r="H38" s="69" t="str">
        <f>IF(C38="XXL (&gt;160h)",168,IF(C38="XL (&gt;40h)",48,IF(C38="L (20-40h)",30,IF(C38="M (10-20h)",15,IF(C38="S (&lt;10h)",5,"")))))</f>
        <v/>
      </c>
      <c r="I38" s="18"/>
      <c r="J38" s="67" t="str">
        <f>IF($E38="Q12028",COUNTIF($E$3:$E38,"Q12028"),"")</f>
        <v/>
      </c>
      <c r="K38" s="67" t="str">
        <f>IF($E38="Q22028",COUNTIF($E$3:$E38,"Q22028"),"")</f>
        <v/>
      </c>
      <c r="L38" s="67" t="str">
        <f>IF($E38="Q32028",COUNTIF($E$3:$E38,"Q32028"),"")</f>
        <v/>
      </c>
      <c r="M38" s="67" t="str">
        <f>IF($E38="Q42028",COUNTIF($E$3:$E38,"Q42028"),"")</f>
        <v/>
      </c>
      <c r="N38" s="67" t="str">
        <f>IF($E38="Backlog",COUNTIF($E$3:$E38,"Backlog"),"")</f>
        <v/>
      </c>
    </row>
    <row r="39" spans="1:14" ht="19.5" customHeight="1">
      <c r="A39" s="65">
        <v>37</v>
      </c>
      <c r="B39" s="16"/>
      <c r="C39" s="17"/>
      <c r="D39" s="17"/>
      <c r="E39" s="17"/>
      <c r="F39" s="17"/>
      <c r="G39" s="17"/>
      <c r="H39" s="66" t="str">
        <f>IF(C39="XXL (&gt;160h)",168,IF(C39="XL (&gt;40h)",48,IF(C39="L (20-40h)",30,IF(C39="M (10-20h)",15,IF(C39="S (&lt;10h)",5,"")))))</f>
        <v/>
      </c>
      <c r="I39" s="16"/>
      <c r="J39" s="67" t="str">
        <f>IF($E39="Q12028",COUNTIF($E$3:$E39,"Q12028"),"")</f>
        <v/>
      </c>
      <c r="K39" s="67" t="str">
        <f>IF($E39="Q22028",COUNTIF($E$3:$E39,"Q22028"),"")</f>
        <v/>
      </c>
      <c r="L39" s="67" t="str">
        <f>IF($E39="Q32028",COUNTIF($E$3:$E39,"Q32028"),"")</f>
        <v/>
      </c>
      <c r="M39" s="67" t="str">
        <f>IF($E39="Q42028",COUNTIF($E$3:$E39,"Q42028"),"")</f>
        <v/>
      </c>
      <c r="N39" s="67" t="str">
        <f>IF($E39="Backlog",COUNTIF($E$3:$E39,"Backlog"),"")</f>
        <v/>
      </c>
    </row>
    <row r="40" spans="1:14" ht="19.5" customHeight="1">
      <c r="A40" s="68">
        <v>38</v>
      </c>
      <c r="B40" s="18"/>
      <c r="C40" s="19"/>
      <c r="D40" s="19"/>
      <c r="E40" s="19"/>
      <c r="F40" s="19"/>
      <c r="G40" s="19"/>
      <c r="H40" s="69" t="str">
        <f>IF(C40="XXL (&gt;160h)",168,IF(C40="XL (&gt;40h)",48,IF(C40="L (20-40h)",30,IF(C40="M (10-20h)",15,IF(C40="S (&lt;10h)",5,"")))))</f>
        <v/>
      </c>
      <c r="I40" s="18"/>
      <c r="J40" s="67" t="str">
        <f>IF($E40="Q12028",COUNTIF($E$3:$E40,"Q12028"),"")</f>
        <v/>
      </c>
      <c r="K40" s="67" t="str">
        <f>IF($E40="Q22028",COUNTIF($E$3:$E40,"Q22028"),"")</f>
        <v/>
      </c>
      <c r="L40" s="67" t="str">
        <f>IF($E40="Q32028",COUNTIF($E$3:$E40,"Q32028"),"")</f>
        <v/>
      </c>
      <c r="M40" s="67" t="str">
        <f>IF($E40="Q42028",COUNTIF($E$3:$E40,"Q42028"),"")</f>
        <v/>
      </c>
      <c r="N40" s="67" t="str">
        <f>IF($E40="Backlog",COUNTIF($E$3:$E40,"Backlog"),"")</f>
        <v/>
      </c>
    </row>
    <row r="41" spans="1:14" ht="19.5" customHeight="1">
      <c r="A41" s="65">
        <v>39</v>
      </c>
      <c r="B41" s="16"/>
      <c r="C41" s="17"/>
      <c r="D41" s="17"/>
      <c r="E41" s="17"/>
      <c r="F41" s="17"/>
      <c r="G41" s="17"/>
      <c r="H41" s="66" t="str">
        <f>IF(C41="XXL (&gt;160h)",168,IF(C41="XL (&gt;40h)",48,IF(C41="L (20-40h)",30,IF(C41="M (10-20h)",15,IF(C41="S (&lt;10h)",5,"")))))</f>
        <v/>
      </c>
      <c r="I41" s="16"/>
      <c r="J41" s="67" t="str">
        <f>IF($E41="Q12028",COUNTIF($E$3:$E41,"Q12028"),"")</f>
        <v/>
      </c>
      <c r="K41" s="67" t="str">
        <f>IF($E41="Q22028",COUNTIF($E$3:$E41,"Q22028"),"")</f>
        <v/>
      </c>
      <c r="L41" s="67" t="str">
        <f>IF($E41="Q32028",COUNTIF($E$3:$E41,"Q32028"),"")</f>
        <v/>
      </c>
      <c r="M41" s="67" t="str">
        <f>IF($E41="Q42028",COUNTIF($E$3:$E41,"Q42028"),"")</f>
        <v/>
      </c>
      <c r="N41" s="67" t="str">
        <f>IF($E41="Backlog",COUNTIF($E$3:$E41,"Backlog"),"")</f>
        <v/>
      </c>
    </row>
    <row r="42" spans="1:14" ht="19.5" customHeight="1">
      <c r="A42" s="68">
        <v>40</v>
      </c>
      <c r="B42" s="18"/>
      <c r="C42" s="19"/>
      <c r="D42" s="19"/>
      <c r="E42" s="19"/>
      <c r="F42" s="19"/>
      <c r="G42" s="19"/>
      <c r="H42" s="69" t="str">
        <f>IF(C42="XXL (&gt;160h)",168,IF(C42="XL (&gt;40h)",48,IF(C42="L (20-40h)",30,IF(C42="M (10-20h)",15,IF(C42="S (&lt;10h)",5,"")))))</f>
        <v/>
      </c>
      <c r="I42" s="18"/>
      <c r="J42" s="67" t="str">
        <f>IF($E42="Q12028",COUNTIF($E$3:$E42,"Q12028"),"")</f>
        <v/>
      </c>
      <c r="K42" s="67" t="str">
        <f>IF($E42="Q22028",COUNTIF($E$3:$E42,"Q22028"),"")</f>
        <v/>
      </c>
      <c r="L42" s="67" t="str">
        <f>IF($E42="Q32028",COUNTIF($E$3:$E42,"Q32028"),"")</f>
        <v/>
      </c>
      <c r="M42" s="67" t="str">
        <f>IF($E42="Q42028",COUNTIF($E$3:$E42,"Q42028"),"")</f>
        <v/>
      </c>
      <c r="N42" s="67" t="str">
        <f>IF($E42="Backlog",COUNTIF($E$3:$E42,"Backlog"),"")</f>
        <v/>
      </c>
    </row>
    <row r="43" spans="1:14" ht="19.5" customHeight="1">
      <c r="A43" s="65">
        <v>41</v>
      </c>
      <c r="B43" s="16"/>
      <c r="C43" s="17"/>
      <c r="D43" s="17"/>
      <c r="E43" s="17"/>
      <c r="F43" s="17"/>
      <c r="G43" s="17"/>
      <c r="H43" s="66" t="str">
        <f>IF(C43="XXL (&gt;160h)",168,IF(C43="XL (&gt;40h)",48,IF(C43="L (20-40h)",30,IF(C43="M (10-20h)",15,IF(C43="S (&lt;10h)",5,"")))))</f>
        <v/>
      </c>
      <c r="I43" s="16"/>
      <c r="J43" s="67" t="str">
        <f>IF($E43="Q12028",COUNTIF($E$3:$E43,"Q12028"),"")</f>
        <v/>
      </c>
      <c r="K43" s="67" t="str">
        <f>IF($E43="Q22028",COUNTIF($E$3:$E43,"Q22028"),"")</f>
        <v/>
      </c>
      <c r="L43" s="67" t="str">
        <f>IF($E43="Q32028",COUNTIF($E$3:$E43,"Q32028"),"")</f>
        <v/>
      </c>
      <c r="M43" s="67" t="str">
        <f>IF($E43="Q42028",COUNTIF($E$3:$E43,"Q42028"),"")</f>
        <v/>
      </c>
      <c r="N43" s="67" t="str">
        <f>IF($E43="Backlog",COUNTIF($E$3:$E43,"Backlog"),"")</f>
        <v/>
      </c>
    </row>
    <row r="44" spans="1:14" ht="19.5" customHeight="1">
      <c r="A44" s="68">
        <v>42</v>
      </c>
      <c r="B44" s="18"/>
      <c r="C44" s="19"/>
      <c r="D44" s="19"/>
      <c r="E44" s="19"/>
      <c r="F44" s="19"/>
      <c r="G44" s="19"/>
      <c r="H44" s="69" t="str">
        <f>IF(C44="XXL (&gt;160h)",168,IF(C44="XL (&gt;40h)",48,IF(C44="L (20-40h)",30,IF(C44="M (10-20h)",15,IF(C44="S (&lt;10h)",5,"")))))</f>
        <v/>
      </c>
      <c r="I44" s="18"/>
      <c r="J44" s="67" t="str">
        <f>IF($E44="Q12028",COUNTIF($E$3:$E44,"Q12028"),"")</f>
        <v/>
      </c>
      <c r="K44" s="67" t="str">
        <f>IF($E44="Q22028",COUNTIF($E$3:$E44,"Q22028"),"")</f>
        <v/>
      </c>
      <c r="L44" s="67" t="str">
        <f>IF($E44="Q32028",COUNTIF($E$3:$E44,"Q32028"),"")</f>
        <v/>
      </c>
      <c r="M44" s="67" t="str">
        <f>IF($E44="Q42028",COUNTIF($E$3:$E44,"Q42028"),"")</f>
        <v/>
      </c>
      <c r="N44" s="67" t="str">
        <f>IF($E44="Backlog",COUNTIF($E$3:$E44,"Backlog"),"")</f>
        <v/>
      </c>
    </row>
    <row r="45" spans="1:14" ht="19.5" customHeight="1">
      <c r="A45" s="65">
        <v>43</v>
      </c>
      <c r="B45" s="16"/>
      <c r="C45" s="17"/>
      <c r="D45" s="17"/>
      <c r="E45" s="17"/>
      <c r="F45" s="17"/>
      <c r="G45" s="17"/>
      <c r="H45" s="66" t="str">
        <f>IF(C45="XXL (&gt;160h)",168,IF(C45="XL (&gt;40h)",48,IF(C45="L (20-40h)",30,IF(C45="M (10-20h)",15,IF(C45="S (&lt;10h)",5,"")))))</f>
        <v/>
      </c>
      <c r="I45" s="16"/>
      <c r="J45" s="67" t="str">
        <f>IF($E45="Q12028",COUNTIF($E$3:$E45,"Q12028"),"")</f>
        <v/>
      </c>
      <c r="K45" s="67" t="str">
        <f>IF($E45="Q22028",COUNTIF($E$3:$E45,"Q22028"),"")</f>
        <v/>
      </c>
      <c r="L45" s="67" t="str">
        <f>IF($E45="Q32028",COUNTIF($E$3:$E45,"Q32028"),"")</f>
        <v/>
      </c>
      <c r="M45" s="67" t="str">
        <f>IF($E45="Q42028",COUNTIF($E$3:$E45,"Q42028"),"")</f>
        <v/>
      </c>
      <c r="N45" s="67" t="str">
        <f>IF($E45="Backlog",COUNTIF($E$3:$E45,"Backlog"),"")</f>
        <v/>
      </c>
    </row>
    <row r="46" spans="1:14" ht="19.5" customHeight="1">
      <c r="A46" s="68">
        <v>44</v>
      </c>
      <c r="B46" s="18"/>
      <c r="C46" s="19"/>
      <c r="D46" s="19"/>
      <c r="E46" s="19"/>
      <c r="F46" s="19"/>
      <c r="G46" s="19"/>
      <c r="H46" s="69" t="str">
        <f>IF(C46="XXL (&gt;160h)",168,IF(C46="XL (&gt;40h)",48,IF(C46="L (20-40h)",30,IF(C46="M (10-20h)",15,IF(C46="S (&lt;10h)",5,"")))))</f>
        <v/>
      </c>
      <c r="I46" s="18"/>
      <c r="J46" s="67" t="str">
        <f>IF($E46="Q12028",COUNTIF($E$3:$E46,"Q12028"),"")</f>
        <v/>
      </c>
      <c r="K46" s="67" t="str">
        <f>IF($E46="Q22028",COUNTIF($E$3:$E46,"Q22028"),"")</f>
        <v/>
      </c>
      <c r="L46" s="67" t="str">
        <f>IF($E46="Q32028",COUNTIF($E$3:$E46,"Q32028"),"")</f>
        <v/>
      </c>
      <c r="M46" s="67" t="str">
        <f>IF($E46="Q42028",COUNTIF($E$3:$E46,"Q42028"),"")</f>
        <v/>
      </c>
      <c r="N46" s="67" t="str">
        <f>IF($E46="Backlog",COUNTIF($E$3:$E46,"Backlog"),"")</f>
        <v/>
      </c>
    </row>
    <row r="47" spans="1:14" ht="19.5" customHeight="1">
      <c r="A47" s="65">
        <v>45</v>
      </c>
      <c r="B47" s="16"/>
      <c r="C47" s="17"/>
      <c r="D47" s="17"/>
      <c r="E47" s="17"/>
      <c r="F47" s="17"/>
      <c r="G47" s="17"/>
      <c r="H47" s="66" t="str">
        <f>IF(C47="XXL (&gt;160h)",168,IF(C47="XL (&gt;40h)",48,IF(C47="L (20-40h)",30,IF(C47="M (10-20h)",15,IF(C47="S (&lt;10h)",5,"")))))</f>
        <v/>
      </c>
      <c r="I47" s="16"/>
      <c r="J47" s="67" t="str">
        <f>IF($E47="Q12028",COUNTIF($E$3:$E47,"Q12028"),"")</f>
        <v/>
      </c>
      <c r="K47" s="67" t="str">
        <f>IF($E47="Q22028",COUNTIF($E$3:$E47,"Q22028"),"")</f>
        <v/>
      </c>
      <c r="L47" s="67" t="str">
        <f>IF($E47="Q32028",COUNTIF($E$3:$E47,"Q32028"),"")</f>
        <v/>
      </c>
      <c r="M47" s="67" t="str">
        <f>IF($E47="Q42028",COUNTIF($E$3:$E47,"Q42028"),"")</f>
        <v/>
      </c>
      <c r="N47" s="67" t="str">
        <f>IF($E47="Backlog",COUNTIF($E$3:$E47,"Backlog"),"")</f>
        <v/>
      </c>
    </row>
    <row r="48" spans="1:14" ht="19.5" customHeight="1">
      <c r="A48" s="68">
        <v>46</v>
      </c>
      <c r="B48" s="18"/>
      <c r="C48" s="19"/>
      <c r="D48" s="19"/>
      <c r="E48" s="19"/>
      <c r="F48" s="19"/>
      <c r="G48" s="19"/>
      <c r="H48" s="69" t="str">
        <f>IF(C48="XXL (&gt;160h)",168,IF(C48="XL (&gt;40h)",48,IF(C48="L (20-40h)",30,IF(C48="M (10-20h)",15,IF(C48="S (&lt;10h)",5,"")))))</f>
        <v/>
      </c>
      <c r="I48" s="18"/>
      <c r="J48" s="67" t="str">
        <f>IF($E48="Q12028",COUNTIF($E$3:$E48,"Q12028"),"")</f>
        <v/>
      </c>
      <c r="K48" s="67" t="str">
        <f>IF($E48="Q22028",COUNTIF($E$3:$E48,"Q22028"),"")</f>
        <v/>
      </c>
      <c r="L48" s="67" t="str">
        <f>IF($E48="Q32028",COUNTIF($E$3:$E48,"Q32028"),"")</f>
        <v/>
      </c>
      <c r="M48" s="67" t="str">
        <f>IF($E48="Q42028",COUNTIF($E$3:$E48,"Q42028"),"")</f>
        <v/>
      </c>
      <c r="N48" s="67" t="str">
        <f>IF($E48="Backlog",COUNTIF($E$3:$E48,"Backlog"),"")</f>
        <v/>
      </c>
    </row>
    <row r="49" spans="1:14" ht="19.5" customHeight="1">
      <c r="A49" s="65">
        <v>47</v>
      </c>
      <c r="B49" s="16"/>
      <c r="C49" s="17"/>
      <c r="D49" s="17"/>
      <c r="E49" s="17"/>
      <c r="F49" s="17"/>
      <c r="G49" s="17"/>
      <c r="H49" s="66" t="str">
        <f>IF(C49="XXL (&gt;160h)",168,IF(C49="XL (&gt;40h)",48,IF(C49="L (20-40h)",30,IF(C49="M (10-20h)",15,IF(C49="S (&lt;10h)",5,"")))))</f>
        <v/>
      </c>
      <c r="I49" s="16"/>
      <c r="J49" s="67" t="str">
        <f>IF($E49="Q12028",COUNTIF($E$3:$E49,"Q12028"),"")</f>
        <v/>
      </c>
      <c r="K49" s="67" t="str">
        <f>IF($E49="Q22028",COUNTIF($E$3:$E49,"Q22028"),"")</f>
        <v/>
      </c>
      <c r="L49" s="67" t="str">
        <f>IF($E49="Q32028",COUNTIF($E$3:$E49,"Q32028"),"")</f>
        <v/>
      </c>
      <c r="M49" s="67" t="str">
        <f>IF($E49="Q42028",COUNTIF($E$3:$E49,"Q42028"),"")</f>
        <v/>
      </c>
      <c r="N49" s="67" t="str">
        <f>IF($E49="Backlog",COUNTIF($E$3:$E49,"Backlog"),"")</f>
        <v/>
      </c>
    </row>
    <row r="50" spans="1:14" ht="19.5" customHeight="1">
      <c r="A50" s="68">
        <v>48</v>
      </c>
      <c r="B50" s="18"/>
      <c r="C50" s="19"/>
      <c r="D50" s="19"/>
      <c r="E50" s="19"/>
      <c r="F50" s="19"/>
      <c r="G50" s="19"/>
      <c r="H50" s="69" t="str">
        <f>IF(C50="XXL (&gt;160h)",168,IF(C50="XL (&gt;40h)",48,IF(C50="L (20-40h)",30,IF(C50="M (10-20h)",15,IF(C50="S (&lt;10h)",5,"")))))</f>
        <v/>
      </c>
      <c r="I50" s="18"/>
      <c r="J50" s="67" t="str">
        <f>IF($E50="Q12028",COUNTIF($E$3:$E50,"Q12028"),"")</f>
        <v/>
      </c>
      <c r="K50" s="67" t="str">
        <f>IF($E50="Q22028",COUNTIF($E$3:$E50,"Q22028"),"")</f>
        <v/>
      </c>
      <c r="L50" s="67" t="str">
        <f>IF($E50="Q32028",COUNTIF($E$3:$E50,"Q32028"),"")</f>
        <v/>
      </c>
      <c r="M50" s="67" t="str">
        <f>IF($E50="Q42028",COUNTIF($E$3:$E50,"Q42028"),"")</f>
        <v/>
      </c>
      <c r="N50" s="67" t="str">
        <f>IF($E50="Backlog",COUNTIF($E$3:$E50,"Backlog"),"")</f>
        <v/>
      </c>
    </row>
    <row r="51" spans="1:14" ht="19.5" customHeight="1">
      <c r="A51" s="65">
        <v>49</v>
      </c>
      <c r="B51" s="16"/>
      <c r="C51" s="17"/>
      <c r="D51" s="17"/>
      <c r="E51" s="17"/>
      <c r="F51" s="17"/>
      <c r="G51" s="17"/>
      <c r="H51" s="66" t="str">
        <f>IF(C51="XXL (&gt;160h)",168,IF(C51="XL (&gt;40h)",48,IF(C51="L (20-40h)",30,IF(C51="M (10-20h)",15,IF(C51="S (&lt;10h)",5,"")))))</f>
        <v/>
      </c>
      <c r="I51" s="16"/>
      <c r="J51" s="67" t="str">
        <f>IF($E51="Q12028",COUNTIF($E$3:$E51,"Q12028"),"")</f>
        <v/>
      </c>
      <c r="K51" s="67" t="str">
        <f>IF($E51="Q22028",COUNTIF($E$3:$E51,"Q22028"),"")</f>
        <v/>
      </c>
      <c r="L51" s="67" t="str">
        <f>IF($E51="Q32028",COUNTIF($E$3:$E51,"Q32028"),"")</f>
        <v/>
      </c>
      <c r="M51" s="67" t="str">
        <f>IF($E51="Q42028",COUNTIF($E$3:$E51,"Q42028"),"")</f>
        <v/>
      </c>
      <c r="N51" s="67" t="str">
        <f>IF($E51="Backlog",COUNTIF($E$3:$E51,"Backlog"),"")</f>
        <v/>
      </c>
    </row>
    <row r="52" spans="1:14" ht="19.5" customHeight="1">
      <c r="A52" s="68">
        <v>50</v>
      </c>
      <c r="B52" s="18"/>
      <c r="C52" s="19"/>
      <c r="D52" s="19"/>
      <c r="E52" s="19"/>
      <c r="F52" s="19"/>
      <c r="G52" s="19"/>
      <c r="H52" s="69" t="str">
        <f>IF(C52="XXL (&gt;160h)",168,IF(C52="XL (&gt;40h)",48,IF(C52="L (20-40h)",30,IF(C52="M (10-20h)",15,IF(C52="S (&lt;10h)",5,"")))))</f>
        <v/>
      </c>
      <c r="I52" s="18"/>
      <c r="J52" s="67" t="str">
        <f>IF($E52="Q12028",COUNTIF($E$3:$E52,"Q12028"),"")</f>
        <v/>
      </c>
      <c r="K52" s="67" t="str">
        <f>IF($E52="Q22028",COUNTIF($E$3:$E52,"Q22028"),"")</f>
        <v/>
      </c>
      <c r="L52" s="67" t="str">
        <f>IF($E52="Q32028",COUNTIF($E$3:$E52,"Q32028"),"")</f>
        <v/>
      </c>
      <c r="M52" s="67" t="str">
        <f>IF($E52="Q42028",COUNTIF($E$3:$E52,"Q42028"),"")</f>
        <v/>
      </c>
      <c r="N52" s="67" t="str">
        <f>IF($E52="Backlog",COUNTIF($E$3:$E52,"Backlog"),"")</f>
        <v/>
      </c>
    </row>
    <row r="53" spans="1:14" ht="19.5" customHeight="1">
      <c r="A53" s="65">
        <v>51</v>
      </c>
      <c r="B53" s="16"/>
      <c r="C53" s="17"/>
      <c r="D53" s="17"/>
      <c r="E53" s="17"/>
      <c r="F53" s="17"/>
      <c r="G53" s="17"/>
      <c r="H53" s="66" t="str">
        <f>IF(C53="XXL (&gt;160h)",168,IF(C53="XL (&gt;40h)",48,IF(C53="L (20-40h)",30,IF(C53="M (10-20h)",15,IF(C53="S (&lt;10h)",5,"")))))</f>
        <v/>
      </c>
      <c r="I53" s="16"/>
      <c r="J53" s="67" t="str">
        <f>IF($E53="Q12028",COUNTIF($E$3:$E53,"Q12028"),"")</f>
        <v/>
      </c>
      <c r="K53" s="67" t="str">
        <f>IF($E53="Q22028",COUNTIF($E$3:$E53,"Q22028"),"")</f>
        <v/>
      </c>
      <c r="L53" s="67" t="str">
        <f>IF($E53="Q32028",COUNTIF($E$3:$E53,"Q32028"),"")</f>
        <v/>
      </c>
      <c r="M53" s="67" t="str">
        <f>IF($E53="Q42028",COUNTIF($E$3:$E53,"Q42028"),"")</f>
        <v/>
      </c>
      <c r="N53" s="67" t="str">
        <f>IF($E53="Backlog",COUNTIF($E$3:$E53,"Backlog"),"")</f>
        <v/>
      </c>
    </row>
    <row r="54" spans="1:14" ht="19.5" customHeight="1">
      <c r="A54" s="68">
        <v>52</v>
      </c>
      <c r="B54" s="18"/>
      <c r="C54" s="19"/>
      <c r="D54" s="19"/>
      <c r="E54" s="19"/>
      <c r="F54" s="19"/>
      <c r="G54" s="19"/>
      <c r="H54" s="69" t="str">
        <f>IF(C54="XXL (&gt;160h)",168,IF(C54="XL (&gt;40h)",48,IF(C54="L (20-40h)",30,IF(C54="M (10-20h)",15,IF(C54="S (&lt;10h)",5,"")))))</f>
        <v/>
      </c>
      <c r="I54" s="18"/>
      <c r="J54" s="67" t="str">
        <f>IF($E54="Q12028",COUNTIF($E$3:$E54,"Q12028"),"")</f>
        <v/>
      </c>
      <c r="K54" s="67" t="str">
        <f>IF($E54="Q22028",COUNTIF($E$3:$E54,"Q22028"),"")</f>
        <v/>
      </c>
      <c r="L54" s="67" t="str">
        <f>IF($E54="Q32028",COUNTIF($E$3:$E54,"Q32028"),"")</f>
        <v/>
      </c>
      <c r="M54" s="67" t="str">
        <f>IF($E54="Q42028",COUNTIF($E$3:$E54,"Q42028"),"")</f>
        <v/>
      </c>
      <c r="N54" s="67" t="str">
        <f>IF($E54="Backlog",COUNTIF($E$3:$E54,"Backlog"),"")</f>
        <v/>
      </c>
    </row>
    <row r="55" spans="1:14" ht="19.5" customHeight="1">
      <c r="A55" s="65">
        <v>53</v>
      </c>
      <c r="B55" s="16"/>
      <c r="C55" s="17"/>
      <c r="D55" s="17"/>
      <c r="E55" s="17"/>
      <c r="F55" s="17"/>
      <c r="G55" s="17"/>
      <c r="H55" s="66" t="str">
        <f>IF(C55="XXL (&gt;160h)",168,IF(C55="XL (&gt;40h)",48,IF(C55="L (20-40h)",30,IF(C55="M (10-20h)",15,IF(C55="S (&lt;10h)",5,"")))))</f>
        <v/>
      </c>
      <c r="I55" s="16"/>
      <c r="J55" s="67" t="str">
        <f>IF($E55="Q12028",COUNTIF($E$3:$E55,"Q12028"),"")</f>
        <v/>
      </c>
      <c r="K55" s="67" t="str">
        <f>IF($E55="Q22028",COUNTIF($E$3:$E55,"Q22028"),"")</f>
        <v/>
      </c>
      <c r="L55" s="67" t="str">
        <f>IF($E55="Q32028",COUNTIF($E$3:$E55,"Q32028"),"")</f>
        <v/>
      </c>
      <c r="M55" s="67" t="str">
        <f>IF($E55="Q42028",COUNTIF($E$3:$E55,"Q42028"),"")</f>
        <v/>
      </c>
      <c r="N55" s="67" t="str">
        <f>IF($E55="Backlog",COUNTIF($E$3:$E55,"Backlog"),"")</f>
        <v/>
      </c>
    </row>
    <row r="56" spans="1:14" ht="19.5" customHeight="1">
      <c r="A56" s="68">
        <v>54</v>
      </c>
      <c r="B56" s="18"/>
      <c r="C56" s="19"/>
      <c r="D56" s="19"/>
      <c r="E56" s="19"/>
      <c r="F56" s="19"/>
      <c r="G56" s="19"/>
      <c r="H56" s="69" t="str">
        <f>IF(C56="XXL (&gt;160h)",168,IF(C56="XL (&gt;40h)",48,IF(C56="L (20-40h)",30,IF(C56="M (10-20h)",15,IF(C56="S (&lt;10h)",5,"")))))</f>
        <v/>
      </c>
      <c r="I56" s="18"/>
      <c r="J56" s="67" t="str">
        <f>IF($E56="Q12028",COUNTIF($E$3:$E56,"Q12028"),"")</f>
        <v/>
      </c>
      <c r="K56" s="67" t="str">
        <f>IF($E56="Q22028",COUNTIF($E$3:$E56,"Q22028"),"")</f>
        <v/>
      </c>
      <c r="L56" s="67" t="str">
        <f>IF($E56="Q32028",COUNTIF($E$3:$E56,"Q32028"),"")</f>
        <v/>
      </c>
      <c r="M56" s="67" t="str">
        <f>IF($E56="Q42028",COUNTIF($E$3:$E56,"Q42028"),"")</f>
        <v/>
      </c>
      <c r="N56" s="67" t="str">
        <f>IF($E56="Backlog",COUNTIF($E$3:$E56,"Backlog"),"")</f>
        <v/>
      </c>
    </row>
    <row r="57" spans="1:14" ht="19.5" customHeight="1">
      <c r="A57" s="65">
        <v>55</v>
      </c>
      <c r="B57" s="16"/>
      <c r="C57" s="17"/>
      <c r="D57" s="17"/>
      <c r="E57" s="17"/>
      <c r="F57" s="17"/>
      <c r="G57" s="17"/>
      <c r="H57" s="66" t="str">
        <f>IF(C57="XXL (&gt;160h)",168,IF(C57="XL (&gt;40h)",48,IF(C57="L (20-40h)",30,IF(C57="M (10-20h)",15,IF(C57="S (&lt;10h)",5,"")))))</f>
        <v/>
      </c>
      <c r="I57" s="16"/>
      <c r="J57" s="67" t="str">
        <f>IF($E57="Q12028",COUNTIF($E$3:$E57,"Q12028"),"")</f>
        <v/>
      </c>
      <c r="K57" s="67" t="str">
        <f>IF($E57="Q22028",COUNTIF($E$3:$E57,"Q22028"),"")</f>
        <v/>
      </c>
      <c r="L57" s="67" t="str">
        <f>IF($E57="Q32028",COUNTIF($E$3:$E57,"Q32028"),"")</f>
        <v/>
      </c>
      <c r="M57" s="67" t="str">
        <f>IF($E57="Q42028",COUNTIF($E$3:$E57,"Q42028"),"")</f>
        <v/>
      </c>
      <c r="N57" s="67" t="str">
        <f>IF($E57="Backlog",COUNTIF($E$3:$E57,"Backlog"),"")</f>
        <v/>
      </c>
    </row>
    <row r="58" spans="1:14" ht="19.5" customHeight="1">
      <c r="A58" s="68">
        <v>56</v>
      </c>
      <c r="B58" s="18"/>
      <c r="C58" s="19"/>
      <c r="D58" s="19"/>
      <c r="E58" s="19"/>
      <c r="F58" s="19"/>
      <c r="G58" s="19"/>
      <c r="H58" s="69" t="str">
        <f>IF(C58="XXL (&gt;160h)",168,IF(C58="XL (&gt;40h)",48,IF(C58="L (20-40h)",30,IF(C58="M (10-20h)",15,IF(C58="S (&lt;10h)",5,"")))))</f>
        <v/>
      </c>
      <c r="I58" s="18"/>
      <c r="J58" s="67" t="str">
        <f>IF($E58="Q12028",COUNTIF($E$3:$E58,"Q12028"),"")</f>
        <v/>
      </c>
      <c r="K58" s="67" t="str">
        <f>IF($E58="Q22028",COUNTIF($E$3:$E58,"Q22028"),"")</f>
        <v/>
      </c>
      <c r="L58" s="67" t="str">
        <f>IF($E58="Q32028",COUNTIF($E$3:$E58,"Q32028"),"")</f>
        <v/>
      </c>
      <c r="M58" s="67" t="str">
        <f>IF($E58="Q42028",COUNTIF($E$3:$E58,"Q42028"),"")</f>
        <v/>
      </c>
      <c r="N58" s="67" t="str">
        <f>IF($E58="Backlog",COUNTIF($E$3:$E58,"Backlog"),"")</f>
        <v/>
      </c>
    </row>
    <row r="59" spans="1:14" ht="19.5" customHeight="1">
      <c r="A59" s="65">
        <v>57</v>
      </c>
      <c r="B59" s="16"/>
      <c r="C59" s="17"/>
      <c r="D59" s="17"/>
      <c r="E59" s="17"/>
      <c r="F59" s="17"/>
      <c r="G59" s="17"/>
      <c r="H59" s="66" t="str">
        <f>IF(C59="XXL (&gt;160h)",168,IF(C59="XL (&gt;40h)",48,IF(C59="L (20-40h)",30,IF(C59="M (10-20h)",15,IF(C59="S (&lt;10h)",5,"")))))</f>
        <v/>
      </c>
      <c r="I59" s="16"/>
      <c r="J59" s="67" t="str">
        <f>IF($E59="Q12028",COUNTIF($E$3:$E59,"Q12028"),"")</f>
        <v/>
      </c>
      <c r="K59" s="67" t="str">
        <f>IF($E59="Q22028",COUNTIF($E$3:$E59,"Q22028"),"")</f>
        <v/>
      </c>
      <c r="L59" s="67" t="str">
        <f>IF($E59="Q32028",COUNTIF($E$3:$E59,"Q32028"),"")</f>
        <v/>
      </c>
      <c r="M59" s="67" t="str">
        <f>IF($E59="Q42028",COUNTIF($E$3:$E59,"Q42028"),"")</f>
        <v/>
      </c>
      <c r="N59" s="67" t="str">
        <f>IF($E59="Backlog",COUNTIF($E$3:$E59,"Backlog"),"")</f>
        <v/>
      </c>
    </row>
    <row r="60" spans="1:14" ht="19.5" customHeight="1">
      <c r="A60" s="68">
        <v>58</v>
      </c>
      <c r="B60" s="18"/>
      <c r="C60" s="19"/>
      <c r="D60" s="19"/>
      <c r="E60" s="19"/>
      <c r="F60" s="19"/>
      <c r="G60" s="19"/>
      <c r="H60" s="69" t="str">
        <f>IF(C60="XXL (&gt;160h)",168,IF(C60="XL (&gt;40h)",48,IF(C60="L (20-40h)",30,IF(C60="M (10-20h)",15,IF(C60="S (&lt;10h)",5,"")))))</f>
        <v/>
      </c>
      <c r="I60" s="18"/>
      <c r="J60" s="67" t="str">
        <f>IF($E60="Q12028",COUNTIF($E$3:$E60,"Q12028"),"")</f>
        <v/>
      </c>
      <c r="K60" s="67" t="str">
        <f>IF($E60="Q22028",COUNTIF($E$3:$E60,"Q22028"),"")</f>
        <v/>
      </c>
      <c r="L60" s="67" t="str">
        <f>IF($E60="Q32028",COUNTIF($E$3:$E60,"Q32028"),"")</f>
        <v/>
      </c>
      <c r="M60" s="67" t="str">
        <f>IF($E60="Q42028",COUNTIF($E$3:$E60,"Q42028"),"")</f>
        <v/>
      </c>
      <c r="N60" s="67" t="str">
        <f>IF($E60="Backlog",COUNTIF($E$3:$E60,"Backlog"),"")</f>
        <v/>
      </c>
    </row>
    <row r="61" spans="1:14" ht="19.5" customHeight="1">
      <c r="A61" s="65">
        <v>59</v>
      </c>
      <c r="B61" s="16"/>
      <c r="C61" s="17"/>
      <c r="D61" s="17"/>
      <c r="E61" s="17"/>
      <c r="F61" s="17"/>
      <c r="G61" s="17"/>
      <c r="H61" s="66" t="str">
        <f>IF(C61="XXL (&gt;160h)",168,IF(C61="XL (&gt;40h)",48,IF(C61="L (20-40h)",30,IF(C61="M (10-20h)",15,IF(C61="S (&lt;10h)",5,"")))))</f>
        <v/>
      </c>
      <c r="I61" s="16"/>
      <c r="J61" s="67" t="str">
        <f>IF($E61="Q12028",COUNTIF($E$3:$E61,"Q12028"),"")</f>
        <v/>
      </c>
      <c r="K61" s="67" t="str">
        <f>IF($E61="Q22028",COUNTIF($E$3:$E61,"Q22028"),"")</f>
        <v/>
      </c>
      <c r="L61" s="67" t="str">
        <f>IF($E61="Q32028",COUNTIF($E$3:$E61,"Q32028"),"")</f>
        <v/>
      </c>
      <c r="M61" s="67" t="str">
        <f>IF($E61="Q42028",COUNTIF($E$3:$E61,"Q42028"),"")</f>
        <v/>
      </c>
      <c r="N61" s="67" t="str">
        <f>IF($E61="Backlog",COUNTIF($E$3:$E61,"Backlog"),"")</f>
        <v/>
      </c>
    </row>
    <row r="62" spans="1:14" ht="19.5" customHeight="1">
      <c r="A62" s="68">
        <v>60</v>
      </c>
      <c r="B62" s="18"/>
      <c r="C62" s="19"/>
      <c r="D62" s="19"/>
      <c r="E62" s="19"/>
      <c r="F62" s="19"/>
      <c r="G62" s="19"/>
      <c r="H62" s="69" t="str">
        <f>IF(C62="XXL (&gt;160h)",168,IF(C62="XL (&gt;40h)",48,IF(C62="L (20-40h)",30,IF(C62="M (10-20h)",15,IF(C62="S (&lt;10h)",5,"")))))</f>
        <v/>
      </c>
      <c r="I62" s="18"/>
      <c r="J62" s="67" t="str">
        <f>IF($E62="Q12028",COUNTIF($E$3:$E62,"Q12028"),"")</f>
        <v/>
      </c>
      <c r="K62" s="67" t="str">
        <f>IF($E62="Q22028",COUNTIF($E$3:$E62,"Q22028"),"")</f>
        <v/>
      </c>
      <c r="L62" s="67" t="str">
        <f>IF($E62="Q32028",COUNTIF($E$3:$E62,"Q32028"),"")</f>
        <v/>
      </c>
      <c r="M62" s="67" t="str">
        <f>IF($E62="Q42028",COUNTIF($E$3:$E62,"Q42028"),"")</f>
        <v/>
      </c>
      <c r="N62" s="67" t="str">
        <f>IF($E62="Backlog",COUNTIF($E$3:$E62,"Backlog"),"")</f>
        <v/>
      </c>
    </row>
    <row r="63" spans="1:14" ht="19.5" customHeight="1">
      <c r="A63" s="65">
        <v>61</v>
      </c>
      <c r="B63" s="16"/>
      <c r="C63" s="17"/>
      <c r="D63" s="17"/>
      <c r="E63" s="17"/>
      <c r="F63" s="17"/>
      <c r="G63" s="17"/>
      <c r="H63" s="66" t="str">
        <f>IF(C63="XXL (&gt;160h)",168,IF(C63="XL (&gt;40h)",48,IF(C63="L (20-40h)",30,IF(C63="M (10-20h)",15,IF(C63="S (&lt;10h)",5,"")))))</f>
        <v/>
      </c>
      <c r="I63" s="16"/>
      <c r="J63" s="67" t="str">
        <f>IF($E63="Q12028",COUNTIF($E$3:$E63,"Q12028"),"")</f>
        <v/>
      </c>
      <c r="K63" s="67" t="str">
        <f>IF($E63="Q22028",COUNTIF($E$3:$E63,"Q22028"),"")</f>
        <v/>
      </c>
      <c r="L63" s="67" t="str">
        <f>IF($E63="Q32028",COUNTIF($E$3:$E63,"Q32028"),"")</f>
        <v/>
      </c>
      <c r="M63" s="67" t="str">
        <f>IF($E63="Q42028",COUNTIF($E$3:$E63,"Q42028"),"")</f>
        <v/>
      </c>
      <c r="N63" s="67" t="str">
        <f>IF($E63="Backlog",COUNTIF($E$3:$E63,"Backlog"),"")</f>
        <v/>
      </c>
    </row>
    <row r="64" spans="1:14" ht="19.5" customHeight="1">
      <c r="A64" s="68">
        <v>62</v>
      </c>
      <c r="B64" s="18"/>
      <c r="C64" s="19"/>
      <c r="D64" s="19"/>
      <c r="E64" s="19"/>
      <c r="F64" s="19"/>
      <c r="G64" s="19"/>
      <c r="H64" s="69" t="str">
        <f>IF(C64="XXL (&gt;160h)",168,IF(C64="XL (&gt;40h)",48,IF(C64="L (20-40h)",30,IF(C64="M (10-20h)",15,IF(C64="S (&lt;10h)",5,"")))))</f>
        <v/>
      </c>
      <c r="I64" s="18"/>
      <c r="J64" s="67" t="str">
        <f>IF($E64="Q12028",COUNTIF($E$3:$E64,"Q12028"),"")</f>
        <v/>
      </c>
      <c r="K64" s="67" t="str">
        <f>IF($E64="Q22028",COUNTIF($E$3:$E64,"Q22028"),"")</f>
        <v/>
      </c>
      <c r="L64" s="67" t="str">
        <f>IF($E64="Q32028",COUNTIF($E$3:$E64,"Q32028"),"")</f>
        <v/>
      </c>
      <c r="M64" s="67" t="str">
        <f>IF($E64="Q42028",COUNTIF($E$3:$E64,"Q42028"),"")</f>
        <v/>
      </c>
      <c r="N64" s="67" t="str">
        <f>IF($E64="Backlog",COUNTIF($E$3:$E64,"Backlog"),"")</f>
        <v/>
      </c>
    </row>
    <row r="65" spans="1:14" ht="19.5" customHeight="1">
      <c r="A65" s="65">
        <v>63</v>
      </c>
      <c r="B65" s="16"/>
      <c r="C65" s="17"/>
      <c r="D65" s="17"/>
      <c r="E65" s="17"/>
      <c r="F65" s="17"/>
      <c r="G65" s="17"/>
      <c r="H65" s="66" t="str">
        <f>IF(C65="XXL (&gt;160h)",168,IF(C65="XL (&gt;40h)",48,IF(C65="L (20-40h)",30,IF(C65="M (10-20h)",15,IF(C65="S (&lt;10h)",5,"")))))</f>
        <v/>
      </c>
      <c r="I65" s="16"/>
      <c r="J65" s="67" t="str">
        <f>IF($E65="Q12028",COUNTIF($E$3:$E65,"Q12028"),"")</f>
        <v/>
      </c>
      <c r="K65" s="67" t="str">
        <f>IF($E65="Q22028",COUNTIF($E$3:$E65,"Q22028"),"")</f>
        <v/>
      </c>
      <c r="L65" s="67" t="str">
        <f>IF($E65="Q32028",COUNTIF($E$3:$E65,"Q32028"),"")</f>
        <v/>
      </c>
      <c r="M65" s="67" t="str">
        <f>IF($E65="Q42028",COUNTIF($E$3:$E65,"Q42028"),"")</f>
        <v/>
      </c>
      <c r="N65" s="67" t="str">
        <f>IF($E65="Backlog",COUNTIF($E$3:$E65,"Backlog"),"")</f>
        <v/>
      </c>
    </row>
    <row r="66" spans="1:14" ht="19.5" customHeight="1">
      <c r="A66" s="68">
        <v>64</v>
      </c>
      <c r="B66" s="18"/>
      <c r="C66" s="19"/>
      <c r="D66" s="19"/>
      <c r="E66" s="19"/>
      <c r="F66" s="19"/>
      <c r="G66" s="19"/>
      <c r="H66" s="69" t="str">
        <f>IF(C66="XXL (&gt;160h)",168,IF(C66="XL (&gt;40h)",48,IF(C66="L (20-40h)",30,IF(C66="M (10-20h)",15,IF(C66="S (&lt;10h)",5,"")))))</f>
        <v/>
      </c>
      <c r="I66" s="18"/>
      <c r="J66" s="67" t="str">
        <f>IF($E66="Q12028",COUNTIF($E$3:$E66,"Q12028"),"")</f>
        <v/>
      </c>
      <c r="K66" s="67" t="str">
        <f>IF($E66="Q22028",COUNTIF($E$3:$E66,"Q22028"),"")</f>
        <v/>
      </c>
      <c r="L66" s="67" t="str">
        <f>IF($E66="Q32028",COUNTIF($E$3:$E66,"Q32028"),"")</f>
        <v/>
      </c>
      <c r="M66" s="67" t="str">
        <f>IF($E66="Q42028",COUNTIF($E$3:$E66,"Q42028"),"")</f>
        <v/>
      </c>
      <c r="N66" s="67" t="str">
        <f>IF($E66="Backlog",COUNTIF($E$3:$E66,"Backlog"),"")</f>
        <v/>
      </c>
    </row>
    <row r="67" spans="1:14" ht="19.5" customHeight="1">
      <c r="A67" s="65">
        <v>65</v>
      </c>
      <c r="B67" s="16"/>
      <c r="C67" s="17"/>
      <c r="D67" s="17"/>
      <c r="E67" s="17"/>
      <c r="F67" s="17"/>
      <c r="G67" s="17"/>
      <c r="H67" s="66" t="str">
        <f>IF(C67="XXL (&gt;160h)",168,IF(C67="XL (&gt;40h)",48,IF(C67="L (20-40h)",30,IF(C67="M (10-20h)",15,IF(C67="S (&lt;10h)",5,"")))))</f>
        <v/>
      </c>
      <c r="I67" s="16"/>
      <c r="J67" s="67" t="str">
        <f>IF($E67="Q12028",COUNTIF($E$3:$E67,"Q12028"),"")</f>
        <v/>
      </c>
      <c r="K67" s="67" t="str">
        <f>IF($E67="Q22028",COUNTIF($E$3:$E67,"Q22028"),"")</f>
        <v/>
      </c>
      <c r="L67" s="67" t="str">
        <f>IF($E67="Q32028",COUNTIF($E$3:$E67,"Q32028"),"")</f>
        <v/>
      </c>
      <c r="M67" s="67" t="str">
        <f>IF($E67="Q42028",COUNTIF($E$3:$E67,"Q42028"),"")</f>
        <v/>
      </c>
      <c r="N67" s="67" t="str">
        <f>IF($E67="Backlog",COUNTIF($E$3:$E67,"Backlog"),"")</f>
        <v/>
      </c>
    </row>
    <row r="68" spans="1:14" ht="19.5" customHeight="1">
      <c r="A68" s="68">
        <v>66</v>
      </c>
      <c r="B68" s="18"/>
      <c r="C68" s="19"/>
      <c r="D68" s="19"/>
      <c r="E68" s="19"/>
      <c r="F68" s="19"/>
      <c r="G68" s="19"/>
      <c r="H68" s="69" t="str">
        <f>IF(C68="XXL (&gt;160h)",168,IF(C68="XL (&gt;40h)",48,IF(C68="L (20-40h)",30,IF(C68="M (10-20h)",15,IF(C68="S (&lt;10h)",5,"")))))</f>
        <v/>
      </c>
      <c r="I68" s="18"/>
      <c r="J68" s="67" t="str">
        <f>IF($E68="Q12028",COUNTIF($E$3:$E68,"Q12028"),"")</f>
        <v/>
      </c>
      <c r="K68" s="67" t="str">
        <f>IF($E68="Q22028",COUNTIF($E$3:$E68,"Q22028"),"")</f>
        <v/>
      </c>
      <c r="L68" s="67" t="str">
        <f>IF($E68="Q32028",COUNTIF($E$3:$E68,"Q32028"),"")</f>
        <v/>
      </c>
      <c r="M68" s="67" t="str">
        <f>IF($E68="Q42028",COUNTIF($E$3:$E68,"Q42028"),"")</f>
        <v/>
      </c>
      <c r="N68" s="67" t="str">
        <f>IF($E68="Backlog",COUNTIF($E$3:$E68,"Backlog"),"")</f>
        <v/>
      </c>
    </row>
    <row r="69" spans="1:14" ht="19.5" customHeight="1">
      <c r="A69" s="65">
        <v>67</v>
      </c>
      <c r="B69" s="16"/>
      <c r="C69" s="17"/>
      <c r="D69" s="17"/>
      <c r="E69" s="17"/>
      <c r="F69" s="17"/>
      <c r="G69" s="17"/>
      <c r="H69" s="66" t="str">
        <f>IF(C69="XXL (&gt;160h)",168,IF(C69="XL (&gt;40h)",48,IF(C69="L (20-40h)",30,IF(C69="M (10-20h)",15,IF(C69="S (&lt;10h)",5,"")))))</f>
        <v/>
      </c>
      <c r="I69" s="16"/>
      <c r="J69" s="67" t="str">
        <f>IF($E69="Q12028",COUNTIF($E$3:$E69,"Q12028"),"")</f>
        <v/>
      </c>
      <c r="K69" s="67" t="str">
        <f>IF($E69="Q22028",COUNTIF($E$3:$E69,"Q22028"),"")</f>
        <v/>
      </c>
      <c r="L69" s="67" t="str">
        <f>IF($E69="Q32028",COUNTIF($E$3:$E69,"Q32028"),"")</f>
        <v/>
      </c>
      <c r="M69" s="67" t="str">
        <f>IF($E69="Q42028",COUNTIF($E$3:$E69,"Q42028"),"")</f>
        <v/>
      </c>
      <c r="N69" s="67" t="str">
        <f>IF($E69="Backlog",COUNTIF($E$3:$E69,"Backlog"),"")</f>
        <v/>
      </c>
    </row>
    <row r="70" spans="1:14" ht="19.5" customHeight="1">
      <c r="A70" s="68">
        <v>68</v>
      </c>
      <c r="B70" s="18"/>
      <c r="C70" s="19"/>
      <c r="D70" s="19"/>
      <c r="E70" s="19"/>
      <c r="F70" s="19"/>
      <c r="G70" s="19"/>
      <c r="H70" s="69" t="str">
        <f>IF(C70="XXL (&gt;160h)",168,IF(C70="XL (&gt;40h)",48,IF(C70="L (20-40h)",30,IF(C70="M (10-20h)",15,IF(C70="S (&lt;10h)",5,"")))))</f>
        <v/>
      </c>
      <c r="I70" s="18"/>
      <c r="J70" s="67" t="str">
        <f>IF($E70="Q12028",COUNTIF($E$3:$E70,"Q12028"),"")</f>
        <v/>
      </c>
      <c r="K70" s="67" t="str">
        <f>IF($E70="Q22028",COUNTIF($E$3:$E70,"Q22028"),"")</f>
        <v/>
      </c>
      <c r="L70" s="67" t="str">
        <f>IF($E70="Q32028",COUNTIF($E$3:$E70,"Q32028"),"")</f>
        <v/>
      </c>
      <c r="M70" s="67" t="str">
        <f>IF($E70="Q42028",COUNTIF($E$3:$E70,"Q42028"),"")</f>
        <v/>
      </c>
      <c r="N70" s="67" t="str">
        <f>IF($E70="Backlog",COUNTIF($E$3:$E70,"Backlog"),"")</f>
        <v/>
      </c>
    </row>
    <row r="71" spans="1:14" ht="19.5" customHeight="1">
      <c r="A71" s="65">
        <v>69</v>
      </c>
      <c r="B71" s="16"/>
      <c r="C71" s="17"/>
      <c r="D71" s="17"/>
      <c r="E71" s="17"/>
      <c r="F71" s="17"/>
      <c r="G71" s="17"/>
      <c r="H71" s="66" t="str">
        <f>IF(C71="XXL (&gt;160h)",168,IF(C71="XL (&gt;40h)",48,IF(C71="L (20-40h)",30,IF(C71="M (10-20h)",15,IF(C71="S (&lt;10h)",5,"")))))</f>
        <v/>
      </c>
      <c r="I71" s="16"/>
      <c r="J71" s="67" t="str">
        <f>IF($E71="Q12028",COUNTIF($E$3:$E71,"Q12028"),"")</f>
        <v/>
      </c>
      <c r="K71" s="67" t="str">
        <f>IF($E71="Q22028",COUNTIF($E$3:$E71,"Q22028"),"")</f>
        <v/>
      </c>
      <c r="L71" s="67" t="str">
        <f>IF($E71="Q32028",COUNTIF($E$3:$E71,"Q32028"),"")</f>
        <v/>
      </c>
      <c r="M71" s="67" t="str">
        <f>IF($E71="Q42028",COUNTIF($E$3:$E71,"Q42028"),"")</f>
        <v/>
      </c>
      <c r="N71" s="67" t="str">
        <f>IF($E71="Backlog",COUNTIF($E$3:$E71,"Backlog"),"")</f>
        <v/>
      </c>
    </row>
    <row r="72" spans="1:14" ht="19.5" customHeight="1">
      <c r="A72" s="68">
        <v>70</v>
      </c>
      <c r="B72" s="18"/>
      <c r="C72" s="19"/>
      <c r="D72" s="19"/>
      <c r="E72" s="19"/>
      <c r="F72" s="19"/>
      <c r="G72" s="19"/>
      <c r="H72" s="69" t="str">
        <f>IF(C72="XXL (&gt;160h)",168,IF(C72="XL (&gt;40h)",48,IF(C72="L (20-40h)",30,IF(C72="M (10-20h)",15,IF(C72="S (&lt;10h)",5,"")))))</f>
        <v/>
      </c>
      <c r="I72" s="18"/>
      <c r="J72" s="67" t="str">
        <f>IF($E72="Q12028",COUNTIF($E$3:$E72,"Q12028"),"")</f>
        <v/>
      </c>
      <c r="K72" s="67" t="str">
        <f>IF($E72="Q22028",COUNTIF($E$3:$E72,"Q22028"),"")</f>
        <v/>
      </c>
      <c r="L72" s="67" t="str">
        <f>IF($E72="Q32028",COUNTIF($E$3:$E72,"Q32028"),"")</f>
        <v/>
      </c>
      <c r="M72" s="67" t="str">
        <f>IF($E72="Q42028",COUNTIF($E$3:$E72,"Q42028"),"")</f>
        <v/>
      </c>
      <c r="N72" s="67" t="str">
        <f>IF($E72="Backlog",COUNTIF($E$3:$E72,"Backlog"),"")</f>
        <v/>
      </c>
    </row>
    <row r="73" spans="1:14" ht="19.5" customHeight="1">
      <c r="A73" s="65">
        <v>71</v>
      </c>
      <c r="B73" s="16"/>
      <c r="C73" s="17"/>
      <c r="D73" s="17"/>
      <c r="E73" s="17"/>
      <c r="F73" s="17"/>
      <c r="G73" s="17"/>
      <c r="H73" s="66" t="str">
        <f>IF(C73="XXL (&gt;160h)",168,IF(C73="XL (&gt;40h)",48,IF(C73="L (20-40h)",30,IF(C73="M (10-20h)",15,IF(C73="S (&lt;10h)",5,"")))))</f>
        <v/>
      </c>
      <c r="I73" s="16"/>
      <c r="J73" s="67" t="str">
        <f>IF($E73="Q12028",COUNTIF($E$3:$E73,"Q12028"),"")</f>
        <v/>
      </c>
      <c r="K73" s="67" t="str">
        <f>IF($E73="Q22028",COUNTIF($E$3:$E73,"Q22028"),"")</f>
        <v/>
      </c>
      <c r="L73" s="67" t="str">
        <f>IF($E73="Q32028",COUNTIF($E$3:$E73,"Q32028"),"")</f>
        <v/>
      </c>
      <c r="M73" s="67" t="str">
        <f>IF($E73="Q42028",COUNTIF($E$3:$E73,"Q42028"),"")</f>
        <v/>
      </c>
      <c r="N73" s="67" t="str">
        <f>IF($E73="Backlog",COUNTIF($E$3:$E73,"Backlog"),"")</f>
        <v/>
      </c>
    </row>
    <row r="74" spans="1:14" ht="19.5" customHeight="1">
      <c r="A74" s="68">
        <v>72</v>
      </c>
      <c r="B74" s="18"/>
      <c r="C74" s="19"/>
      <c r="D74" s="19"/>
      <c r="E74" s="19"/>
      <c r="F74" s="19"/>
      <c r="G74" s="19"/>
      <c r="H74" s="69" t="str">
        <f>IF(C74="XXL (&gt;160h)",168,IF(C74="XL (&gt;40h)",48,IF(C74="L (20-40h)",30,IF(C74="M (10-20h)",15,IF(C74="S (&lt;10h)",5,"")))))</f>
        <v/>
      </c>
      <c r="I74" s="18"/>
      <c r="J74" s="67" t="str">
        <f>IF($E74="Q12028",COUNTIF($E$3:$E74,"Q12028"),"")</f>
        <v/>
      </c>
      <c r="K74" s="67" t="str">
        <f>IF($E74="Q22028",COUNTIF($E$3:$E74,"Q22028"),"")</f>
        <v/>
      </c>
      <c r="L74" s="67" t="str">
        <f>IF($E74="Q32028",COUNTIF($E$3:$E74,"Q32028"),"")</f>
        <v/>
      </c>
      <c r="M74" s="67" t="str">
        <f>IF($E74="Q42028",COUNTIF($E$3:$E74,"Q42028"),"")</f>
        <v/>
      </c>
      <c r="N74" s="67" t="str">
        <f>IF($E74="Backlog",COUNTIF($E$3:$E74,"Backlog"),"")</f>
        <v/>
      </c>
    </row>
    <row r="75" spans="1:14" ht="19.5" customHeight="1">
      <c r="A75" s="65">
        <v>73</v>
      </c>
      <c r="B75" s="16"/>
      <c r="C75" s="17"/>
      <c r="D75" s="17"/>
      <c r="E75" s="17"/>
      <c r="F75" s="17"/>
      <c r="G75" s="17"/>
      <c r="H75" s="66" t="str">
        <f>IF(C75="XXL (&gt;160h)",168,IF(C75="XL (&gt;40h)",48,IF(C75="L (20-40h)",30,IF(C75="M (10-20h)",15,IF(C75="S (&lt;10h)",5,"")))))</f>
        <v/>
      </c>
      <c r="I75" s="16"/>
      <c r="J75" s="67" t="str">
        <f>IF($E75="Q12028",COUNTIF($E$3:$E75,"Q12028"),"")</f>
        <v/>
      </c>
      <c r="K75" s="67" t="str">
        <f>IF($E75="Q22028",COUNTIF($E$3:$E75,"Q22028"),"")</f>
        <v/>
      </c>
      <c r="L75" s="67" t="str">
        <f>IF($E75="Q32028",COUNTIF($E$3:$E75,"Q32028"),"")</f>
        <v/>
      </c>
      <c r="M75" s="67" t="str">
        <f>IF($E75="Q42028",COUNTIF($E$3:$E75,"Q42028"),"")</f>
        <v/>
      </c>
      <c r="N75" s="67" t="str">
        <f>IF($E75="Backlog",COUNTIF($E$3:$E75,"Backlog"),"")</f>
        <v/>
      </c>
    </row>
    <row r="76" spans="1:14" ht="19.5" customHeight="1">
      <c r="A76" s="68">
        <v>74</v>
      </c>
      <c r="B76" s="18"/>
      <c r="C76" s="19"/>
      <c r="D76" s="19"/>
      <c r="E76" s="19"/>
      <c r="F76" s="19"/>
      <c r="G76" s="19"/>
      <c r="H76" s="69" t="str">
        <f>IF(C76="XXL (&gt;160h)",168,IF(C76="XL (&gt;40h)",48,IF(C76="L (20-40h)",30,IF(C76="M (10-20h)",15,IF(C76="S (&lt;10h)",5,"")))))</f>
        <v/>
      </c>
      <c r="I76" s="18"/>
      <c r="J76" s="67" t="str">
        <f>IF($E76="Q12028",COUNTIF($E$3:$E76,"Q12028"),"")</f>
        <v/>
      </c>
      <c r="K76" s="67" t="str">
        <f>IF($E76="Q22028",COUNTIF($E$3:$E76,"Q22028"),"")</f>
        <v/>
      </c>
      <c r="L76" s="67" t="str">
        <f>IF($E76="Q32028",COUNTIF($E$3:$E76,"Q32028"),"")</f>
        <v/>
      </c>
      <c r="M76" s="67" t="str">
        <f>IF($E76="Q42028",COUNTIF($E$3:$E76,"Q42028"),"")</f>
        <v/>
      </c>
      <c r="N76" s="67" t="str">
        <f>IF($E76="Backlog",COUNTIF($E$3:$E76,"Backlog"),"")</f>
        <v/>
      </c>
    </row>
    <row r="77" spans="1:14" ht="19.5" customHeight="1">
      <c r="A77" s="65">
        <v>75</v>
      </c>
      <c r="B77" s="16"/>
      <c r="C77" s="17"/>
      <c r="D77" s="17"/>
      <c r="E77" s="17"/>
      <c r="F77" s="17"/>
      <c r="G77" s="17"/>
      <c r="H77" s="66" t="str">
        <f>IF(C77="XXL (&gt;160h)",168,IF(C77="XL (&gt;40h)",48,IF(C77="L (20-40h)",30,IF(C77="M (10-20h)",15,IF(C77="S (&lt;10h)",5,"")))))</f>
        <v/>
      </c>
      <c r="I77" s="16"/>
      <c r="J77" s="67" t="str">
        <f>IF($E77="Q12028",COUNTIF($E$3:$E77,"Q12028"),"")</f>
        <v/>
      </c>
      <c r="K77" s="67" t="str">
        <f>IF($E77="Q22028",COUNTIF($E$3:$E77,"Q22028"),"")</f>
        <v/>
      </c>
      <c r="L77" s="67" t="str">
        <f>IF($E77="Q32028",COUNTIF($E$3:$E77,"Q32028"),"")</f>
        <v/>
      </c>
      <c r="M77" s="67" t="str">
        <f>IF($E77="Q42028",COUNTIF($E$3:$E77,"Q42028"),"")</f>
        <v/>
      </c>
      <c r="N77" s="67" t="str">
        <f>IF($E77="Backlog",COUNTIF($E$3:$E77,"Backlog"),"")</f>
        <v/>
      </c>
    </row>
    <row r="78" spans="1:14" ht="19.5" customHeight="1">
      <c r="A78" s="68">
        <v>76</v>
      </c>
      <c r="B78" s="18"/>
      <c r="C78" s="19"/>
      <c r="D78" s="19"/>
      <c r="E78" s="19"/>
      <c r="F78" s="19"/>
      <c r="G78" s="19"/>
      <c r="H78" s="69" t="str">
        <f>IF(C78="XXL (&gt;160h)",168,IF(C78="XL (&gt;40h)",48,IF(C78="L (20-40h)",30,IF(C78="M (10-20h)",15,IF(C78="S (&lt;10h)",5,"")))))</f>
        <v/>
      </c>
      <c r="I78" s="18"/>
      <c r="J78" s="67" t="str">
        <f>IF($E78="Q12028",COUNTIF($E$3:$E78,"Q12028"),"")</f>
        <v/>
      </c>
      <c r="K78" s="67" t="str">
        <f>IF($E78="Q22028",COUNTIF($E$3:$E78,"Q22028"),"")</f>
        <v/>
      </c>
      <c r="L78" s="67" t="str">
        <f>IF($E78="Q32028",COUNTIF($E$3:$E78,"Q32028"),"")</f>
        <v/>
      </c>
      <c r="M78" s="67" t="str">
        <f>IF($E78="Q42028",COUNTIF($E$3:$E78,"Q42028"),"")</f>
        <v/>
      </c>
      <c r="N78" s="67" t="str">
        <f>IF($E78="Backlog",COUNTIF($E$3:$E78,"Backlog"),"")</f>
        <v/>
      </c>
    </row>
    <row r="79" spans="1:14" ht="19.5" customHeight="1">
      <c r="A79" s="65">
        <v>77</v>
      </c>
      <c r="B79" s="16"/>
      <c r="C79" s="17"/>
      <c r="D79" s="17"/>
      <c r="E79" s="17"/>
      <c r="F79" s="17"/>
      <c r="G79" s="17"/>
      <c r="H79" s="66" t="str">
        <f>IF(C79="XXL (&gt;160h)",168,IF(C79="XL (&gt;40h)",48,IF(C79="L (20-40h)",30,IF(C79="M (10-20h)",15,IF(C79="S (&lt;10h)",5,"")))))</f>
        <v/>
      </c>
      <c r="I79" s="16"/>
      <c r="J79" s="67" t="str">
        <f>IF($E79="Q12028",COUNTIF($E$3:$E79,"Q12028"),"")</f>
        <v/>
      </c>
      <c r="K79" s="67" t="str">
        <f>IF($E79="Q22028",COUNTIF($E$3:$E79,"Q22028"),"")</f>
        <v/>
      </c>
      <c r="L79" s="67" t="str">
        <f>IF($E79="Q32028",COUNTIF($E$3:$E79,"Q32028"),"")</f>
        <v/>
      </c>
      <c r="M79" s="67" t="str">
        <f>IF($E79="Q42028",COUNTIF($E$3:$E79,"Q42028"),"")</f>
        <v/>
      </c>
      <c r="N79" s="67" t="str">
        <f>IF($E79="Backlog",COUNTIF($E$3:$E79,"Backlog"),"")</f>
        <v/>
      </c>
    </row>
    <row r="80" spans="1:14" ht="19.5" customHeight="1">
      <c r="A80" s="68">
        <v>78</v>
      </c>
      <c r="B80" s="18"/>
      <c r="C80" s="19"/>
      <c r="D80" s="19"/>
      <c r="E80" s="19"/>
      <c r="F80" s="19"/>
      <c r="G80" s="19"/>
      <c r="H80" s="69" t="str">
        <f>IF(C80="XXL (&gt;160h)",168,IF(C80="XL (&gt;40h)",48,IF(C80="L (20-40h)",30,IF(C80="M (10-20h)",15,IF(C80="S (&lt;10h)",5,"")))))</f>
        <v/>
      </c>
      <c r="I80" s="18"/>
      <c r="J80" s="67" t="str">
        <f>IF($E80="Q12028",COUNTIF($E$3:$E80,"Q12028"),"")</f>
        <v/>
      </c>
      <c r="K80" s="67" t="str">
        <f>IF($E80="Q22028",COUNTIF($E$3:$E80,"Q22028"),"")</f>
        <v/>
      </c>
      <c r="L80" s="67" t="str">
        <f>IF($E80="Q32028",COUNTIF($E$3:$E80,"Q32028"),"")</f>
        <v/>
      </c>
      <c r="M80" s="67" t="str">
        <f>IF($E80="Q42028",COUNTIF($E$3:$E80,"Q42028"),"")</f>
        <v/>
      </c>
      <c r="N80" s="67" t="str">
        <f>IF($E80="Backlog",COUNTIF($E$3:$E80,"Backlog"),"")</f>
        <v/>
      </c>
    </row>
    <row r="81" spans="1:14" ht="19.5" customHeight="1">
      <c r="A81" s="65">
        <v>79</v>
      </c>
      <c r="B81" s="16"/>
      <c r="C81" s="17"/>
      <c r="D81" s="17"/>
      <c r="E81" s="17"/>
      <c r="F81" s="17"/>
      <c r="G81" s="17"/>
      <c r="H81" s="66" t="str">
        <f>IF(C81="XXL (&gt;160h)",168,IF(C81="XL (&gt;40h)",48,IF(C81="L (20-40h)",30,IF(C81="M (10-20h)",15,IF(C81="S (&lt;10h)",5,"")))))</f>
        <v/>
      </c>
      <c r="I81" s="16"/>
      <c r="J81" s="67" t="str">
        <f>IF($E81="Q12028",COUNTIF($E$3:$E81,"Q12028"),"")</f>
        <v/>
      </c>
      <c r="K81" s="67" t="str">
        <f>IF($E81="Q22028",COUNTIF($E$3:$E81,"Q22028"),"")</f>
        <v/>
      </c>
      <c r="L81" s="67" t="str">
        <f>IF($E81="Q32028",COUNTIF($E$3:$E81,"Q32028"),"")</f>
        <v/>
      </c>
      <c r="M81" s="67" t="str">
        <f>IF($E81="Q42028",COUNTIF($E$3:$E81,"Q42028"),"")</f>
        <v/>
      </c>
      <c r="N81" s="67" t="str">
        <f>IF($E81="Backlog",COUNTIF($E$3:$E81,"Backlog"),"")</f>
        <v/>
      </c>
    </row>
    <row r="82" spans="1:14" ht="19.5" customHeight="1">
      <c r="A82" s="68">
        <v>80</v>
      </c>
      <c r="B82" s="18"/>
      <c r="C82" s="19"/>
      <c r="D82" s="19"/>
      <c r="E82" s="19"/>
      <c r="F82" s="19"/>
      <c r="G82" s="19"/>
      <c r="H82" s="69" t="str">
        <f>IF(C82="XXL (&gt;160h)",168,IF(C82="XL (&gt;40h)",48,IF(C82="L (20-40h)",30,IF(C82="M (10-20h)",15,IF(C82="S (&lt;10h)",5,"")))))</f>
        <v/>
      </c>
      <c r="I82" s="18"/>
      <c r="J82" s="67" t="str">
        <f>IF($E82="Q12028",COUNTIF($E$3:$E82,"Q12028"),"")</f>
        <v/>
      </c>
      <c r="K82" s="67" t="str">
        <f>IF($E82="Q22028",COUNTIF($E$3:$E82,"Q22028"),"")</f>
        <v/>
      </c>
      <c r="L82" s="67" t="str">
        <f>IF($E82="Q32028",COUNTIF($E$3:$E82,"Q32028"),"")</f>
        <v/>
      </c>
      <c r="M82" s="67" t="str">
        <f>IF($E82="Q42028",COUNTIF($E$3:$E82,"Q42028"),"")</f>
        <v/>
      </c>
      <c r="N82" s="67" t="str">
        <f>IF($E82="Backlog",COUNTIF($E$3:$E82,"Backlog"),"")</f>
        <v/>
      </c>
    </row>
    <row r="83" spans="1:14" ht="21.75" customHeight="1">
      <c r="A83" s="110" t="s">
        <v>56</v>
      </c>
      <c r="B83" s="110"/>
      <c r="C83" s="110"/>
      <c r="D83" s="110"/>
      <c r="E83" s="110"/>
      <c r="F83" s="110"/>
      <c r="G83" s="110"/>
      <c r="H83" s="22">
        <f>SUM(H3:H82)</f>
        <v>0</v>
      </c>
      <c r="I83" s="72"/>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5" priority="2" operator="equal">
      <formula>"Strengthen"</formula>
    </cfRule>
    <cfRule type="cellIs" dxfId="4" priority="3" operator="equal">
      <formula>"Innovation"</formula>
    </cfRule>
    <cfRule type="cellIs" dxfId="3" priority="4" operator="equal">
      <formula>"Repair"</formula>
    </cfRule>
  </conditionalFormatting>
  <dataValidations count="5">
    <dataValidation type="list" allowBlank="1" sqref="D3:D82" xr:uid="{00000000-0002-0000-1400-000000000000}">
      <formula1>"Strengthen,Innovation,Repair"</formula1>
      <formula2>0</formula2>
    </dataValidation>
    <dataValidation type="list" allowBlank="1" sqref="C3:C82" xr:uid="{00000000-0002-0000-1400-000001000000}">
      <formula1>"XXL (&gt;160h),XL (&gt;40h),L (20-40h),M (10-20h),S (&lt;10h)"</formula1>
      <formula2>0</formula2>
    </dataValidation>
    <dataValidation type="list" allowBlank="1" sqref="E3:E82" xr:uid="{00000000-0002-0000-1400-000002000000}">
      <formula1>"Q12028,Q22028,Q32028,Q42028,Backlog"</formula1>
      <formula2>0</formula2>
    </dataValidation>
    <dataValidation type="list" allowBlank="1" sqref="F3:F82" xr:uid="{00000000-0002-0000-1400-000003000000}">
      <formula1>"Must,Should,Could,Won't"</formula1>
      <formula2>0</formula2>
    </dataValidation>
    <dataValidation type="list" allowBlank="1" sqref="G3:G82" xr:uid="{00000000-0002-0000-14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87"/>
  <sheetViews>
    <sheetView showGridLines="0" zoomScaleNormal="100" workbookViewId="0">
      <pane xSplit="1" ySplit="2" topLeftCell="B3" activePane="bottomRight" state="frozen"/>
      <selection pane="bottomRight"/>
      <selection pane="bottomLeft" activeCell="A3" sqref="A3"/>
      <selection pane="topRight" activeCell="B1" sqref="B1"/>
    </sheetView>
  </sheetViews>
  <sheetFormatPr defaultColWidth="8.7109375" defaultRowHeight="15"/>
  <cols>
    <col min="1" max="1" width="5" customWidth="1"/>
    <col min="2" max="2" width="42.85546875" customWidth="1"/>
    <col min="3" max="3" width="16" customWidth="1"/>
    <col min="4" max="4" width="14" customWidth="1"/>
    <col min="5" max="5" width="16" customWidth="1"/>
    <col min="6" max="7" width="12" customWidth="1"/>
    <col min="8" max="8" width="11" customWidth="1"/>
    <col min="9" max="9" width="30" customWidth="1"/>
    <col min="10" max="16" width="0.140625" hidden="1" customWidth="1"/>
  </cols>
  <sheetData>
    <row r="1" spans="1:14" ht="43.5" customHeight="1">
      <c r="A1" s="129" t="s">
        <v>267</v>
      </c>
      <c r="B1" s="129"/>
      <c r="C1" s="129"/>
      <c r="D1" s="129"/>
      <c r="E1" s="129"/>
      <c r="F1" s="129"/>
      <c r="G1" s="129"/>
      <c r="H1" s="129"/>
      <c r="I1" s="129"/>
    </row>
    <row r="2" spans="1:14" ht="24" customHeight="1">
      <c r="A2" s="24" t="s">
        <v>1</v>
      </c>
      <c r="B2" s="24" t="s">
        <v>2</v>
      </c>
      <c r="C2" s="24" t="s">
        <v>3</v>
      </c>
      <c r="D2" s="24" t="s">
        <v>4</v>
      </c>
      <c r="E2" s="24" t="s">
        <v>5</v>
      </c>
      <c r="F2" s="24" t="s">
        <v>6</v>
      </c>
      <c r="G2" s="24" t="s">
        <v>7</v>
      </c>
      <c r="H2" s="24" t="s">
        <v>8</v>
      </c>
      <c r="I2" s="24" t="s">
        <v>9</v>
      </c>
    </row>
    <row r="3" spans="1:14" ht="19.5" customHeight="1">
      <c r="A3" s="65">
        <v>1</v>
      </c>
      <c r="B3" s="16"/>
      <c r="C3" s="17"/>
      <c r="D3" s="17"/>
      <c r="E3" s="17"/>
      <c r="F3" s="17"/>
      <c r="G3" s="17"/>
      <c r="H3" s="66" t="str">
        <f>IF(C3="XXL (&gt;160h)",168,IF(C3="XL (&gt;40h)",48,IF(C3="L (20-40h)",30,IF(C3="M (10-20h)",15,IF(C3="S (&lt;10h)",5,"")))))</f>
        <v/>
      </c>
      <c r="I3" s="16"/>
      <c r="J3" s="67" t="str">
        <f>IF($E3="Q12028",COUNTIF($E$3:$E3,"Q12028"),"")</f>
        <v/>
      </c>
      <c r="K3" s="67" t="str">
        <f>IF($E3="Q22028",COUNTIF($E$3:$E3,"Q22028"),"")</f>
        <v/>
      </c>
      <c r="L3" s="67" t="str">
        <f>IF($E3="Q32028",COUNTIF($E$3:$E3,"Q32028"),"")</f>
        <v/>
      </c>
      <c r="M3" s="67" t="str">
        <f>IF($E3="Q42028",COUNTIF($E$3:$E3,"Q42028"),"")</f>
        <v/>
      </c>
      <c r="N3" s="67" t="str">
        <f>IF($E3="Backlog",COUNTIF($E$3:$E3,"Backlog"),"")</f>
        <v/>
      </c>
    </row>
    <row r="4" spans="1:14" ht="19.5" customHeight="1">
      <c r="A4" s="68">
        <v>2</v>
      </c>
      <c r="B4" s="18"/>
      <c r="C4" s="19"/>
      <c r="D4" s="19"/>
      <c r="E4" s="19"/>
      <c r="F4" s="19"/>
      <c r="G4" s="19"/>
      <c r="H4" s="69" t="str">
        <f>IF(C4="XXL (&gt;160h)",168,IF(C4="XL (&gt;40h)",48,IF(C4="L (20-40h)",30,IF(C4="M (10-20h)",15,IF(C4="S (&lt;10h)",5,"")))))</f>
        <v/>
      </c>
      <c r="I4" s="18"/>
      <c r="J4" s="67" t="str">
        <f>IF($E4="Q12028",COUNTIF($E$3:$E4,"Q12028"),"")</f>
        <v/>
      </c>
      <c r="K4" s="67" t="str">
        <f>IF($E4="Q22028",COUNTIF($E$3:$E4,"Q22028"),"")</f>
        <v/>
      </c>
      <c r="L4" s="67" t="str">
        <f>IF($E4="Q32028",COUNTIF($E$3:$E4,"Q32028"),"")</f>
        <v/>
      </c>
      <c r="M4" s="67" t="str">
        <f>IF($E4="Q42028",COUNTIF($E$3:$E4,"Q42028"),"")</f>
        <v/>
      </c>
      <c r="N4" s="67" t="str">
        <f>IF($E4="Backlog",COUNTIF($E$3:$E4,"Backlog"),"")</f>
        <v/>
      </c>
    </row>
    <row r="5" spans="1:14" ht="19.5" customHeight="1">
      <c r="A5" s="65">
        <v>3</v>
      </c>
      <c r="B5" s="16"/>
      <c r="C5" s="17"/>
      <c r="D5" s="17"/>
      <c r="E5" s="17"/>
      <c r="F5" s="17"/>
      <c r="G5" s="17"/>
      <c r="H5" s="66" t="str">
        <f>IF(C5="XXL (&gt;160h)",168,IF(C5="XL (&gt;40h)",48,IF(C5="L (20-40h)",30,IF(C5="M (10-20h)",15,IF(C5="S (&lt;10h)",5,"")))))</f>
        <v/>
      </c>
      <c r="I5" s="16"/>
      <c r="J5" s="67" t="str">
        <f>IF($E5="Q12028",COUNTIF($E$3:$E5,"Q12028"),"")</f>
        <v/>
      </c>
      <c r="K5" s="67" t="str">
        <f>IF($E5="Q22028",COUNTIF($E$3:$E5,"Q22028"),"")</f>
        <v/>
      </c>
      <c r="L5" s="67" t="str">
        <f>IF($E5="Q32028",COUNTIF($E$3:$E5,"Q32028"),"")</f>
        <v/>
      </c>
      <c r="M5" s="67" t="str">
        <f>IF($E5="Q42028",COUNTIF($E$3:$E5,"Q42028"),"")</f>
        <v/>
      </c>
      <c r="N5" s="67" t="str">
        <f>IF($E5="Backlog",COUNTIF($E$3:$E5,"Backlog"),"")</f>
        <v/>
      </c>
    </row>
    <row r="6" spans="1:14" ht="19.5" customHeight="1">
      <c r="A6" s="68">
        <v>4</v>
      </c>
      <c r="B6" s="18"/>
      <c r="C6" s="19"/>
      <c r="D6" s="19"/>
      <c r="E6" s="19"/>
      <c r="F6" s="19"/>
      <c r="G6" s="19"/>
      <c r="H6" s="69" t="str">
        <f>IF(C6="XXL (&gt;160h)",168,IF(C6="XL (&gt;40h)",48,IF(C6="L (20-40h)",30,IF(C6="M (10-20h)",15,IF(C6="S (&lt;10h)",5,"")))))</f>
        <v/>
      </c>
      <c r="I6" s="18"/>
      <c r="J6" s="67" t="str">
        <f>IF($E6="Q12028",COUNTIF($E$3:$E6,"Q12028"),"")</f>
        <v/>
      </c>
      <c r="K6" s="67" t="str">
        <f>IF($E6="Q22028",COUNTIF($E$3:$E6,"Q22028"),"")</f>
        <v/>
      </c>
      <c r="L6" s="67" t="str">
        <f>IF($E6="Q32028",COUNTIF($E$3:$E6,"Q32028"),"")</f>
        <v/>
      </c>
      <c r="M6" s="67" t="str">
        <f>IF($E6="Q42028",COUNTIF($E$3:$E6,"Q42028"),"")</f>
        <v/>
      </c>
      <c r="N6" s="67" t="str">
        <f>IF($E6="Backlog",COUNTIF($E$3:$E6,"Backlog"),"")</f>
        <v/>
      </c>
    </row>
    <row r="7" spans="1:14" ht="19.5" customHeight="1">
      <c r="A7" s="65">
        <v>5</v>
      </c>
      <c r="B7" s="16"/>
      <c r="C7" s="17"/>
      <c r="D7" s="17"/>
      <c r="E7" s="17"/>
      <c r="F7" s="17"/>
      <c r="G7" s="17"/>
      <c r="H7" s="66" t="str">
        <f>IF(C7="XXL (&gt;160h)",168,IF(C7="XL (&gt;40h)",48,IF(C7="L (20-40h)",30,IF(C7="M (10-20h)",15,IF(C7="S (&lt;10h)",5,"")))))</f>
        <v/>
      </c>
      <c r="I7" s="16"/>
      <c r="J7" s="67" t="str">
        <f>IF($E7="Q12028",COUNTIF($E$3:$E7,"Q12028"),"")</f>
        <v/>
      </c>
      <c r="K7" s="67" t="str">
        <f>IF($E7="Q22028",COUNTIF($E$3:$E7,"Q22028"),"")</f>
        <v/>
      </c>
      <c r="L7" s="67" t="str">
        <f>IF($E7="Q32028",COUNTIF($E$3:$E7,"Q32028"),"")</f>
        <v/>
      </c>
      <c r="M7" s="67" t="str">
        <f>IF($E7="Q42028",COUNTIF($E$3:$E7,"Q42028"),"")</f>
        <v/>
      </c>
      <c r="N7" s="67" t="str">
        <f>IF($E7="Backlog",COUNTIF($E$3:$E7,"Backlog"),"")</f>
        <v/>
      </c>
    </row>
    <row r="8" spans="1:14" ht="19.5" customHeight="1">
      <c r="A8" s="68">
        <v>6</v>
      </c>
      <c r="B8" s="18"/>
      <c r="C8" s="19"/>
      <c r="D8" s="19"/>
      <c r="E8" s="19"/>
      <c r="F8" s="19"/>
      <c r="G8" s="19"/>
      <c r="H8" s="69" t="str">
        <f>IF(C8="XXL (&gt;160h)",168,IF(C8="XL (&gt;40h)",48,IF(C8="L (20-40h)",30,IF(C8="M (10-20h)",15,IF(C8="S (&lt;10h)",5,"")))))</f>
        <v/>
      </c>
      <c r="I8" s="18"/>
      <c r="J8" s="67" t="str">
        <f>IF($E8="Q12028",COUNTIF($E$3:$E8,"Q12028"),"")</f>
        <v/>
      </c>
      <c r="K8" s="67" t="str">
        <f>IF($E8="Q22028",COUNTIF($E$3:$E8,"Q22028"),"")</f>
        <v/>
      </c>
      <c r="L8" s="67" t="str">
        <f>IF($E8="Q32028",COUNTIF($E$3:$E8,"Q32028"),"")</f>
        <v/>
      </c>
      <c r="M8" s="67" t="str">
        <f>IF($E8="Q42028",COUNTIF($E$3:$E8,"Q42028"),"")</f>
        <v/>
      </c>
      <c r="N8" s="67" t="str">
        <f>IF($E8="Backlog",COUNTIF($E$3:$E8,"Backlog"),"")</f>
        <v/>
      </c>
    </row>
    <row r="9" spans="1:14" ht="19.5" customHeight="1">
      <c r="A9" s="65">
        <v>7</v>
      </c>
      <c r="B9" s="16"/>
      <c r="C9" s="17"/>
      <c r="D9" s="17"/>
      <c r="E9" s="17"/>
      <c r="F9" s="17"/>
      <c r="G9" s="17"/>
      <c r="H9" s="66" t="str">
        <f>IF(C9="XXL (&gt;160h)",168,IF(C9="XL (&gt;40h)",48,IF(C9="L (20-40h)",30,IF(C9="M (10-20h)",15,IF(C9="S (&lt;10h)",5,"")))))</f>
        <v/>
      </c>
      <c r="I9" s="16"/>
      <c r="J9" s="67" t="str">
        <f>IF($E9="Q12028",COUNTIF($E$3:$E9,"Q12028"),"")</f>
        <v/>
      </c>
      <c r="K9" s="67" t="str">
        <f>IF($E9="Q22028",COUNTIF($E$3:$E9,"Q22028"),"")</f>
        <v/>
      </c>
      <c r="L9" s="67" t="str">
        <f>IF($E9="Q32028",COUNTIF($E$3:$E9,"Q32028"),"")</f>
        <v/>
      </c>
      <c r="M9" s="67" t="str">
        <f>IF($E9="Q42028",COUNTIF($E$3:$E9,"Q42028"),"")</f>
        <v/>
      </c>
      <c r="N9" s="67" t="str">
        <f>IF($E9="Backlog",COUNTIF($E$3:$E9,"Backlog"),"")</f>
        <v/>
      </c>
    </row>
    <row r="10" spans="1:14" ht="19.5" customHeight="1">
      <c r="A10" s="68">
        <v>8</v>
      </c>
      <c r="B10" s="18"/>
      <c r="C10" s="19"/>
      <c r="D10" s="19"/>
      <c r="E10" s="19"/>
      <c r="F10" s="19"/>
      <c r="G10" s="19"/>
      <c r="H10" s="69" t="str">
        <f>IF(C10="XXL (&gt;160h)",168,IF(C10="XL (&gt;40h)",48,IF(C10="L (20-40h)",30,IF(C10="M (10-20h)",15,IF(C10="S (&lt;10h)",5,"")))))</f>
        <v/>
      </c>
      <c r="I10" s="18"/>
      <c r="J10" s="67" t="str">
        <f>IF($E10="Q12028",COUNTIF($E$3:$E10,"Q12028"),"")</f>
        <v/>
      </c>
      <c r="K10" s="67" t="str">
        <f>IF($E10="Q22028",COUNTIF($E$3:$E10,"Q22028"),"")</f>
        <v/>
      </c>
      <c r="L10" s="67" t="str">
        <f>IF($E10="Q32028",COUNTIF($E$3:$E10,"Q32028"),"")</f>
        <v/>
      </c>
      <c r="M10" s="67" t="str">
        <f>IF($E10="Q42028",COUNTIF($E$3:$E10,"Q42028"),"")</f>
        <v/>
      </c>
      <c r="N10" s="67" t="str">
        <f>IF($E10="Backlog",COUNTIF($E$3:$E10,"Backlog"),"")</f>
        <v/>
      </c>
    </row>
    <row r="11" spans="1:14" ht="19.5" customHeight="1">
      <c r="A11" s="65">
        <v>9</v>
      </c>
      <c r="B11" s="16"/>
      <c r="C11" s="17"/>
      <c r="D11" s="17"/>
      <c r="E11" s="17"/>
      <c r="F11" s="17"/>
      <c r="G11" s="17"/>
      <c r="H11" s="66" t="str">
        <f>IF(C11="XXL (&gt;160h)",168,IF(C11="XL (&gt;40h)",48,IF(C11="L (20-40h)",30,IF(C11="M (10-20h)",15,IF(C11="S (&lt;10h)",5,"")))))</f>
        <v/>
      </c>
      <c r="I11" s="16"/>
      <c r="J11" s="67" t="str">
        <f>IF($E11="Q12028",COUNTIF($E$3:$E11,"Q12028"),"")</f>
        <v/>
      </c>
      <c r="K11" s="67" t="str">
        <f>IF($E11="Q22028",COUNTIF($E$3:$E11,"Q22028"),"")</f>
        <v/>
      </c>
      <c r="L11" s="67" t="str">
        <f>IF($E11="Q32028",COUNTIF($E$3:$E11,"Q32028"),"")</f>
        <v/>
      </c>
      <c r="M11" s="67" t="str">
        <f>IF($E11="Q42028",COUNTIF($E$3:$E11,"Q42028"),"")</f>
        <v/>
      </c>
      <c r="N11" s="67" t="str">
        <f>IF($E11="Backlog",COUNTIF($E$3:$E11,"Backlog"),"")</f>
        <v/>
      </c>
    </row>
    <row r="12" spans="1:14" ht="19.5" customHeight="1">
      <c r="A12" s="68">
        <v>10</v>
      </c>
      <c r="B12" s="18"/>
      <c r="C12" s="19"/>
      <c r="D12" s="19"/>
      <c r="E12" s="19"/>
      <c r="F12" s="19"/>
      <c r="G12" s="19"/>
      <c r="H12" s="69" t="str">
        <f>IF(C12="XXL (&gt;160h)",168,IF(C12="XL (&gt;40h)",48,IF(C12="L (20-40h)",30,IF(C12="M (10-20h)",15,IF(C12="S (&lt;10h)",5,"")))))</f>
        <v/>
      </c>
      <c r="I12" s="18"/>
      <c r="J12" s="67" t="str">
        <f>IF($E12="Q12028",COUNTIF($E$3:$E12,"Q12028"),"")</f>
        <v/>
      </c>
      <c r="K12" s="67" t="str">
        <f>IF($E12="Q22028",COUNTIF($E$3:$E12,"Q22028"),"")</f>
        <v/>
      </c>
      <c r="L12" s="67" t="str">
        <f>IF($E12="Q32028",COUNTIF($E$3:$E12,"Q32028"),"")</f>
        <v/>
      </c>
      <c r="M12" s="67" t="str">
        <f>IF($E12="Q42028",COUNTIF($E$3:$E12,"Q42028"),"")</f>
        <v/>
      </c>
      <c r="N12" s="67" t="str">
        <f>IF($E12="Backlog",COUNTIF($E$3:$E12,"Backlog"),"")</f>
        <v/>
      </c>
    </row>
    <row r="13" spans="1:14" ht="19.5" customHeight="1">
      <c r="A13" s="65">
        <v>11</v>
      </c>
      <c r="B13" s="16"/>
      <c r="C13" s="17"/>
      <c r="D13" s="17"/>
      <c r="E13" s="17"/>
      <c r="F13" s="17"/>
      <c r="G13" s="17"/>
      <c r="H13" s="66" t="str">
        <f>IF(C13="XXL (&gt;160h)",168,IF(C13="XL (&gt;40h)",48,IF(C13="L (20-40h)",30,IF(C13="M (10-20h)",15,IF(C13="S (&lt;10h)",5,"")))))</f>
        <v/>
      </c>
      <c r="I13" s="16"/>
      <c r="J13" s="67" t="str">
        <f>IF($E13="Q12028",COUNTIF($E$3:$E13,"Q12028"),"")</f>
        <v/>
      </c>
      <c r="K13" s="67" t="str">
        <f>IF($E13="Q22028",COUNTIF($E$3:$E13,"Q22028"),"")</f>
        <v/>
      </c>
      <c r="L13" s="67" t="str">
        <f>IF($E13="Q32028",COUNTIF($E$3:$E13,"Q32028"),"")</f>
        <v/>
      </c>
      <c r="M13" s="67" t="str">
        <f>IF($E13="Q42028",COUNTIF($E$3:$E13,"Q42028"),"")</f>
        <v/>
      </c>
      <c r="N13" s="67" t="str">
        <f>IF($E13="Backlog",COUNTIF($E$3:$E13,"Backlog"),"")</f>
        <v/>
      </c>
    </row>
    <row r="14" spans="1:14" ht="19.5" customHeight="1">
      <c r="A14" s="68">
        <v>12</v>
      </c>
      <c r="B14" s="18"/>
      <c r="C14" s="19"/>
      <c r="D14" s="19"/>
      <c r="E14" s="19"/>
      <c r="F14" s="19"/>
      <c r="G14" s="19"/>
      <c r="H14" s="69" t="str">
        <f>IF(C14="XXL (&gt;160h)",168,IF(C14="XL (&gt;40h)",48,IF(C14="L (20-40h)",30,IF(C14="M (10-20h)",15,IF(C14="S (&lt;10h)",5,"")))))</f>
        <v/>
      </c>
      <c r="I14" s="18"/>
      <c r="J14" s="67" t="str">
        <f>IF($E14="Q12028",COUNTIF($E$3:$E14,"Q12028"),"")</f>
        <v/>
      </c>
      <c r="K14" s="67" t="str">
        <f>IF($E14="Q22028",COUNTIF($E$3:$E14,"Q22028"),"")</f>
        <v/>
      </c>
      <c r="L14" s="67" t="str">
        <f>IF($E14="Q32028",COUNTIF($E$3:$E14,"Q32028"),"")</f>
        <v/>
      </c>
      <c r="M14" s="67" t="str">
        <f>IF($E14="Q42028",COUNTIF($E$3:$E14,"Q42028"),"")</f>
        <v/>
      </c>
      <c r="N14" s="67" t="str">
        <f>IF($E14="Backlog",COUNTIF($E$3:$E14,"Backlog"),"")</f>
        <v/>
      </c>
    </row>
    <row r="15" spans="1:14" ht="19.5" customHeight="1">
      <c r="A15" s="65">
        <v>13</v>
      </c>
      <c r="B15" s="16"/>
      <c r="C15" s="17"/>
      <c r="D15" s="17"/>
      <c r="E15" s="17"/>
      <c r="F15" s="17"/>
      <c r="G15" s="17"/>
      <c r="H15" s="66" t="str">
        <f>IF(C15="XXL (&gt;160h)",168,IF(C15="XL (&gt;40h)",48,IF(C15="L (20-40h)",30,IF(C15="M (10-20h)",15,IF(C15="S (&lt;10h)",5,"")))))</f>
        <v/>
      </c>
      <c r="I15" s="16"/>
      <c r="J15" s="67" t="str">
        <f>IF($E15="Q12028",COUNTIF($E$3:$E15,"Q12028"),"")</f>
        <v/>
      </c>
      <c r="K15" s="67" t="str">
        <f>IF($E15="Q22028",COUNTIF($E$3:$E15,"Q22028"),"")</f>
        <v/>
      </c>
      <c r="L15" s="67" t="str">
        <f>IF($E15="Q32028",COUNTIF($E$3:$E15,"Q32028"),"")</f>
        <v/>
      </c>
      <c r="M15" s="67" t="str">
        <f>IF($E15="Q42028",COUNTIF($E$3:$E15,"Q42028"),"")</f>
        <v/>
      </c>
      <c r="N15" s="67" t="str">
        <f>IF($E15="Backlog",COUNTIF($E$3:$E15,"Backlog"),"")</f>
        <v/>
      </c>
    </row>
    <row r="16" spans="1:14" ht="19.5" customHeight="1">
      <c r="A16" s="68">
        <v>14</v>
      </c>
      <c r="B16" s="18"/>
      <c r="C16" s="19"/>
      <c r="D16" s="19"/>
      <c r="E16" s="19"/>
      <c r="F16" s="19"/>
      <c r="G16" s="19"/>
      <c r="H16" s="69" t="str">
        <f>IF(C16="XXL (&gt;160h)",168,IF(C16="XL (&gt;40h)",48,IF(C16="L (20-40h)",30,IF(C16="M (10-20h)",15,IF(C16="S (&lt;10h)",5,"")))))</f>
        <v/>
      </c>
      <c r="I16" s="18"/>
      <c r="J16" s="67" t="str">
        <f>IF($E16="Q12028",COUNTIF($E$3:$E16,"Q12028"),"")</f>
        <v/>
      </c>
      <c r="K16" s="67" t="str">
        <f>IF($E16="Q22028",COUNTIF($E$3:$E16,"Q22028"),"")</f>
        <v/>
      </c>
      <c r="L16" s="67" t="str">
        <f>IF($E16="Q32028",COUNTIF($E$3:$E16,"Q32028"),"")</f>
        <v/>
      </c>
      <c r="M16" s="67" t="str">
        <f>IF($E16="Q42028",COUNTIF($E$3:$E16,"Q42028"),"")</f>
        <v/>
      </c>
      <c r="N16" s="67" t="str">
        <f>IF($E16="Backlog",COUNTIF($E$3:$E16,"Backlog"),"")</f>
        <v/>
      </c>
    </row>
    <row r="17" spans="1:14" ht="19.5" customHeight="1">
      <c r="A17" s="65">
        <v>15</v>
      </c>
      <c r="B17" s="16"/>
      <c r="C17" s="17"/>
      <c r="D17" s="17"/>
      <c r="E17" s="17"/>
      <c r="F17" s="17"/>
      <c r="G17" s="17"/>
      <c r="H17" s="66" t="str">
        <f>IF(C17="XXL (&gt;160h)",168,IF(C17="XL (&gt;40h)",48,IF(C17="L (20-40h)",30,IF(C17="M (10-20h)",15,IF(C17="S (&lt;10h)",5,"")))))</f>
        <v/>
      </c>
      <c r="I17" s="16"/>
      <c r="J17" s="67" t="str">
        <f>IF($E17="Q12028",COUNTIF($E$3:$E17,"Q12028"),"")</f>
        <v/>
      </c>
      <c r="K17" s="67" t="str">
        <f>IF($E17="Q22028",COUNTIF($E$3:$E17,"Q22028"),"")</f>
        <v/>
      </c>
      <c r="L17" s="67" t="str">
        <f>IF($E17="Q32028",COUNTIF($E$3:$E17,"Q32028"),"")</f>
        <v/>
      </c>
      <c r="M17" s="67" t="str">
        <f>IF($E17="Q42028",COUNTIF($E$3:$E17,"Q42028"),"")</f>
        <v/>
      </c>
      <c r="N17" s="67" t="str">
        <f>IF($E17="Backlog",COUNTIF($E$3:$E17,"Backlog"),"")</f>
        <v/>
      </c>
    </row>
    <row r="18" spans="1:14" ht="19.5" customHeight="1">
      <c r="A18" s="68">
        <v>16</v>
      </c>
      <c r="B18" s="18"/>
      <c r="C18" s="19"/>
      <c r="D18" s="19"/>
      <c r="E18" s="19"/>
      <c r="F18" s="19"/>
      <c r="G18" s="19"/>
      <c r="H18" s="69" t="str">
        <f>IF(C18="XXL (&gt;160h)",168,IF(C18="XL (&gt;40h)",48,IF(C18="L (20-40h)",30,IF(C18="M (10-20h)",15,IF(C18="S (&lt;10h)",5,"")))))</f>
        <v/>
      </c>
      <c r="I18" s="18"/>
      <c r="J18" s="67" t="str">
        <f>IF($E18="Q12028",COUNTIF($E$3:$E18,"Q12028"),"")</f>
        <v/>
      </c>
      <c r="K18" s="67" t="str">
        <f>IF($E18="Q22028",COUNTIF($E$3:$E18,"Q22028"),"")</f>
        <v/>
      </c>
      <c r="L18" s="67" t="str">
        <f>IF($E18="Q32028",COUNTIF($E$3:$E18,"Q32028"),"")</f>
        <v/>
      </c>
      <c r="M18" s="67" t="str">
        <f>IF($E18="Q42028",COUNTIF($E$3:$E18,"Q42028"),"")</f>
        <v/>
      </c>
      <c r="N18" s="67" t="str">
        <f>IF($E18="Backlog",COUNTIF($E$3:$E18,"Backlog"),"")</f>
        <v/>
      </c>
    </row>
    <row r="19" spans="1:14" ht="19.5" customHeight="1">
      <c r="A19" s="65">
        <v>17</v>
      </c>
      <c r="B19" s="16"/>
      <c r="C19" s="17"/>
      <c r="D19" s="17"/>
      <c r="E19" s="17"/>
      <c r="F19" s="17"/>
      <c r="G19" s="17"/>
      <c r="H19" s="66" t="str">
        <f>IF(C19="XXL (&gt;160h)",168,IF(C19="XL (&gt;40h)",48,IF(C19="L (20-40h)",30,IF(C19="M (10-20h)",15,IF(C19="S (&lt;10h)",5,"")))))</f>
        <v/>
      </c>
      <c r="I19" s="16"/>
      <c r="J19" s="67" t="str">
        <f>IF($E19="Q12028",COUNTIF($E$3:$E19,"Q12028"),"")</f>
        <v/>
      </c>
      <c r="K19" s="67" t="str">
        <f>IF($E19="Q22028",COUNTIF($E$3:$E19,"Q22028"),"")</f>
        <v/>
      </c>
      <c r="L19" s="67" t="str">
        <f>IF($E19="Q32028",COUNTIF($E$3:$E19,"Q32028"),"")</f>
        <v/>
      </c>
      <c r="M19" s="67" t="str">
        <f>IF($E19="Q42028",COUNTIF($E$3:$E19,"Q42028"),"")</f>
        <v/>
      </c>
      <c r="N19" s="67" t="str">
        <f>IF($E19="Backlog",COUNTIF($E$3:$E19,"Backlog"),"")</f>
        <v/>
      </c>
    </row>
    <row r="20" spans="1:14" ht="19.5" customHeight="1">
      <c r="A20" s="68">
        <v>18</v>
      </c>
      <c r="B20" s="18"/>
      <c r="C20" s="19"/>
      <c r="D20" s="19"/>
      <c r="E20" s="19"/>
      <c r="F20" s="19"/>
      <c r="G20" s="19"/>
      <c r="H20" s="69" t="str">
        <f>IF(C20="XXL (&gt;160h)",168,IF(C20="XL (&gt;40h)",48,IF(C20="L (20-40h)",30,IF(C20="M (10-20h)",15,IF(C20="S (&lt;10h)",5,"")))))</f>
        <v/>
      </c>
      <c r="I20" s="18"/>
      <c r="J20" s="67" t="str">
        <f>IF($E20="Q12028",COUNTIF($E$3:$E20,"Q12028"),"")</f>
        <v/>
      </c>
      <c r="K20" s="67" t="str">
        <f>IF($E20="Q22028",COUNTIF($E$3:$E20,"Q22028"),"")</f>
        <v/>
      </c>
      <c r="L20" s="67" t="str">
        <f>IF($E20="Q32028",COUNTIF($E$3:$E20,"Q32028"),"")</f>
        <v/>
      </c>
      <c r="M20" s="67" t="str">
        <f>IF($E20="Q42028",COUNTIF($E$3:$E20,"Q42028"),"")</f>
        <v/>
      </c>
      <c r="N20" s="67" t="str">
        <f>IF($E20="Backlog",COUNTIF($E$3:$E20,"Backlog"),"")</f>
        <v/>
      </c>
    </row>
    <row r="21" spans="1:14" ht="19.5" customHeight="1">
      <c r="A21" s="65">
        <v>19</v>
      </c>
      <c r="B21" s="16"/>
      <c r="C21" s="17"/>
      <c r="D21" s="17"/>
      <c r="E21" s="17"/>
      <c r="F21" s="17"/>
      <c r="G21" s="17"/>
      <c r="H21" s="66" t="str">
        <f>IF(C21="XXL (&gt;160h)",168,IF(C21="XL (&gt;40h)",48,IF(C21="L (20-40h)",30,IF(C21="M (10-20h)",15,IF(C21="S (&lt;10h)",5,"")))))</f>
        <v/>
      </c>
      <c r="I21" s="16"/>
      <c r="J21" s="67" t="str">
        <f>IF($E21="Q12028",COUNTIF($E$3:$E21,"Q12028"),"")</f>
        <v/>
      </c>
      <c r="K21" s="67" t="str">
        <f>IF($E21="Q22028",COUNTIF($E$3:$E21,"Q22028"),"")</f>
        <v/>
      </c>
      <c r="L21" s="67" t="str">
        <f>IF($E21="Q32028",COUNTIF($E$3:$E21,"Q32028"),"")</f>
        <v/>
      </c>
      <c r="M21" s="67" t="str">
        <f>IF($E21="Q42028",COUNTIF($E$3:$E21,"Q42028"),"")</f>
        <v/>
      </c>
      <c r="N21" s="67" t="str">
        <f>IF($E21="Backlog",COUNTIF($E$3:$E21,"Backlog"),"")</f>
        <v/>
      </c>
    </row>
    <row r="22" spans="1:14" ht="19.5" customHeight="1">
      <c r="A22" s="68">
        <v>20</v>
      </c>
      <c r="B22" s="18"/>
      <c r="C22" s="19"/>
      <c r="D22" s="19"/>
      <c r="E22" s="19"/>
      <c r="F22" s="19"/>
      <c r="G22" s="19"/>
      <c r="H22" s="69" t="str">
        <f>IF(C22="XXL (&gt;160h)",168,IF(C22="XL (&gt;40h)",48,IF(C22="L (20-40h)",30,IF(C22="M (10-20h)",15,IF(C22="S (&lt;10h)",5,"")))))</f>
        <v/>
      </c>
      <c r="I22" s="18"/>
      <c r="J22" s="67" t="str">
        <f>IF($E22="Q12028",COUNTIF($E$3:$E22,"Q12028"),"")</f>
        <v/>
      </c>
      <c r="K22" s="67" t="str">
        <f>IF($E22="Q22028",COUNTIF($E$3:$E22,"Q22028"),"")</f>
        <v/>
      </c>
      <c r="L22" s="67" t="str">
        <f>IF($E22="Q32028",COUNTIF($E$3:$E22,"Q32028"),"")</f>
        <v/>
      </c>
      <c r="M22" s="67" t="str">
        <f>IF($E22="Q42028",COUNTIF($E$3:$E22,"Q42028"),"")</f>
        <v/>
      </c>
      <c r="N22" s="67" t="str">
        <f>IF($E22="Backlog",COUNTIF($E$3:$E22,"Backlog"),"")</f>
        <v/>
      </c>
    </row>
    <row r="23" spans="1:14" ht="19.5" customHeight="1">
      <c r="A23" s="65">
        <v>21</v>
      </c>
      <c r="B23" s="16"/>
      <c r="C23" s="17"/>
      <c r="D23" s="17"/>
      <c r="E23" s="17"/>
      <c r="F23" s="17"/>
      <c r="G23" s="17"/>
      <c r="H23" s="66" t="str">
        <f>IF(C23="XXL (&gt;160h)",168,IF(C23="XL (&gt;40h)",48,IF(C23="L (20-40h)",30,IF(C23="M (10-20h)",15,IF(C23="S (&lt;10h)",5,"")))))</f>
        <v/>
      </c>
      <c r="I23" s="16"/>
      <c r="J23" s="67" t="str">
        <f>IF($E23="Q12028",COUNTIF($E$3:$E23,"Q12028"),"")</f>
        <v/>
      </c>
      <c r="K23" s="67" t="str">
        <f>IF($E23="Q22028",COUNTIF($E$3:$E23,"Q22028"),"")</f>
        <v/>
      </c>
      <c r="L23" s="67" t="str">
        <f>IF($E23="Q32028",COUNTIF($E$3:$E23,"Q32028"),"")</f>
        <v/>
      </c>
      <c r="M23" s="67" t="str">
        <f>IF($E23="Q42028",COUNTIF($E$3:$E23,"Q42028"),"")</f>
        <v/>
      </c>
      <c r="N23" s="67" t="str">
        <f>IF($E23="Backlog",COUNTIF($E$3:$E23,"Backlog"),"")</f>
        <v/>
      </c>
    </row>
    <row r="24" spans="1:14" ht="19.5" customHeight="1">
      <c r="A24" s="68">
        <v>22</v>
      </c>
      <c r="B24" s="18"/>
      <c r="C24" s="19"/>
      <c r="D24" s="19"/>
      <c r="E24" s="19"/>
      <c r="F24" s="19"/>
      <c r="G24" s="19"/>
      <c r="H24" s="69" t="str">
        <f>IF(C24="XXL (&gt;160h)",168,IF(C24="XL (&gt;40h)",48,IF(C24="L (20-40h)",30,IF(C24="M (10-20h)",15,IF(C24="S (&lt;10h)",5,"")))))</f>
        <v/>
      </c>
      <c r="I24" s="18"/>
      <c r="J24" s="67" t="str">
        <f>IF($E24="Q12028",COUNTIF($E$3:$E24,"Q12028"),"")</f>
        <v/>
      </c>
      <c r="K24" s="67" t="str">
        <f>IF($E24="Q22028",COUNTIF($E$3:$E24,"Q22028"),"")</f>
        <v/>
      </c>
      <c r="L24" s="67" t="str">
        <f>IF($E24="Q32028",COUNTIF($E$3:$E24,"Q32028"),"")</f>
        <v/>
      </c>
      <c r="M24" s="67" t="str">
        <f>IF($E24="Q42028",COUNTIF($E$3:$E24,"Q42028"),"")</f>
        <v/>
      </c>
      <c r="N24" s="67" t="str">
        <f>IF($E24="Backlog",COUNTIF($E$3:$E24,"Backlog"),"")</f>
        <v/>
      </c>
    </row>
    <row r="25" spans="1:14" ht="19.5" customHeight="1">
      <c r="A25" s="65">
        <v>23</v>
      </c>
      <c r="B25" s="16"/>
      <c r="C25" s="17"/>
      <c r="D25" s="17"/>
      <c r="E25" s="17"/>
      <c r="F25" s="17"/>
      <c r="G25" s="17"/>
      <c r="H25" s="66" t="str">
        <f>IF(C25="XXL (&gt;160h)",168,IF(C25="XL (&gt;40h)",48,IF(C25="L (20-40h)",30,IF(C25="M (10-20h)",15,IF(C25="S (&lt;10h)",5,"")))))</f>
        <v/>
      </c>
      <c r="I25" s="16"/>
      <c r="J25" s="67" t="str">
        <f>IF($E25="Q12028",COUNTIF($E$3:$E25,"Q12028"),"")</f>
        <v/>
      </c>
      <c r="K25" s="67" t="str">
        <f>IF($E25="Q22028",COUNTIF($E$3:$E25,"Q22028"),"")</f>
        <v/>
      </c>
      <c r="L25" s="67" t="str">
        <f>IF($E25="Q32028",COUNTIF($E$3:$E25,"Q32028"),"")</f>
        <v/>
      </c>
      <c r="M25" s="67" t="str">
        <f>IF($E25="Q42028",COUNTIF($E$3:$E25,"Q42028"),"")</f>
        <v/>
      </c>
      <c r="N25" s="67" t="str">
        <f>IF($E25="Backlog",COUNTIF($E$3:$E25,"Backlog"),"")</f>
        <v/>
      </c>
    </row>
    <row r="26" spans="1:14" ht="19.5" customHeight="1">
      <c r="A26" s="68">
        <v>24</v>
      </c>
      <c r="B26" s="18"/>
      <c r="C26" s="19"/>
      <c r="D26" s="19"/>
      <c r="E26" s="19"/>
      <c r="F26" s="19"/>
      <c r="G26" s="19"/>
      <c r="H26" s="69" t="str">
        <f>IF(C26="XXL (&gt;160h)",168,IF(C26="XL (&gt;40h)",48,IF(C26="L (20-40h)",30,IF(C26="M (10-20h)",15,IF(C26="S (&lt;10h)",5,"")))))</f>
        <v/>
      </c>
      <c r="I26" s="18"/>
      <c r="J26" s="67" t="str">
        <f>IF($E26="Q12028",COUNTIF($E$3:$E26,"Q12028"),"")</f>
        <v/>
      </c>
      <c r="K26" s="67" t="str">
        <f>IF($E26="Q22028",COUNTIF($E$3:$E26,"Q22028"),"")</f>
        <v/>
      </c>
      <c r="L26" s="67" t="str">
        <f>IF($E26="Q32028",COUNTIF($E$3:$E26,"Q32028"),"")</f>
        <v/>
      </c>
      <c r="M26" s="67" t="str">
        <f>IF($E26="Q42028",COUNTIF($E$3:$E26,"Q42028"),"")</f>
        <v/>
      </c>
      <c r="N26" s="67" t="str">
        <f>IF($E26="Backlog",COUNTIF($E$3:$E26,"Backlog"),"")</f>
        <v/>
      </c>
    </row>
    <row r="27" spans="1:14" ht="19.5" customHeight="1">
      <c r="A27" s="65">
        <v>25</v>
      </c>
      <c r="B27" s="16"/>
      <c r="C27" s="17"/>
      <c r="D27" s="17"/>
      <c r="E27" s="17"/>
      <c r="F27" s="17"/>
      <c r="G27" s="17"/>
      <c r="H27" s="66" t="str">
        <f>IF(C27="XXL (&gt;160h)",168,IF(C27="XL (&gt;40h)",48,IF(C27="L (20-40h)",30,IF(C27="M (10-20h)",15,IF(C27="S (&lt;10h)",5,"")))))</f>
        <v/>
      </c>
      <c r="I27" s="16"/>
      <c r="J27" s="67" t="str">
        <f>IF($E27="Q12028",COUNTIF($E$3:$E27,"Q12028"),"")</f>
        <v/>
      </c>
      <c r="K27" s="67" t="str">
        <f>IF($E27="Q22028",COUNTIF($E$3:$E27,"Q22028"),"")</f>
        <v/>
      </c>
      <c r="L27" s="67" t="str">
        <f>IF($E27="Q32028",COUNTIF($E$3:$E27,"Q32028"),"")</f>
        <v/>
      </c>
      <c r="M27" s="67" t="str">
        <f>IF($E27="Q42028",COUNTIF($E$3:$E27,"Q42028"),"")</f>
        <v/>
      </c>
      <c r="N27" s="67" t="str">
        <f>IF($E27="Backlog",COUNTIF($E$3:$E27,"Backlog"),"")</f>
        <v/>
      </c>
    </row>
    <row r="28" spans="1:14" ht="19.5" customHeight="1">
      <c r="A28" s="68">
        <v>26</v>
      </c>
      <c r="B28" s="18"/>
      <c r="C28" s="19"/>
      <c r="D28" s="19"/>
      <c r="E28" s="19"/>
      <c r="F28" s="19"/>
      <c r="G28" s="19"/>
      <c r="H28" s="69" t="str">
        <f>IF(C28="XXL (&gt;160h)",168,IF(C28="XL (&gt;40h)",48,IF(C28="L (20-40h)",30,IF(C28="M (10-20h)",15,IF(C28="S (&lt;10h)",5,"")))))</f>
        <v/>
      </c>
      <c r="I28" s="18"/>
      <c r="J28" s="67" t="str">
        <f>IF($E28="Q12028",COUNTIF($E$3:$E28,"Q12028"),"")</f>
        <v/>
      </c>
      <c r="K28" s="67" t="str">
        <f>IF($E28="Q22028",COUNTIF($E$3:$E28,"Q22028"),"")</f>
        <v/>
      </c>
      <c r="L28" s="67" t="str">
        <f>IF($E28="Q32028",COUNTIF($E$3:$E28,"Q32028"),"")</f>
        <v/>
      </c>
      <c r="M28" s="67" t="str">
        <f>IF($E28="Q42028",COUNTIF($E$3:$E28,"Q42028"),"")</f>
        <v/>
      </c>
      <c r="N28" s="67" t="str">
        <f>IF($E28="Backlog",COUNTIF($E$3:$E28,"Backlog"),"")</f>
        <v/>
      </c>
    </row>
    <row r="29" spans="1:14" ht="19.5" customHeight="1">
      <c r="A29" s="65">
        <v>27</v>
      </c>
      <c r="B29" s="16"/>
      <c r="C29" s="17"/>
      <c r="D29" s="17"/>
      <c r="E29" s="17"/>
      <c r="F29" s="17"/>
      <c r="G29" s="17"/>
      <c r="H29" s="66" t="str">
        <f>IF(C29="XXL (&gt;160h)",168,IF(C29="XL (&gt;40h)",48,IF(C29="L (20-40h)",30,IF(C29="M (10-20h)",15,IF(C29="S (&lt;10h)",5,"")))))</f>
        <v/>
      </c>
      <c r="I29" s="16"/>
      <c r="J29" s="67" t="str">
        <f>IF($E29="Q12028",COUNTIF($E$3:$E29,"Q12028"),"")</f>
        <v/>
      </c>
      <c r="K29" s="67" t="str">
        <f>IF($E29="Q22028",COUNTIF($E$3:$E29,"Q22028"),"")</f>
        <v/>
      </c>
      <c r="L29" s="67" t="str">
        <f>IF($E29="Q32028",COUNTIF($E$3:$E29,"Q32028"),"")</f>
        <v/>
      </c>
      <c r="M29" s="67" t="str">
        <f>IF($E29="Q42028",COUNTIF($E$3:$E29,"Q42028"),"")</f>
        <v/>
      </c>
      <c r="N29" s="67" t="str">
        <f>IF($E29="Backlog",COUNTIF($E$3:$E29,"Backlog"),"")</f>
        <v/>
      </c>
    </row>
    <row r="30" spans="1:14" ht="19.5" customHeight="1">
      <c r="A30" s="68">
        <v>28</v>
      </c>
      <c r="B30" s="18"/>
      <c r="C30" s="19"/>
      <c r="D30" s="19"/>
      <c r="E30" s="19"/>
      <c r="F30" s="19"/>
      <c r="G30" s="19"/>
      <c r="H30" s="69" t="str">
        <f>IF(C30="XXL (&gt;160h)",168,IF(C30="XL (&gt;40h)",48,IF(C30="L (20-40h)",30,IF(C30="M (10-20h)",15,IF(C30="S (&lt;10h)",5,"")))))</f>
        <v/>
      </c>
      <c r="I30" s="18"/>
      <c r="J30" s="67" t="str">
        <f>IF($E30="Q12028",COUNTIF($E$3:$E30,"Q12028"),"")</f>
        <v/>
      </c>
      <c r="K30" s="67" t="str">
        <f>IF($E30="Q22028",COUNTIF($E$3:$E30,"Q22028"),"")</f>
        <v/>
      </c>
      <c r="L30" s="67" t="str">
        <f>IF($E30="Q32028",COUNTIF($E$3:$E30,"Q32028"),"")</f>
        <v/>
      </c>
      <c r="M30" s="67" t="str">
        <f>IF($E30="Q42028",COUNTIF($E$3:$E30,"Q42028"),"")</f>
        <v/>
      </c>
      <c r="N30" s="67" t="str">
        <f>IF($E30="Backlog",COUNTIF($E$3:$E30,"Backlog"),"")</f>
        <v/>
      </c>
    </row>
    <row r="31" spans="1:14" ht="19.5" customHeight="1">
      <c r="A31" s="65">
        <v>29</v>
      </c>
      <c r="B31" s="16"/>
      <c r="C31" s="17"/>
      <c r="D31" s="17"/>
      <c r="E31" s="17"/>
      <c r="F31" s="17"/>
      <c r="G31" s="17"/>
      <c r="H31" s="66" t="str">
        <f>IF(C31="XXL (&gt;160h)",168,IF(C31="XL (&gt;40h)",48,IF(C31="L (20-40h)",30,IF(C31="M (10-20h)",15,IF(C31="S (&lt;10h)",5,"")))))</f>
        <v/>
      </c>
      <c r="I31" s="16"/>
      <c r="J31" s="67" t="str">
        <f>IF($E31="Q12028",COUNTIF($E$3:$E31,"Q12028"),"")</f>
        <v/>
      </c>
      <c r="K31" s="67" t="str">
        <f>IF($E31="Q22028",COUNTIF($E$3:$E31,"Q22028"),"")</f>
        <v/>
      </c>
      <c r="L31" s="67" t="str">
        <f>IF($E31="Q32028",COUNTIF($E$3:$E31,"Q32028"),"")</f>
        <v/>
      </c>
      <c r="M31" s="67" t="str">
        <f>IF($E31="Q42028",COUNTIF($E$3:$E31,"Q42028"),"")</f>
        <v/>
      </c>
      <c r="N31" s="67" t="str">
        <f>IF($E31="Backlog",COUNTIF($E$3:$E31,"Backlog"),"")</f>
        <v/>
      </c>
    </row>
    <row r="32" spans="1:14" ht="19.5" customHeight="1">
      <c r="A32" s="68">
        <v>30</v>
      </c>
      <c r="B32" s="18"/>
      <c r="C32" s="19"/>
      <c r="D32" s="19"/>
      <c r="E32" s="19"/>
      <c r="F32" s="19"/>
      <c r="G32" s="19"/>
      <c r="H32" s="69" t="str">
        <f>IF(C32="XXL (&gt;160h)",168,IF(C32="XL (&gt;40h)",48,IF(C32="L (20-40h)",30,IF(C32="M (10-20h)",15,IF(C32="S (&lt;10h)",5,"")))))</f>
        <v/>
      </c>
      <c r="I32" s="18"/>
      <c r="J32" s="67" t="str">
        <f>IF($E32="Q12028",COUNTIF($E$3:$E32,"Q12028"),"")</f>
        <v/>
      </c>
      <c r="K32" s="67" t="str">
        <f>IF($E32="Q22028",COUNTIF($E$3:$E32,"Q22028"),"")</f>
        <v/>
      </c>
      <c r="L32" s="67" t="str">
        <f>IF($E32="Q32028",COUNTIF($E$3:$E32,"Q32028"),"")</f>
        <v/>
      </c>
      <c r="M32" s="67" t="str">
        <f>IF($E32="Q42028",COUNTIF($E$3:$E32,"Q42028"),"")</f>
        <v/>
      </c>
      <c r="N32" s="67" t="str">
        <f>IF($E32="Backlog",COUNTIF($E$3:$E32,"Backlog"),"")</f>
        <v/>
      </c>
    </row>
    <row r="33" spans="1:14" ht="19.5" customHeight="1">
      <c r="A33" s="65">
        <v>31</v>
      </c>
      <c r="B33" s="16"/>
      <c r="C33" s="17"/>
      <c r="D33" s="17"/>
      <c r="E33" s="17"/>
      <c r="F33" s="17"/>
      <c r="G33" s="17"/>
      <c r="H33" s="66" t="str">
        <f>IF(C33="XXL (&gt;160h)",168,IF(C33="XL (&gt;40h)",48,IF(C33="L (20-40h)",30,IF(C33="M (10-20h)",15,IF(C33="S (&lt;10h)",5,"")))))</f>
        <v/>
      </c>
      <c r="I33" s="16"/>
      <c r="J33" s="67" t="str">
        <f>IF($E33="Q12028",COUNTIF($E$3:$E33,"Q12028"),"")</f>
        <v/>
      </c>
      <c r="K33" s="67" t="str">
        <f>IF($E33="Q22028",COUNTIF($E$3:$E33,"Q22028"),"")</f>
        <v/>
      </c>
      <c r="L33" s="67" t="str">
        <f>IF($E33="Q32028",COUNTIF($E$3:$E33,"Q32028"),"")</f>
        <v/>
      </c>
      <c r="M33" s="67" t="str">
        <f>IF($E33="Q42028",COUNTIF($E$3:$E33,"Q42028"),"")</f>
        <v/>
      </c>
      <c r="N33" s="67" t="str">
        <f>IF($E33="Backlog",COUNTIF($E$3:$E33,"Backlog"),"")</f>
        <v/>
      </c>
    </row>
    <row r="34" spans="1:14" ht="19.5" customHeight="1">
      <c r="A34" s="68">
        <v>32</v>
      </c>
      <c r="B34" s="18"/>
      <c r="C34" s="19"/>
      <c r="D34" s="19"/>
      <c r="E34" s="19"/>
      <c r="F34" s="19"/>
      <c r="G34" s="19"/>
      <c r="H34" s="69" t="str">
        <f>IF(C34="XXL (&gt;160h)",168,IF(C34="XL (&gt;40h)",48,IF(C34="L (20-40h)",30,IF(C34="M (10-20h)",15,IF(C34="S (&lt;10h)",5,"")))))</f>
        <v/>
      </c>
      <c r="I34" s="18"/>
      <c r="J34" s="67" t="str">
        <f>IF($E34="Q12028",COUNTIF($E$3:$E34,"Q12028"),"")</f>
        <v/>
      </c>
      <c r="K34" s="67" t="str">
        <f>IF($E34="Q22028",COUNTIF($E$3:$E34,"Q22028"),"")</f>
        <v/>
      </c>
      <c r="L34" s="67" t="str">
        <f>IF($E34="Q32028",COUNTIF($E$3:$E34,"Q32028"),"")</f>
        <v/>
      </c>
      <c r="M34" s="67" t="str">
        <f>IF($E34="Q42028",COUNTIF($E$3:$E34,"Q42028"),"")</f>
        <v/>
      </c>
      <c r="N34" s="67" t="str">
        <f>IF($E34="Backlog",COUNTIF($E$3:$E34,"Backlog"),"")</f>
        <v/>
      </c>
    </row>
    <row r="35" spans="1:14" ht="19.5" customHeight="1">
      <c r="A35" s="65">
        <v>33</v>
      </c>
      <c r="B35" s="16"/>
      <c r="C35" s="17"/>
      <c r="D35" s="17"/>
      <c r="E35" s="17"/>
      <c r="F35" s="17"/>
      <c r="G35" s="17"/>
      <c r="H35" s="66" t="str">
        <f>IF(C35="XXL (&gt;160h)",168,IF(C35="XL (&gt;40h)",48,IF(C35="L (20-40h)",30,IF(C35="M (10-20h)",15,IF(C35="S (&lt;10h)",5,"")))))</f>
        <v/>
      </c>
      <c r="I35" s="16"/>
      <c r="J35" s="67" t="str">
        <f>IF($E35="Q12028",COUNTIF($E$3:$E35,"Q12028"),"")</f>
        <v/>
      </c>
      <c r="K35" s="67" t="str">
        <f>IF($E35="Q22028",COUNTIF($E$3:$E35,"Q22028"),"")</f>
        <v/>
      </c>
      <c r="L35" s="67" t="str">
        <f>IF($E35="Q32028",COUNTIF($E$3:$E35,"Q32028"),"")</f>
        <v/>
      </c>
      <c r="M35" s="67" t="str">
        <f>IF($E35="Q42028",COUNTIF($E$3:$E35,"Q42028"),"")</f>
        <v/>
      </c>
      <c r="N35" s="67" t="str">
        <f>IF($E35="Backlog",COUNTIF($E$3:$E35,"Backlog"),"")</f>
        <v/>
      </c>
    </row>
    <row r="36" spans="1:14" ht="19.5" customHeight="1">
      <c r="A36" s="68">
        <v>34</v>
      </c>
      <c r="B36" s="18"/>
      <c r="C36" s="19"/>
      <c r="D36" s="19"/>
      <c r="E36" s="19"/>
      <c r="F36" s="19"/>
      <c r="G36" s="19"/>
      <c r="H36" s="69" t="str">
        <f>IF(C36="XXL (&gt;160h)",168,IF(C36="XL (&gt;40h)",48,IF(C36="L (20-40h)",30,IF(C36="M (10-20h)",15,IF(C36="S (&lt;10h)",5,"")))))</f>
        <v/>
      </c>
      <c r="I36" s="18"/>
      <c r="J36" s="67" t="str">
        <f>IF($E36="Q12028",COUNTIF($E$3:$E36,"Q12028"),"")</f>
        <v/>
      </c>
      <c r="K36" s="67" t="str">
        <f>IF($E36="Q22028",COUNTIF($E$3:$E36,"Q22028"),"")</f>
        <v/>
      </c>
      <c r="L36" s="67" t="str">
        <f>IF($E36="Q32028",COUNTIF($E$3:$E36,"Q32028"),"")</f>
        <v/>
      </c>
      <c r="M36" s="67" t="str">
        <f>IF($E36="Q42028",COUNTIF($E$3:$E36,"Q42028"),"")</f>
        <v/>
      </c>
      <c r="N36" s="67" t="str">
        <f>IF($E36="Backlog",COUNTIF($E$3:$E36,"Backlog"),"")</f>
        <v/>
      </c>
    </row>
    <row r="37" spans="1:14" ht="19.5" customHeight="1">
      <c r="A37" s="65">
        <v>35</v>
      </c>
      <c r="B37" s="16"/>
      <c r="C37" s="17"/>
      <c r="D37" s="17"/>
      <c r="E37" s="17"/>
      <c r="F37" s="17"/>
      <c r="G37" s="17"/>
      <c r="H37" s="66" t="str">
        <f>IF(C37="XXL (&gt;160h)",168,IF(C37="XL (&gt;40h)",48,IF(C37="L (20-40h)",30,IF(C37="M (10-20h)",15,IF(C37="S (&lt;10h)",5,"")))))</f>
        <v/>
      </c>
      <c r="I37" s="16"/>
      <c r="J37" s="67" t="str">
        <f>IF($E37="Q12028",COUNTIF($E$3:$E37,"Q12028"),"")</f>
        <v/>
      </c>
      <c r="K37" s="67" t="str">
        <f>IF($E37="Q22028",COUNTIF($E$3:$E37,"Q22028"),"")</f>
        <v/>
      </c>
      <c r="L37" s="67" t="str">
        <f>IF($E37="Q32028",COUNTIF($E$3:$E37,"Q32028"),"")</f>
        <v/>
      </c>
      <c r="M37" s="67" t="str">
        <f>IF($E37="Q42028",COUNTIF($E$3:$E37,"Q42028"),"")</f>
        <v/>
      </c>
      <c r="N37" s="67" t="str">
        <f>IF($E37="Backlog",COUNTIF($E$3:$E37,"Backlog"),"")</f>
        <v/>
      </c>
    </row>
    <row r="38" spans="1:14" ht="19.5" customHeight="1">
      <c r="A38" s="68">
        <v>36</v>
      </c>
      <c r="B38" s="18"/>
      <c r="C38" s="19"/>
      <c r="D38" s="19"/>
      <c r="E38" s="19"/>
      <c r="F38" s="19"/>
      <c r="G38" s="19"/>
      <c r="H38" s="69" t="str">
        <f>IF(C38="XXL (&gt;160h)",168,IF(C38="XL (&gt;40h)",48,IF(C38="L (20-40h)",30,IF(C38="M (10-20h)",15,IF(C38="S (&lt;10h)",5,"")))))</f>
        <v/>
      </c>
      <c r="I38" s="18"/>
      <c r="J38" s="67" t="str">
        <f>IF($E38="Q12028",COUNTIF($E$3:$E38,"Q12028"),"")</f>
        <v/>
      </c>
      <c r="K38" s="67" t="str">
        <f>IF($E38="Q22028",COUNTIF($E$3:$E38,"Q22028"),"")</f>
        <v/>
      </c>
      <c r="L38" s="67" t="str">
        <f>IF($E38="Q32028",COUNTIF($E$3:$E38,"Q32028"),"")</f>
        <v/>
      </c>
      <c r="M38" s="67" t="str">
        <f>IF($E38="Q42028",COUNTIF($E$3:$E38,"Q42028"),"")</f>
        <v/>
      </c>
      <c r="N38" s="67" t="str">
        <f>IF($E38="Backlog",COUNTIF($E$3:$E38,"Backlog"),"")</f>
        <v/>
      </c>
    </row>
    <row r="39" spans="1:14" ht="19.5" customHeight="1">
      <c r="A39" s="65">
        <v>37</v>
      </c>
      <c r="B39" s="16"/>
      <c r="C39" s="17"/>
      <c r="D39" s="17"/>
      <c r="E39" s="17"/>
      <c r="F39" s="17"/>
      <c r="G39" s="17"/>
      <c r="H39" s="66" t="str">
        <f>IF(C39="XXL (&gt;160h)",168,IF(C39="XL (&gt;40h)",48,IF(C39="L (20-40h)",30,IF(C39="M (10-20h)",15,IF(C39="S (&lt;10h)",5,"")))))</f>
        <v/>
      </c>
      <c r="I39" s="16"/>
      <c r="J39" s="67" t="str">
        <f>IF($E39="Q12028",COUNTIF($E$3:$E39,"Q12028"),"")</f>
        <v/>
      </c>
      <c r="K39" s="67" t="str">
        <f>IF($E39="Q22028",COUNTIF($E$3:$E39,"Q22028"),"")</f>
        <v/>
      </c>
      <c r="L39" s="67" t="str">
        <f>IF($E39="Q32028",COUNTIF($E$3:$E39,"Q32028"),"")</f>
        <v/>
      </c>
      <c r="M39" s="67" t="str">
        <f>IF($E39="Q42028",COUNTIF($E$3:$E39,"Q42028"),"")</f>
        <v/>
      </c>
      <c r="N39" s="67" t="str">
        <f>IF($E39="Backlog",COUNTIF($E$3:$E39,"Backlog"),"")</f>
        <v/>
      </c>
    </row>
    <row r="40" spans="1:14" ht="19.5" customHeight="1">
      <c r="A40" s="68">
        <v>38</v>
      </c>
      <c r="B40" s="18"/>
      <c r="C40" s="19"/>
      <c r="D40" s="19"/>
      <c r="E40" s="19"/>
      <c r="F40" s="19"/>
      <c r="G40" s="19"/>
      <c r="H40" s="69" t="str">
        <f>IF(C40="XXL (&gt;160h)",168,IF(C40="XL (&gt;40h)",48,IF(C40="L (20-40h)",30,IF(C40="M (10-20h)",15,IF(C40="S (&lt;10h)",5,"")))))</f>
        <v/>
      </c>
      <c r="I40" s="18"/>
      <c r="J40" s="67" t="str">
        <f>IF($E40="Q12028",COUNTIF($E$3:$E40,"Q12028"),"")</f>
        <v/>
      </c>
      <c r="K40" s="67" t="str">
        <f>IF($E40="Q22028",COUNTIF($E$3:$E40,"Q22028"),"")</f>
        <v/>
      </c>
      <c r="L40" s="67" t="str">
        <f>IF($E40="Q32028",COUNTIF($E$3:$E40,"Q32028"),"")</f>
        <v/>
      </c>
      <c r="M40" s="67" t="str">
        <f>IF($E40="Q42028",COUNTIF($E$3:$E40,"Q42028"),"")</f>
        <v/>
      </c>
      <c r="N40" s="67" t="str">
        <f>IF($E40="Backlog",COUNTIF($E$3:$E40,"Backlog"),"")</f>
        <v/>
      </c>
    </row>
    <row r="41" spans="1:14" ht="19.5" customHeight="1">
      <c r="A41" s="65">
        <v>39</v>
      </c>
      <c r="B41" s="16"/>
      <c r="C41" s="17"/>
      <c r="D41" s="17"/>
      <c r="E41" s="17"/>
      <c r="F41" s="17"/>
      <c r="G41" s="17"/>
      <c r="H41" s="66" t="str">
        <f>IF(C41="XXL (&gt;160h)",168,IF(C41="XL (&gt;40h)",48,IF(C41="L (20-40h)",30,IF(C41="M (10-20h)",15,IF(C41="S (&lt;10h)",5,"")))))</f>
        <v/>
      </c>
      <c r="I41" s="16"/>
      <c r="J41" s="67" t="str">
        <f>IF($E41="Q12028",COUNTIF($E$3:$E41,"Q12028"),"")</f>
        <v/>
      </c>
      <c r="K41" s="67" t="str">
        <f>IF($E41="Q22028",COUNTIF($E$3:$E41,"Q22028"),"")</f>
        <v/>
      </c>
      <c r="L41" s="67" t="str">
        <f>IF($E41="Q32028",COUNTIF($E$3:$E41,"Q32028"),"")</f>
        <v/>
      </c>
      <c r="M41" s="67" t="str">
        <f>IF($E41="Q42028",COUNTIF($E$3:$E41,"Q42028"),"")</f>
        <v/>
      </c>
      <c r="N41" s="67" t="str">
        <f>IF($E41="Backlog",COUNTIF($E$3:$E41,"Backlog"),"")</f>
        <v/>
      </c>
    </row>
    <row r="42" spans="1:14" ht="19.5" customHeight="1">
      <c r="A42" s="68">
        <v>40</v>
      </c>
      <c r="B42" s="18"/>
      <c r="C42" s="19"/>
      <c r="D42" s="19"/>
      <c r="E42" s="19"/>
      <c r="F42" s="19"/>
      <c r="G42" s="19"/>
      <c r="H42" s="69" t="str">
        <f>IF(C42="XXL (&gt;160h)",168,IF(C42="XL (&gt;40h)",48,IF(C42="L (20-40h)",30,IF(C42="M (10-20h)",15,IF(C42="S (&lt;10h)",5,"")))))</f>
        <v/>
      </c>
      <c r="I42" s="18"/>
      <c r="J42" s="67" t="str">
        <f>IF($E42="Q12028",COUNTIF($E$3:$E42,"Q12028"),"")</f>
        <v/>
      </c>
      <c r="K42" s="67" t="str">
        <f>IF($E42="Q22028",COUNTIF($E$3:$E42,"Q22028"),"")</f>
        <v/>
      </c>
      <c r="L42" s="67" t="str">
        <f>IF($E42="Q32028",COUNTIF($E$3:$E42,"Q32028"),"")</f>
        <v/>
      </c>
      <c r="M42" s="67" t="str">
        <f>IF($E42="Q42028",COUNTIF($E$3:$E42,"Q42028"),"")</f>
        <v/>
      </c>
      <c r="N42" s="67" t="str">
        <f>IF($E42="Backlog",COUNTIF($E$3:$E42,"Backlog"),"")</f>
        <v/>
      </c>
    </row>
    <row r="43" spans="1:14" ht="19.5" customHeight="1">
      <c r="A43" s="65">
        <v>41</v>
      </c>
      <c r="B43" s="16"/>
      <c r="C43" s="17"/>
      <c r="D43" s="17"/>
      <c r="E43" s="17"/>
      <c r="F43" s="17"/>
      <c r="G43" s="17"/>
      <c r="H43" s="66" t="str">
        <f>IF(C43="XXL (&gt;160h)",168,IF(C43="XL (&gt;40h)",48,IF(C43="L (20-40h)",30,IF(C43="M (10-20h)",15,IF(C43="S (&lt;10h)",5,"")))))</f>
        <v/>
      </c>
      <c r="I43" s="16"/>
      <c r="J43" s="67" t="str">
        <f>IF($E43="Q12028",COUNTIF($E$3:$E43,"Q12028"),"")</f>
        <v/>
      </c>
      <c r="K43" s="67" t="str">
        <f>IF($E43="Q22028",COUNTIF($E$3:$E43,"Q22028"),"")</f>
        <v/>
      </c>
      <c r="L43" s="67" t="str">
        <f>IF($E43="Q32028",COUNTIF($E$3:$E43,"Q32028"),"")</f>
        <v/>
      </c>
      <c r="M43" s="67" t="str">
        <f>IF($E43="Q42028",COUNTIF($E$3:$E43,"Q42028"),"")</f>
        <v/>
      </c>
      <c r="N43" s="67" t="str">
        <f>IF($E43="Backlog",COUNTIF($E$3:$E43,"Backlog"),"")</f>
        <v/>
      </c>
    </row>
    <row r="44" spans="1:14" ht="19.5" customHeight="1">
      <c r="A44" s="68">
        <v>42</v>
      </c>
      <c r="B44" s="18"/>
      <c r="C44" s="19"/>
      <c r="D44" s="19"/>
      <c r="E44" s="19"/>
      <c r="F44" s="19"/>
      <c r="G44" s="19"/>
      <c r="H44" s="69" t="str">
        <f>IF(C44="XXL (&gt;160h)",168,IF(C44="XL (&gt;40h)",48,IF(C44="L (20-40h)",30,IF(C44="M (10-20h)",15,IF(C44="S (&lt;10h)",5,"")))))</f>
        <v/>
      </c>
      <c r="I44" s="18"/>
      <c r="J44" s="67" t="str">
        <f>IF($E44="Q12028",COUNTIF($E$3:$E44,"Q12028"),"")</f>
        <v/>
      </c>
      <c r="K44" s="67" t="str">
        <f>IF($E44="Q22028",COUNTIF($E$3:$E44,"Q22028"),"")</f>
        <v/>
      </c>
      <c r="L44" s="67" t="str">
        <f>IF($E44="Q32028",COUNTIF($E$3:$E44,"Q32028"),"")</f>
        <v/>
      </c>
      <c r="M44" s="67" t="str">
        <f>IF($E44="Q42028",COUNTIF($E$3:$E44,"Q42028"),"")</f>
        <v/>
      </c>
      <c r="N44" s="67" t="str">
        <f>IF($E44="Backlog",COUNTIF($E$3:$E44,"Backlog"),"")</f>
        <v/>
      </c>
    </row>
    <row r="45" spans="1:14" ht="19.5" customHeight="1">
      <c r="A45" s="65">
        <v>43</v>
      </c>
      <c r="B45" s="16"/>
      <c r="C45" s="17"/>
      <c r="D45" s="17"/>
      <c r="E45" s="17"/>
      <c r="F45" s="17"/>
      <c r="G45" s="17"/>
      <c r="H45" s="66" t="str">
        <f>IF(C45="XXL (&gt;160h)",168,IF(C45="XL (&gt;40h)",48,IF(C45="L (20-40h)",30,IF(C45="M (10-20h)",15,IF(C45="S (&lt;10h)",5,"")))))</f>
        <v/>
      </c>
      <c r="I45" s="16"/>
      <c r="J45" s="67" t="str">
        <f>IF($E45="Q12028",COUNTIF($E$3:$E45,"Q12028"),"")</f>
        <v/>
      </c>
      <c r="K45" s="67" t="str">
        <f>IF($E45="Q22028",COUNTIF($E$3:$E45,"Q22028"),"")</f>
        <v/>
      </c>
      <c r="L45" s="67" t="str">
        <f>IF($E45="Q32028",COUNTIF($E$3:$E45,"Q32028"),"")</f>
        <v/>
      </c>
      <c r="M45" s="67" t="str">
        <f>IF($E45="Q42028",COUNTIF($E$3:$E45,"Q42028"),"")</f>
        <v/>
      </c>
      <c r="N45" s="67" t="str">
        <f>IF($E45="Backlog",COUNTIF($E$3:$E45,"Backlog"),"")</f>
        <v/>
      </c>
    </row>
    <row r="46" spans="1:14" ht="19.5" customHeight="1">
      <c r="A46" s="68">
        <v>44</v>
      </c>
      <c r="B46" s="18"/>
      <c r="C46" s="19"/>
      <c r="D46" s="19"/>
      <c r="E46" s="19"/>
      <c r="F46" s="19"/>
      <c r="G46" s="19"/>
      <c r="H46" s="69" t="str">
        <f>IF(C46="XXL (&gt;160h)",168,IF(C46="XL (&gt;40h)",48,IF(C46="L (20-40h)",30,IF(C46="M (10-20h)",15,IF(C46="S (&lt;10h)",5,"")))))</f>
        <v/>
      </c>
      <c r="I46" s="18"/>
      <c r="J46" s="67" t="str">
        <f>IF($E46="Q12028",COUNTIF($E$3:$E46,"Q12028"),"")</f>
        <v/>
      </c>
      <c r="K46" s="67" t="str">
        <f>IF($E46="Q22028",COUNTIF($E$3:$E46,"Q22028"),"")</f>
        <v/>
      </c>
      <c r="L46" s="67" t="str">
        <f>IF($E46="Q32028",COUNTIF($E$3:$E46,"Q32028"),"")</f>
        <v/>
      </c>
      <c r="M46" s="67" t="str">
        <f>IF($E46="Q42028",COUNTIF($E$3:$E46,"Q42028"),"")</f>
        <v/>
      </c>
      <c r="N46" s="67" t="str">
        <f>IF($E46="Backlog",COUNTIF($E$3:$E46,"Backlog"),"")</f>
        <v/>
      </c>
    </row>
    <row r="47" spans="1:14" ht="19.5" customHeight="1">
      <c r="A47" s="65">
        <v>45</v>
      </c>
      <c r="B47" s="16"/>
      <c r="C47" s="17"/>
      <c r="D47" s="17"/>
      <c r="E47" s="17"/>
      <c r="F47" s="17"/>
      <c r="G47" s="17"/>
      <c r="H47" s="66" t="str">
        <f>IF(C47="XXL (&gt;160h)",168,IF(C47="XL (&gt;40h)",48,IF(C47="L (20-40h)",30,IF(C47="M (10-20h)",15,IF(C47="S (&lt;10h)",5,"")))))</f>
        <v/>
      </c>
      <c r="I47" s="16"/>
      <c r="J47" s="67" t="str">
        <f>IF($E47="Q12028",COUNTIF($E$3:$E47,"Q12028"),"")</f>
        <v/>
      </c>
      <c r="K47" s="67" t="str">
        <f>IF($E47="Q22028",COUNTIF($E$3:$E47,"Q22028"),"")</f>
        <v/>
      </c>
      <c r="L47" s="67" t="str">
        <f>IF($E47="Q32028",COUNTIF($E$3:$E47,"Q32028"),"")</f>
        <v/>
      </c>
      <c r="M47" s="67" t="str">
        <f>IF($E47="Q42028",COUNTIF($E$3:$E47,"Q42028"),"")</f>
        <v/>
      </c>
      <c r="N47" s="67" t="str">
        <f>IF($E47="Backlog",COUNTIF($E$3:$E47,"Backlog"),"")</f>
        <v/>
      </c>
    </row>
    <row r="48" spans="1:14" ht="19.5" customHeight="1">
      <c r="A48" s="68">
        <v>46</v>
      </c>
      <c r="B48" s="18"/>
      <c r="C48" s="19"/>
      <c r="D48" s="19"/>
      <c r="E48" s="19"/>
      <c r="F48" s="19"/>
      <c r="G48" s="19"/>
      <c r="H48" s="69" t="str">
        <f>IF(C48="XXL (&gt;160h)",168,IF(C48="XL (&gt;40h)",48,IF(C48="L (20-40h)",30,IF(C48="M (10-20h)",15,IF(C48="S (&lt;10h)",5,"")))))</f>
        <v/>
      </c>
      <c r="I48" s="18"/>
      <c r="J48" s="67" t="str">
        <f>IF($E48="Q12028",COUNTIF($E$3:$E48,"Q12028"),"")</f>
        <v/>
      </c>
      <c r="K48" s="67" t="str">
        <f>IF($E48="Q22028",COUNTIF($E$3:$E48,"Q22028"),"")</f>
        <v/>
      </c>
      <c r="L48" s="67" t="str">
        <f>IF($E48="Q32028",COUNTIF($E$3:$E48,"Q32028"),"")</f>
        <v/>
      </c>
      <c r="M48" s="67" t="str">
        <f>IF($E48="Q42028",COUNTIF($E$3:$E48,"Q42028"),"")</f>
        <v/>
      </c>
      <c r="N48" s="67" t="str">
        <f>IF($E48="Backlog",COUNTIF($E$3:$E48,"Backlog"),"")</f>
        <v/>
      </c>
    </row>
    <row r="49" spans="1:14" ht="19.5" customHeight="1">
      <c r="A49" s="65">
        <v>47</v>
      </c>
      <c r="B49" s="16"/>
      <c r="C49" s="17"/>
      <c r="D49" s="17"/>
      <c r="E49" s="17"/>
      <c r="F49" s="17"/>
      <c r="G49" s="17"/>
      <c r="H49" s="66" t="str">
        <f>IF(C49="XXL (&gt;160h)",168,IF(C49="XL (&gt;40h)",48,IF(C49="L (20-40h)",30,IF(C49="M (10-20h)",15,IF(C49="S (&lt;10h)",5,"")))))</f>
        <v/>
      </c>
      <c r="I49" s="16"/>
      <c r="J49" s="67" t="str">
        <f>IF($E49="Q12028",COUNTIF($E$3:$E49,"Q12028"),"")</f>
        <v/>
      </c>
      <c r="K49" s="67" t="str">
        <f>IF($E49="Q22028",COUNTIF($E$3:$E49,"Q22028"),"")</f>
        <v/>
      </c>
      <c r="L49" s="67" t="str">
        <f>IF($E49="Q32028",COUNTIF($E$3:$E49,"Q32028"),"")</f>
        <v/>
      </c>
      <c r="M49" s="67" t="str">
        <f>IF($E49="Q42028",COUNTIF($E$3:$E49,"Q42028"),"")</f>
        <v/>
      </c>
      <c r="N49" s="67" t="str">
        <f>IF($E49="Backlog",COUNTIF($E$3:$E49,"Backlog"),"")</f>
        <v/>
      </c>
    </row>
    <row r="50" spans="1:14" ht="19.5" customHeight="1">
      <c r="A50" s="68">
        <v>48</v>
      </c>
      <c r="B50" s="18"/>
      <c r="C50" s="19"/>
      <c r="D50" s="19"/>
      <c r="E50" s="19"/>
      <c r="F50" s="19"/>
      <c r="G50" s="19"/>
      <c r="H50" s="69" t="str">
        <f>IF(C50="XXL (&gt;160h)",168,IF(C50="XL (&gt;40h)",48,IF(C50="L (20-40h)",30,IF(C50="M (10-20h)",15,IF(C50="S (&lt;10h)",5,"")))))</f>
        <v/>
      </c>
      <c r="I50" s="18"/>
      <c r="J50" s="67" t="str">
        <f>IF($E50="Q12028",COUNTIF($E$3:$E50,"Q12028"),"")</f>
        <v/>
      </c>
      <c r="K50" s="67" t="str">
        <f>IF($E50="Q22028",COUNTIF($E$3:$E50,"Q22028"),"")</f>
        <v/>
      </c>
      <c r="L50" s="67" t="str">
        <f>IF($E50="Q32028",COUNTIF($E$3:$E50,"Q32028"),"")</f>
        <v/>
      </c>
      <c r="M50" s="67" t="str">
        <f>IF($E50="Q42028",COUNTIF($E$3:$E50,"Q42028"),"")</f>
        <v/>
      </c>
      <c r="N50" s="67" t="str">
        <f>IF($E50="Backlog",COUNTIF($E$3:$E50,"Backlog"),"")</f>
        <v/>
      </c>
    </row>
    <row r="51" spans="1:14" ht="19.5" customHeight="1">
      <c r="A51" s="65">
        <v>49</v>
      </c>
      <c r="B51" s="16"/>
      <c r="C51" s="17"/>
      <c r="D51" s="17"/>
      <c r="E51" s="17"/>
      <c r="F51" s="17"/>
      <c r="G51" s="17"/>
      <c r="H51" s="66" t="str">
        <f>IF(C51="XXL (&gt;160h)",168,IF(C51="XL (&gt;40h)",48,IF(C51="L (20-40h)",30,IF(C51="M (10-20h)",15,IF(C51="S (&lt;10h)",5,"")))))</f>
        <v/>
      </c>
      <c r="I51" s="16"/>
      <c r="J51" s="67" t="str">
        <f>IF($E51="Q12028",COUNTIF($E$3:$E51,"Q12028"),"")</f>
        <v/>
      </c>
      <c r="K51" s="67" t="str">
        <f>IF($E51="Q22028",COUNTIF($E$3:$E51,"Q22028"),"")</f>
        <v/>
      </c>
      <c r="L51" s="67" t="str">
        <f>IF($E51="Q32028",COUNTIF($E$3:$E51,"Q32028"),"")</f>
        <v/>
      </c>
      <c r="M51" s="67" t="str">
        <f>IF($E51="Q42028",COUNTIF($E$3:$E51,"Q42028"),"")</f>
        <v/>
      </c>
      <c r="N51" s="67" t="str">
        <f>IF($E51="Backlog",COUNTIF($E$3:$E51,"Backlog"),"")</f>
        <v/>
      </c>
    </row>
    <row r="52" spans="1:14" ht="19.5" customHeight="1">
      <c r="A52" s="68">
        <v>50</v>
      </c>
      <c r="B52" s="18"/>
      <c r="C52" s="19"/>
      <c r="D52" s="19"/>
      <c r="E52" s="19"/>
      <c r="F52" s="19"/>
      <c r="G52" s="19"/>
      <c r="H52" s="69" t="str">
        <f>IF(C52="XXL (&gt;160h)",168,IF(C52="XL (&gt;40h)",48,IF(C52="L (20-40h)",30,IF(C52="M (10-20h)",15,IF(C52="S (&lt;10h)",5,"")))))</f>
        <v/>
      </c>
      <c r="I52" s="18"/>
      <c r="J52" s="67" t="str">
        <f>IF($E52="Q12028",COUNTIF($E$3:$E52,"Q12028"),"")</f>
        <v/>
      </c>
      <c r="K52" s="67" t="str">
        <f>IF($E52="Q22028",COUNTIF($E$3:$E52,"Q22028"),"")</f>
        <v/>
      </c>
      <c r="L52" s="67" t="str">
        <f>IF($E52="Q32028",COUNTIF($E$3:$E52,"Q32028"),"")</f>
        <v/>
      </c>
      <c r="M52" s="67" t="str">
        <f>IF($E52="Q42028",COUNTIF($E$3:$E52,"Q42028"),"")</f>
        <v/>
      </c>
      <c r="N52" s="67" t="str">
        <f>IF($E52="Backlog",COUNTIF($E$3:$E52,"Backlog"),"")</f>
        <v/>
      </c>
    </row>
    <row r="53" spans="1:14" ht="19.5" customHeight="1">
      <c r="A53" s="65">
        <v>51</v>
      </c>
      <c r="B53" s="16"/>
      <c r="C53" s="17"/>
      <c r="D53" s="17"/>
      <c r="E53" s="17"/>
      <c r="F53" s="17"/>
      <c r="G53" s="17"/>
      <c r="H53" s="66" t="str">
        <f>IF(C53="XXL (&gt;160h)",168,IF(C53="XL (&gt;40h)",48,IF(C53="L (20-40h)",30,IF(C53="M (10-20h)",15,IF(C53="S (&lt;10h)",5,"")))))</f>
        <v/>
      </c>
      <c r="I53" s="16"/>
      <c r="J53" s="67" t="str">
        <f>IF($E53="Q12028",COUNTIF($E$3:$E53,"Q12028"),"")</f>
        <v/>
      </c>
      <c r="K53" s="67" t="str">
        <f>IF($E53="Q22028",COUNTIF($E$3:$E53,"Q22028"),"")</f>
        <v/>
      </c>
      <c r="L53" s="67" t="str">
        <f>IF($E53="Q32028",COUNTIF($E$3:$E53,"Q32028"),"")</f>
        <v/>
      </c>
      <c r="M53" s="67" t="str">
        <f>IF($E53="Q42028",COUNTIF($E$3:$E53,"Q42028"),"")</f>
        <v/>
      </c>
      <c r="N53" s="67" t="str">
        <f>IF($E53="Backlog",COUNTIF($E$3:$E53,"Backlog"),"")</f>
        <v/>
      </c>
    </row>
    <row r="54" spans="1:14" ht="19.5" customHeight="1">
      <c r="A54" s="68">
        <v>52</v>
      </c>
      <c r="B54" s="18"/>
      <c r="C54" s="19"/>
      <c r="D54" s="19"/>
      <c r="E54" s="19"/>
      <c r="F54" s="19"/>
      <c r="G54" s="19"/>
      <c r="H54" s="69" t="str">
        <f>IF(C54="XXL (&gt;160h)",168,IF(C54="XL (&gt;40h)",48,IF(C54="L (20-40h)",30,IF(C54="M (10-20h)",15,IF(C54="S (&lt;10h)",5,"")))))</f>
        <v/>
      </c>
      <c r="I54" s="18"/>
      <c r="J54" s="67" t="str">
        <f>IF($E54="Q12028",COUNTIF($E$3:$E54,"Q12028"),"")</f>
        <v/>
      </c>
      <c r="K54" s="67" t="str">
        <f>IF($E54="Q22028",COUNTIF($E$3:$E54,"Q22028"),"")</f>
        <v/>
      </c>
      <c r="L54" s="67" t="str">
        <f>IF($E54="Q32028",COUNTIF($E$3:$E54,"Q32028"),"")</f>
        <v/>
      </c>
      <c r="M54" s="67" t="str">
        <f>IF($E54="Q42028",COUNTIF($E$3:$E54,"Q42028"),"")</f>
        <v/>
      </c>
      <c r="N54" s="67" t="str">
        <f>IF($E54="Backlog",COUNTIF($E$3:$E54,"Backlog"),"")</f>
        <v/>
      </c>
    </row>
    <row r="55" spans="1:14" ht="19.5" customHeight="1">
      <c r="A55" s="65">
        <v>53</v>
      </c>
      <c r="B55" s="16"/>
      <c r="C55" s="17"/>
      <c r="D55" s="17"/>
      <c r="E55" s="17"/>
      <c r="F55" s="17"/>
      <c r="G55" s="17"/>
      <c r="H55" s="66" t="str">
        <f>IF(C55="XXL (&gt;160h)",168,IF(C55="XL (&gt;40h)",48,IF(C55="L (20-40h)",30,IF(C55="M (10-20h)",15,IF(C55="S (&lt;10h)",5,"")))))</f>
        <v/>
      </c>
      <c r="I55" s="16"/>
      <c r="J55" s="67" t="str">
        <f>IF($E55="Q12028",COUNTIF($E$3:$E55,"Q12028"),"")</f>
        <v/>
      </c>
      <c r="K55" s="67" t="str">
        <f>IF($E55="Q22028",COUNTIF($E$3:$E55,"Q22028"),"")</f>
        <v/>
      </c>
      <c r="L55" s="67" t="str">
        <f>IF($E55="Q32028",COUNTIF($E$3:$E55,"Q32028"),"")</f>
        <v/>
      </c>
      <c r="M55" s="67" t="str">
        <f>IF($E55="Q42028",COUNTIF($E$3:$E55,"Q42028"),"")</f>
        <v/>
      </c>
      <c r="N55" s="67" t="str">
        <f>IF($E55="Backlog",COUNTIF($E$3:$E55,"Backlog"),"")</f>
        <v/>
      </c>
    </row>
    <row r="56" spans="1:14" ht="19.5" customHeight="1">
      <c r="A56" s="68">
        <v>54</v>
      </c>
      <c r="B56" s="18"/>
      <c r="C56" s="19"/>
      <c r="D56" s="19"/>
      <c r="E56" s="19"/>
      <c r="F56" s="19"/>
      <c r="G56" s="19"/>
      <c r="H56" s="69" t="str">
        <f>IF(C56="XXL (&gt;160h)",168,IF(C56="XL (&gt;40h)",48,IF(C56="L (20-40h)",30,IF(C56="M (10-20h)",15,IF(C56="S (&lt;10h)",5,"")))))</f>
        <v/>
      </c>
      <c r="I56" s="18"/>
      <c r="J56" s="67" t="str">
        <f>IF($E56="Q12028",COUNTIF($E$3:$E56,"Q12028"),"")</f>
        <v/>
      </c>
      <c r="K56" s="67" t="str">
        <f>IF($E56="Q22028",COUNTIF($E$3:$E56,"Q22028"),"")</f>
        <v/>
      </c>
      <c r="L56" s="67" t="str">
        <f>IF($E56="Q32028",COUNTIF($E$3:$E56,"Q32028"),"")</f>
        <v/>
      </c>
      <c r="M56" s="67" t="str">
        <f>IF($E56="Q42028",COUNTIF($E$3:$E56,"Q42028"),"")</f>
        <v/>
      </c>
      <c r="N56" s="67" t="str">
        <f>IF($E56="Backlog",COUNTIF($E$3:$E56,"Backlog"),"")</f>
        <v/>
      </c>
    </row>
    <row r="57" spans="1:14" ht="19.5" customHeight="1">
      <c r="A57" s="65">
        <v>55</v>
      </c>
      <c r="B57" s="16"/>
      <c r="C57" s="17"/>
      <c r="D57" s="17"/>
      <c r="E57" s="17"/>
      <c r="F57" s="17"/>
      <c r="G57" s="17"/>
      <c r="H57" s="66" t="str">
        <f>IF(C57="XXL (&gt;160h)",168,IF(C57="XL (&gt;40h)",48,IF(C57="L (20-40h)",30,IF(C57="M (10-20h)",15,IF(C57="S (&lt;10h)",5,"")))))</f>
        <v/>
      </c>
      <c r="I57" s="16"/>
      <c r="J57" s="67" t="str">
        <f>IF($E57="Q12028",COUNTIF($E$3:$E57,"Q12028"),"")</f>
        <v/>
      </c>
      <c r="K57" s="67" t="str">
        <f>IF($E57="Q22028",COUNTIF($E$3:$E57,"Q22028"),"")</f>
        <v/>
      </c>
      <c r="L57" s="67" t="str">
        <f>IF($E57="Q32028",COUNTIF($E$3:$E57,"Q32028"),"")</f>
        <v/>
      </c>
      <c r="M57" s="67" t="str">
        <f>IF($E57="Q42028",COUNTIF($E$3:$E57,"Q42028"),"")</f>
        <v/>
      </c>
      <c r="N57" s="67" t="str">
        <f>IF($E57="Backlog",COUNTIF($E$3:$E57,"Backlog"),"")</f>
        <v/>
      </c>
    </row>
    <row r="58" spans="1:14" ht="19.5" customHeight="1">
      <c r="A58" s="68">
        <v>56</v>
      </c>
      <c r="B58" s="18"/>
      <c r="C58" s="19"/>
      <c r="D58" s="19"/>
      <c r="E58" s="19"/>
      <c r="F58" s="19"/>
      <c r="G58" s="19"/>
      <c r="H58" s="69" t="str">
        <f>IF(C58="XXL (&gt;160h)",168,IF(C58="XL (&gt;40h)",48,IF(C58="L (20-40h)",30,IF(C58="M (10-20h)",15,IF(C58="S (&lt;10h)",5,"")))))</f>
        <v/>
      </c>
      <c r="I58" s="18"/>
      <c r="J58" s="67" t="str">
        <f>IF($E58="Q12028",COUNTIF($E$3:$E58,"Q12028"),"")</f>
        <v/>
      </c>
      <c r="K58" s="67" t="str">
        <f>IF($E58="Q22028",COUNTIF($E$3:$E58,"Q22028"),"")</f>
        <v/>
      </c>
      <c r="L58" s="67" t="str">
        <f>IF($E58="Q32028",COUNTIF($E$3:$E58,"Q32028"),"")</f>
        <v/>
      </c>
      <c r="M58" s="67" t="str">
        <f>IF($E58="Q42028",COUNTIF($E$3:$E58,"Q42028"),"")</f>
        <v/>
      </c>
      <c r="N58" s="67" t="str">
        <f>IF($E58="Backlog",COUNTIF($E$3:$E58,"Backlog"),"")</f>
        <v/>
      </c>
    </row>
    <row r="59" spans="1:14" ht="19.5" customHeight="1">
      <c r="A59" s="65">
        <v>57</v>
      </c>
      <c r="B59" s="16"/>
      <c r="C59" s="17"/>
      <c r="D59" s="17"/>
      <c r="E59" s="17"/>
      <c r="F59" s="17"/>
      <c r="G59" s="17"/>
      <c r="H59" s="66" t="str">
        <f>IF(C59="XXL (&gt;160h)",168,IF(C59="XL (&gt;40h)",48,IF(C59="L (20-40h)",30,IF(C59="M (10-20h)",15,IF(C59="S (&lt;10h)",5,"")))))</f>
        <v/>
      </c>
      <c r="I59" s="16"/>
      <c r="J59" s="67" t="str">
        <f>IF($E59="Q12028",COUNTIF($E$3:$E59,"Q12028"),"")</f>
        <v/>
      </c>
      <c r="K59" s="67" t="str">
        <f>IF($E59="Q22028",COUNTIF($E$3:$E59,"Q22028"),"")</f>
        <v/>
      </c>
      <c r="L59" s="67" t="str">
        <f>IF($E59="Q32028",COUNTIF($E$3:$E59,"Q32028"),"")</f>
        <v/>
      </c>
      <c r="M59" s="67" t="str">
        <f>IF($E59="Q42028",COUNTIF($E$3:$E59,"Q42028"),"")</f>
        <v/>
      </c>
      <c r="N59" s="67" t="str">
        <f>IF($E59="Backlog",COUNTIF($E$3:$E59,"Backlog"),"")</f>
        <v/>
      </c>
    </row>
    <row r="60" spans="1:14" ht="19.5" customHeight="1">
      <c r="A60" s="68">
        <v>58</v>
      </c>
      <c r="B60" s="18"/>
      <c r="C60" s="19"/>
      <c r="D60" s="19"/>
      <c r="E60" s="19"/>
      <c r="F60" s="19"/>
      <c r="G60" s="19"/>
      <c r="H60" s="69" t="str">
        <f>IF(C60="XXL (&gt;160h)",168,IF(C60="XL (&gt;40h)",48,IF(C60="L (20-40h)",30,IF(C60="M (10-20h)",15,IF(C60="S (&lt;10h)",5,"")))))</f>
        <v/>
      </c>
      <c r="I60" s="18"/>
      <c r="J60" s="67" t="str">
        <f>IF($E60="Q12028",COUNTIF($E$3:$E60,"Q12028"),"")</f>
        <v/>
      </c>
      <c r="K60" s="67" t="str">
        <f>IF($E60="Q22028",COUNTIF($E$3:$E60,"Q22028"),"")</f>
        <v/>
      </c>
      <c r="L60" s="67" t="str">
        <f>IF($E60="Q32028",COUNTIF($E$3:$E60,"Q32028"),"")</f>
        <v/>
      </c>
      <c r="M60" s="67" t="str">
        <f>IF($E60="Q42028",COUNTIF($E$3:$E60,"Q42028"),"")</f>
        <v/>
      </c>
      <c r="N60" s="67" t="str">
        <f>IF($E60="Backlog",COUNTIF($E$3:$E60,"Backlog"),"")</f>
        <v/>
      </c>
    </row>
    <row r="61" spans="1:14" ht="19.5" customHeight="1">
      <c r="A61" s="65">
        <v>59</v>
      </c>
      <c r="B61" s="16"/>
      <c r="C61" s="17"/>
      <c r="D61" s="17"/>
      <c r="E61" s="17"/>
      <c r="F61" s="17"/>
      <c r="G61" s="17"/>
      <c r="H61" s="66" t="str">
        <f>IF(C61="XXL (&gt;160h)",168,IF(C61="XL (&gt;40h)",48,IF(C61="L (20-40h)",30,IF(C61="M (10-20h)",15,IF(C61="S (&lt;10h)",5,"")))))</f>
        <v/>
      </c>
      <c r="I61" s="16"/>
      <c r="J61" s="67" t="str">
        <f>IF($E61="Q12028",COUNTIF($E$3:$E61,"Q12028"),"")</f>
        <v/>
      </c>
      <c r="K61" s="67" t="str">
        <f>IF($E61="Q22028",COUNTIF($E$3:$E61,"Q22028"),"")</f>
        <v/>
      </c>
      <c r="L61" s="67" t="str">
        <f>IF($E61="Q32028",COUNTIF($E$3:$E61,"Q32028"),"")</f>
        <v/>
      </c>
      <c r="M61" s="67" t="str">
        <f>IF($E61="Q42028",COUNTIF($E$3:$E61,"Q42028"),"")</f>
        <v/>
      </c>
      <c r="N61" s="67" t="str">
        <f>IF($E61="Backlog",COUNTIF($E$3:$E61,"Backlog"),"")</f>
        <v/>
      </c>
    </row>
    <row r="62" spans="1:14" ht="19.5" customHeight="1">
      <c r="A62" s="68">
        <v>60</v>
      </c>
      <c r="B62" s="18"/>
      <c r="C62" s="19"/>
      <c r="D62" s="19"/>
      <c r="E62" s="19"/>
      <c r="F62" s="19"/>
      <c r="G62" s="19"/>
      <c r="H62" s="69" t="str">
        <f>IF(C62="XXL (&gt;160h)",168,IF(C62="XL (&gt;40h)",48,IF(C62="L (20-40h)",30,IF(C62="M (10-20h)",15,IF(C62="S (&lt;10h)",5,"")))))</f>
        <v/>
      </c>
      <c r="I62" s="18"/>
      <c r="J62" s="67" t="str">
        <f>IF($E62="Q12028",COUNTIF($E$3:$E62,"Q12028"),"")</f>
        <v/>
      </c>
      <c r="K62" s="67" t="str">
        <f>IF($E62="Q22028",COUNTIF($E$3:$E62,"Q22028"),"")</f>
        <v/>
      </c>
      <c r="L62" s="67" t="str">
        <f>IF($E62="Q32028",COUNTIF($E$3:$E62,"Q32028"),"")</f>
        <v/>
      </c>
      <c r="M62" s="67" t="str">
        <f>IF($E62="Q42028",COUNTIF($E$3:$E62,"Q42028"),"")</f>
        <v/>
      </c>
      <c r="N62" s="67" t="str">
        <f>IF($E62="Backlog",COUNTIF($E$3:$E62,"Backlog"),"")</f>
        <v/>
      </c>
    </row>
    <row r="63" spans="1:14" ht="19.5" customHeight="1">
      <c r="A63" s="65">
        <v>61</v>
      </c>
      <c r="B63" s="16"/>
      <c r="C63" s="17"/>
      <c r="D63" s="17"/>
      <c r="E63" s="17"/>
      <c r="F63" s="17"/>
      <c r="G63" s="17"/>
      <c r="H63" s="66" t="str">
        <f>IF(C63="XXL (&gt;160h)",168,IF(C63="XL (&gt;40h)",48,IF(C63="L (20-40h)",30,IF(C63="M (10-20h)",15,IF(C63="S (&lt;10h)",5,"")))))</f>
        <v/>
      </c>
      <c r="I63" s="16"/>
      <c r="J63" s="67" t="str">
        <f>IF($E63="Q12028",COUNTIF($E$3:$E63,"Q12028"),"")</f>
        <v/>
      </c>
      <c r="K63" s="67" t="str">
        <f>IF($E63="Q22028",COUNTIF($E$3:$E63,"Q22028"),"")</f>
        <v/>
      </c>
      <c r="L63" s="67" t="str">
        <f>IF($E63="Q32028",COUNTIF($E$3:$E63,"Q32028"),"")</f>
        <v/>
      </c>
      <c r="M63" s="67" t="str">
        <f>IF($E63="Q42028",COUNTIF($E$3:$E63,"Q42028"),"")</f>
        <v/>
      </c>
      <c r="N63" s="67" t="str">
        <f>IF($E63="Backlog",COUNTIF($E$3:$E63,"Backlog"),"")</f>
        <v/>
      </c>
    </row>
    <row r="64" spans="1:14" ht="19.5" customHeight="1">
      <c r="A64" s="68">
        <v>62</v>
      </c>
      <c r="B64" s="18"/>
      <c r="C64" s="19"/>
      <c r="D64" s="19"/>
      <c r="E64" s="19"/>
      <c r="F64" s="19"/>
      <c r="G64" s="19"/>
      <c r="H64" s="69" t="str">
        <f>IF(C64="XXL (&gt;160h)",168,IF(C64="XL (&gt;40h)",48,IF(C64="L (20-40h)",30,IF(C64="M (10-20h)",15,IF(C64="S (&lt;10h)",5,"")))))</f>
        <v/>
      </c>
      <c r="I64" s="18"/>
      <c r="J64" s="67" t="str">
        <f>IF($E64="Q12028",COUNTIF($E$3:$E64,"Q12028"),"")</f>
        <v/>
      </c>
      <c r="K64" s="67" t="str">
        <f>IF($E64="Q22028",COUNTIF($E$3:$E64,"Q22028"),"")</f>
        <v/>
      </c>
      <c r="L64" s="67" t="str">
        <f>IF($E64="Q32028",COUNTIF($E$3:$E64,"Q32028"),"")</f>
        <v/>
      </c>
      <c r="M64" s="67" t="str">
        <f>IF($E64="Q42028",COUNTIF($E$3:$E64,"Q42028"),"")</f>
        <v/>
      </c>
      <c r="N64" s="67" t="str">
        <f>IF($E64="Backlog",COUNTIF($E$3:$E64,"Backlog"),"")</f>
        <v/>
      </c>
    </row>
    <row r="65" spans="1:14" ht="19.5" customHeight="1">
      <c r="A65" s="65">
        <v>63</v>
      </c>
      <c r="B65" s="16"/>
      <c r="C65" s="17"/>
      <c r="D65" s="17"/>
      <c r="E65" s="17"/>
      <c r="F65" s="17"/>
      <c r="G65" s="17"/>
      <c r="H65" s="66" t="str">
        <f>IF(C65="XXL (&gt;160h)",168,IF(C65="XL (&gt;40h)",48,IF(C65="L (20-40h)",30,IF(C65="M (10-20h)",15,IF(C65="S (&lt;10h)",5,"")))))</f>
        <v/>
      </c>
      <c r="I65" s="16"/>
      <c r="J65" s="67" t="str">
        <f>IF($E65="Q12028",COUNTIF($E$3:$E65,"Q12028"),"")</f>
        <v/>
      </c>
      <c r="K65" s="67" t="str">
        <f>IF($E65="Q22028",COUNTIF($E$3:$E65,"Q22028"),"")</f>
        <v/>
      </c>
      <c r="L65" s="67" t="str">
        <f>IF($E65="Q32028",COUNTIF($E$3:$E65,"Q32028"),"")</f>
        <v/>
      </c>
      <c r="M65" s="67" t="str">
        <f>IF($E65="Q42028",COUNTIF($E$3:$E65,"Q42028"),"")</f>
        <v/>
      </c>
      <c r="N65" s="67" t="str">
        <f>IF($E65="Backlog",COUNTIF($E$3:$E65,"Backlog"),"")</f>
        <v/>
      </c>
    </row>
    <row r="66" spans="1:14" ht="19.5" customHeight="1">
      <c r="A66" s="68">
        <v>64</v>
      </c>
      <c r="B66" s="18"/>
      <c r="C66" s="19"/>
      <c r="D66" s="19"/>
      <c r="E66" s="19"/>
      <c r="F66" s="19"/>
      <c r="G66" s="19"/>
      <c r="H66" s="69" t="str">
        <f>IF(C66="XXL (&gt;160h)",168,IF(C66="XL (&gt;40h)",48,IF(C66="L (20-40h)",30,IF(C66="M (10-20h)",15,IF(C66="S (&lt;10h)",5,"")))))</f>
        <v/>
      </c>
      <c r="I66" s="18"/>
      <c r="J66" s="67" t="str">
        <f>IF($E66="Q12028",COUNTIF($E$3:$E66,"Q12028"),"")</f>
        <v/>
      </c>
      <c r="K66" s="67" t="str">
        <f>IF($E66="Q22028",COUNTIF($E$3:$E66,"Q22028"),"")</f>
        <v/>
      </c>
      <c r="L66" s="67" t="str">
        <f>IF($E66="Q32028",COUNTIF($E$3:$E66,"Q32028"),"")</f>
        <v/>
      </c>
      <c r="M66" s="67" t="str">
        <f>IF($E66="Q42028",COUNTIF($E$3:$E66,"Q42028"),"")</f>
        <v/>
      </c>
      <c r="N66" s="67" t="str">
        <f>IF($E66="Backlog",COUNTIF($E$3:$E66,"Backlog"),"")</f>
        <v/>
      </c>
    </row>
    <row r="67" spans="1:14" ht="19.5" customHeight="1">
      <c r="A67" s="65">
        <v>65</v>
      </c>
      <c r="B67" s="16"/>
      <c r="C67" s="17"/>
      <c r="D67" s="17"/>
      <c r="E67" s="17"/>
      <c r="F67" s="17"/>
      <c r="G67" s="17"/>
      <c r="H67" s="66" t="str">
        <f>IF(C67="XXL (&gt;160h)",168,IF(C67="XL (&gt;40h)",48,IF(C67="L (20-40h)",30,IF(C67="M (10-20h)",15,IF(C67="S (&lt;10h)",5,"")))))</f>
        <v/>
      </c>
      <c r="I67" s="16"/>
      <c r="J67" s="67" t="str">
        <f>IF($E67="Q12028",COUNTIF($E$3:$E67,"Q12028"),"")</f>
        <v/>
      </c>
      <c r="K67" s="67" t="str">
        <f>IF($E67="Q22028",COUNTIF($E$3:$E67,"Q22028"),"")</f>
        <v/>
      </c>
      <c r="L67" s="67" t="str">
        <f>IF($E67="Q32028",COUNTIF($E$3:$E67,"Q32028"),"")</f>
        <v/>
      </c>
      <c r="M67" s="67" t="str">
        <f>IF($E67="Q42028",COUNTIF($E$3:$E67,"Q42028"),"")</f>
        <v/>
      </c>
      <c r="N67" s="67" t="str">
        <f>IF($E67="Backlog",COUNTIF($E$3:$E67,"Backlog"),"")</f>
        <v/>
      </c>
    </row>
    <row r="68" spans="1:14" ht="19.5" customHeight="1">
      <c r="A68" s="68">
        <v>66</v>
      </c>
      <c r="B68" s="18"/>
      <c r="C68" s="19"/>
      <c r="D68" s="19"/>
      <c r="E68" s="19"/>
      <c r="F68" s="19"/>
      <c r="G68" s="19"/>
      <c r="H68" s="69" t="str">
        <f>IF(C68="XXL (&gt;160h)",168,IF(C68="XL (&gt;40h)",48,IF(C68="L (20-40h)",30,IF(C68="M (10-20h)",15,IF(C68="S (&lt;10h)",5,"")))))</f>
        <v/>
      </c>
      <c r="I68" s="18"/>
      <c r="J68" s="67" t="str">
        <f>IF($E68="Q12028",COUNTIF($E$3:$E68,"Q12028"),"")</f>
        <v/>
      </c>
      <c r="K68" s="67" t="str">
        <f>IF($E68="Q22028",COUNTIF($E$3:$E68,"Q22028"),"")</f>
        <v/>
      </c>
      <c r="L68" s="67" t="str">
        <f>IF($E68="Q32028",COUNTIF($E$3:$E68,"Q32028"),"")</f>
        <v/>
      </c>
      <c r="M68" s="67" t="str">
        <f>IF($E68="Q42028",COUNTIF($E$3:$E68,"Q42028"),"")</f>
        <v/>
      </c>
      <c r="N68" s="67" t="str">
        <f>IF($E68="Backlog",COUNTIF($E$3:$E68,"Backlog"),"")</f>
        <v/>
      </c>
    </row>
    <row r="69" spans="1:14" ht="19.5" customHeight="1">
      <c r="A69" s="65">
        <v>67</v>
      </c>
      <c r="B69" s="16"/>
      <c r="C69" s="17"/>
      <c r="D69" s="17"/>
      <c r="E69" s="17"/>
      <c r="F69" s="17"/>
      <c r="G69" s="17"/>
      <c r="H69" s="66" t="str">
        <f>IF(C69="XXL (&gt;160h)",168,IF(C69="XL (&gt;40h)",48,IF(C69="L (20-40h)",30,IF(C69="M (10-20h)",15,IF(C69="S (&lt;10h)",5,"")))))</f>
        <v/>
      </c>
      <c r="I69" s="16"/>
      <c r="J69" s="67" t="str">
        <f>IF($E69="Q12028",COUNTIF($E$3:$E69,"Q12028"),"")</f>
        <v/>
      </c>
      <c r="K69" s="67" t="str">
        <f>IF($E69="Q22028",COUNTIF($E$3:$E69,"Q22028"),"")</f>
        <v/>
      </c>
      <c r="L69" s="67" t="str">
        <f>IF($E69="Q32028",COUNTIF($E$3:$E69,"Q32028"),"")</f>
        <v/>
      </c>
      <c r="M69" s="67" t="str">
        <f>IF($E69="Q42028",COUNTIF($E$3:$E69,"Q42028"),"")</f>
        <v/>
      </c>
      <c r="N69" s="67" t="str">
        <f>IF($E69="Backlog",COUNTIF($E$3:$E69,"Backlog"),"")</f>
        <v/>
      </c>
    </row>
    <row r="70" spans="1:14" ht="19.5" customHeight="1">
      <c r="A70" s="68">
        <v>68</v>
      </c>
      <c r="B70" s="18"/>
      <c r="C70" s="19"/>
      <c r="D70" s="19"/>
      <c r="E70" s="19"/>
      <c r="F70" s="19"/>
      <c r="G70" s="19"/>
      <c r="H70" s="69" t="str">
        <f>IF(C70="XXL (&gt;160h)",168,IF(C70="XL (&gt;40h)",48,IF(C70="L (20-40h)",30,IF(C70="M (10-20h)",15,IF(C70="S (&lt;10h)",5,"")))))</f>
        <v/>
      </c>
      <c r="I70" s="18"/>
      <c r="J70" s="67" t="str">
        <f>IF($E70="Q12028",COUNTIF($E$3:$E70,"Q12028"),"")</f>
        <v/>
      </c>
      <c r="K70" s="67" t="str">
        <f>IF($E70="Q22028",COUNTIF($E$3:$E70,"Q22028"),"")</f>
        <v/>
      </c>
      <c r="L70" s="67" t="str">
        <f>IF($E70="Q32028",COUNTIF($E$3:$E70,"Q32028"),"")</f>
        <v/>
      </c>
      <c r="M70" s="67" t="str">
        <f>IF($E70="Q42028",COUNTIF($E$3:$E70,"Q42028"),"")</f>
        <v/>
      </c>
      <c r="N70" s="67" t="str">
        <f>IF($E70="Backlog",COUNTIF($E$3:$E70,"Backlog"),"")</f>
        <v/>
      </c>
    </row>
    <row r="71" spans="1:14" ht="19.5" customHeight="1">
      <c r="A71" s="65">
        <v>69</v>
      </c>
      <c r="B71" s="16"/>
      <c r="C71" s="17"/>
      <c r="D71" s="17"/>
      <c r="E71" s="17"/>
      <c r="F71" s="17"/>
      <c r="G71" s="17"/>
      <c r="H71" s="66" t="str">
        <f>IF(C71="XXL (&gt;160h)",168,IF(C71="XL (&gt;40h)",48,IF(C71="L (20-40h)",30,IF(C71="M (10-20h)",15,IF(C71="S (&lt;10h)",5,"")))))</f>
        <v/>
      </c>
      <c r="I71" s="16"/>
      <c r="J71" s="67" t="str">
        <f>IF($E71="Q12028",COUNTIF($E$3:$E71,"Q12028"),"")</f>
        <v/>
      </c>
      <c r="K71" s="67" t="str">
        <f>IF($E71="Q22028",COUNTIF($E$3:$E71,"Q22028"),"")</f>
        <v/>
      </c>
      <c r="L71" s="67" t="str">
        <f>IF($E71="Q32028",COUNTIF($E$3:$E71,"Q32028"),"")</f>
        <v/>
      </c>
      <c r="M71" s="67" t="str">
        <f>IF($E71="Q42028",COUNTIF($E$3:$E71,"Q42028"),"")</f>
        <v/>
      </c>
      <c r="N71" s="67" t="str">
        <f>IF($E71="Backlog",COUNTIF($E$3:$E71,"Backlog"),"")</f>
        <v/>
      </c>
    </row>
    <row r="72" spans="1:14" ht="19.5" customHeight="1">
      <c r="A72" s="68">
        <v>70</v>
      </c>
      <c r="B72" s="18"/>
      <c r="C72" s="19"/>
      <c r="D72" s="19"/>
      <c r="E72" s="19"/>
      <c r="F72" s="19"/>
      <c r="G72" s="19"/>
      <c r="H72" s="69" t="str">
        <f>IF(C72="XXL (&gt;160h)",168,IF(C72="XL (&gt;40h)",48,IF(C72="L (20-40h)",30,IF(C72="M (10-20h)",15,IF(C72="S (&lt;10h)",5,"")))))</f>
        <v/>
      </c>
      <c r="I72" s="18"/>
      <c r="J72" s="67" t="str">
        <f>IF($E72="Q12028",COUNTIF($E$3:$E72,"Q12028"),"")</f>
        <v/>
      </c>
      <c r="K72" s="67" t="str">
        <f>IF($E72="Q22028",COUNTIF($E$3:$E72,"Q22028"),"")</f>
        <v/>
      </c>
      <c r="L72" s="67" t="str">
        <f>IF($E72="Q32028",COUNTIF($E$3:$E72,"Q32028"),"")</f>
        <v/>
      </c>
      <c r="M72" s="67" t="str">
        <f>IF($E72="Q42028",COUNTIF($E$3:$E72,"Q42028"),"")</f>
        <v/>
      </c>
      <c r="N72" s="67" t="str">
        <f>IF($E72="Backlog",COUNTIF($E$3:$E72,"Backlog"),"")</f>
        <v/>
      </c>
    </row>
    <row r="73" spans="1:14" ht="19.5" customHeight="1">
      <c r="A73" s="65">
        <v>71</v>
      </c>
      <c r="B73" s="16"/>
      <c r="C73" s="17"/>
      <c r="D73" s="17"/>
      <c r="E73" s="17"/>
      <c r="F73" s="17"/>
      <c r="G73" s="17"/>
      <c r="H73" s="66" t="str">
        <f>IF(C73="XXL (&gt;160h)",168,IF(C73="XL (&gt;40h)",48,IF(C73="L (20-40h)",30,IF(C73="M (10-20h)",15,IF(C73="S (&lt;10h)",5,"")))))</f>
        <v/>
      </c>
      <c r="I73" s="16"/>
      <c r="J73" s="67" t="str">
        <f>IF($E73="Q12028",COUNTIF($E$3:$E73,"Q12028"),"")</f>
        <v/>
      </c>
      <c r="K73" s="67" t="str">
        <f>IF($E73="Q22028",COUNTIF($E$3:$E73,"Q22028"),"")</f>
        <v/>
      </c>
      <c r="L73" s="67" t="str">
        <f>IF($E73="Q32028",COUNTIF($E$3:$E73,"Q32028"),"")</f>
        <v/>
      </c>
      <c r="M73" s="67" t="str">
        <f>IF($E73="Q42028",COUNTIF($E$3:$E73,"Q42028"),"")</f>
        <v/>
      </c>
      <c r="N73" s="67" t="str">
        <f>IF($E73="Backlog",COUNTIF($E$3:$E73,"Backlog"),"")</f>
        <v/>
      </c>
    </row>
    <row r="74" spans="1:14" ht="19.5" customHeight="1">
      <c r="A74" s="68">
        <v>72</v>
      </c>
      <c r="B74" s="18"/>
      <c r="C74" s="19"/>
      <c r="D74" s="19"/>
      <c r="E74" s="19"/>
      <c r="F74" s="19"/>
      <c r="G74" s="19"/>
      <c r="H74" s="69" t="str">
        <f>IF(C74="XXL (&gt;160h)",168,IF(C74="XL (&gt;40h)",48,IF(C74="L (20-40h)",30,IF(C74="M (10-20h)",15,IF(C74="S (&lt;10h)",5,"")))))</f>
        <v/>
      </c>
      <c r="I74" s="18"/>
      <c r="J74" s="67" t="str">
        <f>IF($E74="Q12028",COUNTIF($E$3:$E74,"Q12028"),"")</f>
        <v/>
      </c>
      <c r="K74" s="67" t="str">
        <f>IF($E74="Q22028",COUNTIF($E$3:$E74,"Q22028"),"")</f>
        <v/>
      </c>
      <c r="L74" s="67" t="str">
        <f>IF($E74="Q32028",COUNTIF($E$3:$E74,"Q32028"),"")</f>
        <v/>
      </c>
      <c r="M74" s="67" t="str">
        <f>IF($E74="Q42028",COUNTIF($E$3:$E74,"Q42028"),"")</f>
        <v/>
      </c>
      <c r="N74" s="67" t="str">
        <f>IF($E74="Backlog",COUNTIF($E$3:$E74,"Backlog"),"")</f>
        <v/>
      </c>
    </row>
    <row r="75" spans="1:14" ht="19.5" customHeight="1">
      <c r="A75" s="65">
        <v>73</v>
      </c>
      <c r="B75" s="16"/>
      <c r="C75" s="17"/>
      <c r="D75" s="17"/>
      <c r="E75" s="17"/>
      <c r="F75" s="17"/>
      <c r="G75" s="17"/>
      <c r="H75" s="66" t="str">
        <f>IF(C75="XXL (&gt;160h)",168,IF(C75="XL (&gt;40h)",48,IF(C75="L (20-40h)",30,IF(C75="M (10-20h)",15,IF(C75="S (&lt;10h)",5,"")))))</f>
        <v/>
      </c>
      <c r="I75" s="16"/>
      <c r="J75" s="67" t="str">
        <f>IF($E75="Q12028",COUNTIF($E$3:$E75,"Q12028"),"")</f>
        <v/>
      </c>
      <c r="K75" s="67" t="str">
        <f>IF($E75="Q22028",COUNTIF($E$3:$E75,"Q22028"),"")</f>
        <v/>
      </c>
      <c r="L75" s="67" t="str">
        <f>IF($E75="Q32028",COUNTIF($E$3:$E75,"Q32028"),"")</f>
        <v/>
      </c>
      <c r="M75" s="67" t="str">
        <f>IF($E75="Q42028",COUNTIF($E$3:$E75,"Q42028"),"")</f>
        <v/>
      </c>
      <c r="N75" s="67" t="str">
        <f>IF($E75="Backlog",COUNTIF($E$3:$E75,"Backlog"),"")</f>
        <v/>
      </c>
    </row>
    <row r="76" spans="1:14" ht="19.5" customHeight="1">
      <c r="A76" s="68">
        <v>74</v>
      </c>
      <c r="B76" s="18"/>
      <c r="C76" s="19"/>
      <c r="D76" s="19"/>
      <c r="E76" s="19"/>
      <c r="F76" s="19"/>
      <c r="G76" s="19"/>
      <c r="H76" s="69" t="str">
        <f>IF(C76="XXL (&gt;160h)",168,IF(C76="XL (&gt;40h)",48,IF(C76="L (20-40h)",30,IF(C76="M (10-20h)",15,IF(C76="S (&lt;10h)",5,"")))))</f>
        <v/>
      </c>
      <c r="I76" s="18"/>
      <c r="J76" s="67" t="str">
        <f>IF($E76="Q12028",COUNTIF($E$3:$E76,"Q12028"),"")</f>
        <v/>
      </c>
      <c r="K76" s="67" t="str">
        <f>IF($E76="Q22028",COUNTIF($E$3:$E76,"Q22028"),"")</f>
        <v/>
      </c>
      <c r="L76" s="67" t="str">
        <f>IF($E76="Q32028",COUNTIF($E$3:$E76,"Q32028"),"")</f>
        <v/>
      </c>
      <c r="M76" s="67" t="str">
        <f>IF($E76="Q42028",COUNTIF($E$3:$E76,"Q42028"),"")</f>
        <v/>
      </c>
      <c r="N76" s="67" t="str">
        <f>IF($E76="Backlog",COUNTIF($E$3:$E76,"Backlog"),"")</f>
        <v/>
      </c>
    </row>
    <row r="77" spans="1:14" ht="19.5" customHeight="1">
      <c r="A77" s="65">
        <v>75</v>
      </c>
      <c r="B77" s="16"/>
      <c r="C77" s="17"/>
      <c r="D77" s="17"/>
      <c r="E77" s="17"/>
      <c r="F77" s="17"/>
      <c r="G77" s="17"/>
      <c r="H77" s="66" t="str">
        <f>IF(C77="XXL (&gt;160h)",168,IF(C77="XL (&gt;40h)",48,IF(C77="L (20-40h)",30,IF(C77="M (10-20h)",15,IF(C77="S (&lt;10h)",5,"")))))</f>
        <v/>
      </c>
      <c r="I77" s="16"/>
      <c r="J77" s="67" t="str">
        <f>IF($E77="Q12028",COUNTIF($E$3:$E77,"Q12028"),"")</f>
        <v/>
      </c>
      <c r="K77" s="67" t="str">
        <f>IF($E77="Q22028",COUNTIF($E$3:$E77,"Q22028"),"")</f>
        <v/>
      </c>
      <c r="L77" s="67" t="str">
        <f>IF($E77="Q32028",COUNTIF($E$3:$E77,"Q32028"),"")</f>
        <v/>
      </c>
      <c r="M77" s="67" t="str">
        <f>IF($E77="Q42028",COUNTIF($E$3:$E77,"Q42028"),"")</f>
        <v/>
      </c>
      <c r="N77" s="67" t="str">
        <f>IF($E77="Backlog",COUNTIF($E$3:$E77,"Backlog"),"")</f>
        <v/>
      </c>
    </row>
    <row r="78" spans="1:14" ht="19.5" customHeight="1">
      <c r="A78" s="68">
        <v>76</v>
      </c>
      <c r="B78" s="18"/>
      <c r="C78" s="19"/>
      <c r="D78" s="19"/>
      <c r="E78" s="19"/>
      <c r="F78" s="19"/>
      <c r="G78" s="19"/>
      <c r="H78" s="69" t="str">
        <f>IF(C78="XXL (&gt;160h)",168,IF(C78="XL (&gt;40h)",48,IF(C78="L (20-40h)",30,IF(C78="M (10-20h)",15,IF(C78="S (&lt;10h)",5,"")))))</f>
        <v/>
      </c>
      <c r="I78" s="18"/>
      <c r="J78" s="67" t="str">
        <f>IF($E78="Q12028",COUNTIF($E$3:$E78,"Q12028"),"")</f>
        <v/>
      </c>
      <c r="K78" s="67" t="str">
        <f>IF($E78="Q22028",COUNTIF($E$3:$E78,"Q22028"),"")</f>
        <v/>
      </c>
      <c r="L78" s="67" t="str">
        <f>IF($E78="Q32028",COUNTIF($E$3:$E78,"Q32028"),"")</f>
        <v/>
      </c>
      <c r="M78" s="67" t="str">
        <f>IF($E78="Q42028",COUNTIF($E$3:$E78,"Q42028"),"")</f>
        <v/>
      </c>
      <c r="N78" s="67" t="str">
        <f>IF($E78="Backlog",COUNTIF($E$3:$E78,"Backlog"),"")</f>
        <v/>
      </c>
    </row>
    <row r="79" spans="1:14" ht="19.5" customHeight="1">
      <c r="A79" s="65">
        <v>77</v>
      </c>
      <c r="B79" s="16"/>
      <c r="C79" s="17"/>
      <c r="D79" s="17"/>
      <c r="E79" s="17"/>
      <c r="F79" s="17"/>
      <c r="G79" s="17"/>
      <c r="H79" s="66" t="str">
        <f>IF(C79="XXL (&gt;160h)",168,IF(C79="XL (&gt;40h)",48,IF(C79="L (20-40h)",30,IF(C79="M (10-20h)",15,IF(C79="S (&lt;10h)",5,"")))))</f>
        <v/>
      </c>
      <c r="I79" s="16"/>
      <c r="J79" s="67" t="str">
        <f>IF($E79="Q12028",COUNTIF($E$3:$E79,"Q12028"),"")</f>
        <v/>
      </c>
      <c r="K79" s="67" t="str">
        <f>IF($E79="Q22028",COUNTIF($E$3:$E79,"Q22028"),"")</f>
        <v/>
      </c>
      <c r="L79" s="67" t="str">
        <f>IF($E79="Q32028",COUNTIF($E$3:$E79,"Q32028"),"")</f>
        <v/>
      </c>
      <c r="M79" s="67" t="str">
        <f>IF($E79="Q42028",COUNTIF($E$3:$E79,"Q42028"),"")</f>
        <v/>
      </c>
      <c r="N79" s="67" t="str">
        <f>IF($E79="Backlog",COUNTIF($E$3:$E79,"Backlog"),"")</f>
        <v/>
      </c>
    </row>
    <row r="80" spans="1:14" ht="19.5" customHeight="1">
      <c r="A80" s="68">
        <v>78</v>
      </c>
      <c r="B80" s="18"/>
      <c r="C80" s="19"/>
      <c r="D80" s="19"/>
      <c r="E80" s="19"/>
      <c r="F80" s="19"/>
      <c r="G80" s="19"/>
      <c r="H80" s="69" t="str">
        <f>IF(C80="XXL (&gt;160h)",168,IF(C80="XL (&gt;40h)",48,IF(C80="L (20-40h)",30,IF(C80="M (10-20h)",15,IF(C80="S (&lt;10h)",5,"")))))</f>
        <v/>
      </c>
      <c r="I80" s="18"/>
      <c r="J80" s="67" t="str">
        <f>IF($E80="Q12028",COUNTIF($E$3:$E80,"Q12028"),"")</f>
        <v/>
      </c>
      <c r="K80" s="67" t="str">
        <f>IF($E80="Q22028",COUNTIF($E$3:$E80,"Q22028"),"")</f>
        <v/>
      </c>
      <c r="L80" s="67" t="str">
        <f>IF($E80="Q32028",COUNTIF($E$3:$E80,"Q32028"),"")</f>
        <v/>
      </c>
      <c r="M80" s="67" t="str">
        <f>IF($E80="Q42028",COUNTIF($E$3:$E80,"Q42028"),"")</f>
        <v/>
      </c>
      <c r="N80" s="67" t="str">
        <f>IF($E80="Backlog",COUNTIF($E$3:$E80,"Backlog"),"")</f>
        <v/>
      </c>
    </row>
    <row r="81" spans="1:14" ht="19.5" customHeight="1">
      <c r="A81" s="65">
        <v>79</v>
      </c>
      <c r="B81" s="16"/>
      <c r="C81" s="17"/>
      <c r="D81" s="17"/>
      <c r="E81" s="17"/>
      <c r="F81" s="17"/>
      <c r="G81" s="17"/>
      <c r="H81" s="66" t="str">
        <f>IF(C81="XXL (&gt;160h)",168,IF(C81="XL (&gt;40h)",48,IF(C81="L (20-40h)",30,IF(C81="M (10-20h)",15,IF(C81="S (&lt;10h)",5,"")))))</f>
        <v/>
      </c>
      <c r="I81" s="16"/>
      <c r="J81" s="67" t="str">
        <f>IF($E81="Q12028",COUNTIF($E$3:$E81,"Q12028"),"")</f>
        <v/>
      </c>
      <c r="K81" s="67" t="str">
        <f>IF($E81="Q22028",COUNTIF($E$3:$E81,"Q22028"),"")</f>
        <v/>
      </c>
      <c r="L81" s="67" t="str">
        <f>IF($E81="Q32028",COUNTIF($E$3:$E81,"Q32028"),"")</f>
        <v/>
      </c>
      <c r="M81" s="67" t="str">
        <f>IF($E81="Q42028",COUNTIF($E$3:$E81,"Q42028"),"")</f>
        <v/>
      </c>
      <c r="N81" s="67" t="str">
        <f>IF($E81="Backlog",COUNTIF($E$3:$E81,"Backlog"),"")</f>
        <v/>
      </c>
    </row>
    <row r="82" spans="1:14" ht="19.5" customHeight="1">
      <c r="A82" s="68">
        <v>80</v>
      </c>
      <c r="B82" s="18"/>
      <c r="C82" s="19"/>
      <c r="D82" s="19"/>
      <c r="E82" s="19"/>
      <c r="F82" s="19"/>
      <c r="G82" s="19"/>
      <c r="H82" s="69" t="str">
        <f>IF(C82="XXL (&gt;160h)",168,IF(C82="XL (&gt;40h)",48,IF(C82="L (20-40h)",30,IF(C82="M (10-20h)",15,IF(C82="S (&lt;10h)",5,"")))))</f>
        <v/>
      </c>
      <c r="I82" s="18"/>
      <c r="J82" s="67" t="str">
        <f>IF($E82="Q12028",COUNTIF($E$3:$E82,"Q12028"),"")</f>
        <v/>
      </c>
      <c r="K82" s="67" t="str">
        <f>IF($E82="Q22028",COUNTIF($E$3:$E82,"Q22028"),"")</f>
        <v/>
      </c>
      <c r="L82" s="67" t="str">
        <f>IF($E82="Q32028",COUNTIF($E$3:$E82,"Q32028"),"")</f>
        <v/>
      </c>
      <c r="M82" s="67" t="str">
        <f>IF($E82="Q42028",COUNTIF($E$3:$E82,"Q42028"),"")</f>
        <v/>
      </c>
      <c r="N82" s="67" t="str">
        <f>IF($E82="Backlog",COUNTIF($E$3:$E82,"Backlog"),"")</f>
        <v/>
      </c>
    </row>
    <row r="83" spans="1:14" ht="21.75" customHeight="1">
      <c r="A83" s="130" t="s">
        <v>56</v>
      </c>
      <c r="B83" s="130"/>
      <c r="C83" s="130"/>
      <c r="D83" s="130"/>
      <c r="E83" s="130"/>
      <c r="F83" s="130"/>
      <c r="G83" s="130"/>
      <c r="H83" s="23">
        <f>SUM(H3:H82)</f>
        <v>0</v>
      </c>
      <c r="I83" s="73"/>
    </row>
    <row r="85" spans="1:14" ht="15.75" customHeight="1">
      <c r="A85" s="111" t="s">
        <v>57</v>
      </c>
      <c r="B85" s="111"/>
      <c r="C85" s="111"/>
      <c r="D85" s="111"/>
      <c r="E85" s="111"/>
      <c r="F85" s="111"/>
      <c r="G85" s="111"/>
      <c r="H85" s="111"/>
      <c r="I85" s="111"/>
    </row>
    <row r="86" spans="1:14" ht="15.75" customHeight="1">
      <c r="A86" s="111" t="s">
        <v>58</v>
      </c>
      <c r="B86" s="111"/>
      <c r="C86" s="111"/>
      <c r="D86" s="111"/>
      <c r="E86" s="111"/>
      <c r="F86" s="111"/>
      <c r="G86" s="111"/>
      <c r="H86" s="111"/>
      <c r="I86" s="111"/>
    </row>
    <row r="87" spans="1:14" ht="15.75" customHeight="1">
      <c r="A87" s="111" t="s">
        <v>59</v>
      </c>
      <c r="B87" s="111"/>
      <c r="C87" s="111"/>
      <c r="D87" s="111"/>
      <c r="E87" s="111"/>
      <c r="F87" s="111"/>
      <c r="G87" s="111"/>
      <c r="H87" s="111"/>
      <c r="I87" s="111"/>
    </row>
  </sheetData>
  <mergeCells count="5">
    <mergeCell ref="A1:I1"/>
    <mergeCell ref="A83:G83"/>
    <mergeCell ref="A85:I85"/>
    <mergeCell ref="A86:I86"/>
    <mergeCell ref="A87:I87"/>
  </mergeCells>
  <conditionalFormatting sqref="D3:D82">
    <cfRule type="cellIs" dxfId="2" priority="2" operator="equal">
      <formula>"Strengthen"</formula>
    </cfRule>
    <cfRule type="cellIs" dxfId="1" priority="3" operator="equal">
      <formula>"Innovation"</formula>
    </cfRule>
    <cfRule type="cellIs" dxfId="0" priority="4" operator="equal">
      <formula>"Repair"</formula>
    </cfRule>
  </conditionalFormatting>
  <dataValidations count="5">
    <dataValidation type="list" allowBlank="1" sqref="D3:D82" xr:uid="{00000000-0002-0000-1500-000000000000}">
      <formula1>"Strengthen,Innovation,Repair"</formula1>
      <formula2>0</formula2>
    </dataValidation>
    <dataValidation type="list" allowBlank="1" sqref="C3:C82" xr:uid="{00000000-0002-0000-1500-000001000000}">
      <formula1>"XXL (&gt;160h),XL (&gt;40h),L (20-40h),M (10-20h),S (&lt;10h)"</formula1>
      <formula2>0</formula2>
    </dataValidation>
    <dataValidation type="list" allowBlank="1" sqref="E3:E82" xr:uid="{00000000-0002-0000-1500-000002000000}">
      <formula1>"Q12028,Q22028,Q32028,Q42028,Backlog"</formula1>
      <formula2>0</formula2>
    </dataValidation>
    <dataValidation type="list" allowBlank="1" sqref="F3:F82" xr:uid="{00000000-0002-0000-1500-000003000000}">
      <formula1>"Must,Should,Could,Won't"</formula1>
      <formula2>0</formula2>
    </dataValidation>
    <dataValidation type="list" allowBlank="1" sqref="G3:G82" xr:uid="{00000000-0002-0000-1500-000004000000}">
      <formula1>"WEB,Desktop,W-&gt;D,D-&gt;W"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401"/>
  <sheetViews>
    <sheetView zoomScaleNormal="100" workbookViewId="0"/>
  </sheetViews>
  <sheetFormatPr defaultColWidth="8.7109375" defaultRowHeight="15"/>
  <sheetData>
    <row r="1" spans="1:13">
      <c r="A1" t="s">
        <v>5</v>
      </c>
      <c r="B1" t="s">
        <v>219</v>
      </c>
      <c r="C1" t="s">
        <v>3</v>
      </c>
      <c r="D1" t="s">
        <v>78</v>
      </c>
      <c r="E1" t="s">
        <v>64</v>
      </c>
      <c r="F1" t="s">
        <v>6</v>
      </c>
      <c r="G1" t="s">
        <v>7</v>
      </c>
      <c r="H1" t="s">
        <v>220</v>
      </c>
      <c r="I1" t="s">
        <v>268</v>
      </c>
      <c r="J1" t="s">
        <v>269</v>
      </c>
      <c r="K1" t="s">
        <v>270</v>
      </c>
      <c r="L1" t="s">
        <v>271</v>
      </c>
      <c r="M1" t="s">
        <v>225</v>
      </c>
    </row>
    <row r="2" spans="1:13">
      <c r="A2" t="str">
        <f>IF(AND('Q12028'!B3&lt;&gt;"",'Q12028'!E3&lt;&gt;""),'Q12028'!E3,"")</f>
        <v/>
      </c>
      <c r="B2" t="str">
        <f>IF(AND('Q12028'!B3&lt;&gt;"",'Q12028'!E3&lt;&gt;""),'Q12028'!B3,"")</f>
        <v/>
      </c>
      <c r="C2" t="str">
        <f>IF(AND('Q12028'!B3&lt;&gt;"",'Q12028'!E3&lt;&gt;""),'Q12028'!C3,"")</f>
        <v/>
      </c>
      <c r="D2" t="str">
        <f>IF(AND('Q12028'!B3&lt;&gt;"",'Q12028'!E3&lt;&gt;""),'Q12028'!D3,"")</f>
        <v/>
      </c>
      <c r="E2" t="str">
        <f>IF(AND('Q12028'!B3&lt;&gt;"",'Q12028'!E3&lt;&gt;""),'Q12028'!H3,"")</f>
        <v/>
      </c>
      <c r="F2" t="str">
        <f>IF(AND('Q12028'!B3&lt;&gt;"",'Q12028'!E3&lt;&gt;""),'Q12028'!F3,"")</f>
        <v/>
      </c>
      <c r="G2" t="str">
        <f>IF(AND('Q12028'!B3&lt;&gt;"",'Q12028'!E3&lt;&gt;""),'Q12028'!G3,"")</f>
        <v/>
      </c>
      <c r="H2" t="str">
        <f>IF(AND('Q12028'!B3&lt;&gt;"",'Q12028'!E3&lt;&gt;""),"Q12028","")</f>
        <v/>
      </c>
      <c r="I2" t="str">
        <f>IF(A2="Q12028",COUNTIF($A$2:$A2,"Q12028"),"")</f>
        <v/>
      </c>
      <c r="J2" t="str">
        <f>IF(A2="Q22028",COUNTIF($A$2:$A2,"Q22028"),"")</f>
        <v/>
      </c>
      <c r="K2" t="str">
        <f>IF(A2="Q32028",COUNTIF($A$2:$A2,"Q32028"),"")</f>
        <v/>
      </c>
      <c r="L2" t="str">
        <f>IF(A2="Q42028",COUNTIF($A$2:$A2,"Q42028"),"")</f>
        <v/>
      </c>
      <c r="M2" t="str">
        <f>IF(A2="Backlog",COUNTIF($A$2:$A2,"Backlog"),"")</f>
        <v/>
      </c>
    </row>
    <row r="3" spans="1:13">
      <c r="A3" t="str">
        <f>IF(AND('Q12028'!B4&lt;&gt;"",'Q12028'!E4&lt;&gt;""),'Q12028'!E4,"")</f>
        <v/>
      </c>
      <c r="B3" t="str">
        <f>IF(AND('Q12028'!B4&lt;&gt;"",'Q12028'!E4&lt;&gt;""),'Q12028'!B4,"")</f>
        <v/>
      </c>
      <c r="C3" t="str">
        <f>IF(AND('Q12028'!B4&lt;&gt;"",'Q12028'!E4&lt;&gt;""),'Q12028'!C4,"")</f>
        <v/>
      </c>
      <c r="D3" t="str">
        <f>IF(AND('Q12028'!B4&lt;&gt;"",'Q12028'!E4&lt;&gt;""),'Q12028'!D4,"")</f>
        <v/>
      </c>
      <c r="E3" t="str">
        <f>IF(AND('Q12028'!B4&lt;&gt;"",'Q12028'!E4&lt;&gt;""),'Q12028'!H4,"")</f>
        <v/>
      </c>
      <c r="F3" t="str">
        <f>IF(AND('Q12028'!B4&lt;&gt;"",'Q12028'!E4&lt;&gt;""),'Q12028'!F4,"")</f>
        <v/>
      </c>
      <c r="G3" t="str">
        <f>IF(AND('Q12028'!B4&lt;&gt;"",'Q12028'!E4&lt;&gt;""),'Q12028'!G4,"")</f>
        <v/>
      </c>
      <c r="H3" t="str">
        <f>IF(AND('Q12028'!B4&lt;&gt;"",'Q12028'!E4&lt;&gt;""),"Q12028","")</f>
        <v/>
      </c>
      <c r="I3" t="str">
        <f>IF(A3="Q12028",COUNTIF($A$2:$A3,"Q12028"),"")</f>
        <v/>
      </c>
      <c r="J3" t="str">
        <f>IF(A3="Q22028",COUNTIF($A$2:$A3,"Q22028"),"")</f>
        <v/>
      </c>
      <c r="K3" t="str">
        <f>IF(A3="Q32028",COUNTIF($A$2:$A3,"Q32028"),"")</f>
        <v/>
      </c>
      <c r="L3" t="str">
        <f>IF(A3="Q42028",COUNTIF($A$2:$A3,"Q42028"),"")</f>
        <v/>
      </c>
      <c r="M3" t="str">
        <f>IF(A3="Backlog",COUNTIF($A$2:$A3,"Backlog"),"")</f>
        <v/>
      </c>
    </row>
    <row r="4" spans="1:13">
      <c r="A4" t="str">
        <f>IF(AND('Q12028'!B5&lt;&gt;"",'Q12028'!E5&lt;&gt;""),'Q12028'!E5,"")</f>
        <v/>
      </c>
      <c r="B4" t="str">
        <f>IF(AND('Q12028'!B5&lt;&gt;"",'Q12028'!E5&lt;&gt;""),'Q12028'!B5,"")</f>
        <v/>
      </c>
      <c r="C4" t="str">
        <f>IF(AND('Q12028'!B5&lt;&gt;"",'Q12028'!E5&lt;&gt;""),'Q12028'!C5,"")</f>
        <v/>
      </c>
      <c r="D4" t="str">
        <f>IF(AND('Q12028'!B5&lt;&gt;"",'Q12028'!E5&lt;&gt;""),'Q12028'!D5,"")</f>
        <v/>
      </c>
      <c r="E4" t="str">
        <f>IF(AND('Q12028'!B5&lt;&gt;"",'Q12028'!E5&lt;&gt;""),'Q12028'!H5,"")</f>
        <v/>
      </c>
      <c r="F4" t="str">
        <f>IF(AND('Q12028'!B5&lt;&gt;"",'Q12028'!E5&lt;&gt;""),'Q12028'!F5,"")</f>
        <v/>
      </c>
      <c r="G4" t="str">
        <f>IF(AND('Q12028'!B5&lt;&gt;"",'Q12028'!E5&lt;&gt;""),'Q12028'!G5,"")</f>
        <v/>
      </c>
      <c r="H4" t="str">
        <f>IF(AND('Q12028'!B5&lt;&gt;"",'Q12028'!E5&lt;&gt;""),"Q12028","")</f>
        <v/>
      </c>
      <c r="I4" t="str">
        <f>IF(A4="Q12028",COUNTIF($A$2:$A4,"Q12028"),"")</f>
        <v/>
      </c>
      <c r="J4" t="str">
        <f>IF(A4="Q22028",COUNTIF($A$2:$A4,"Q22028"),"")</f>
        <v/>
      </c>
      <c r="K4" t="str">
        <f>IF(A4="Q32028",COUNTIF($A$2:$A4,"Q32028"),"")</f>
        <v/>
      </c>
      <c r="L4" t="str">
        <f>IF(A4="Q42028",COUNTIF($A$2:$A4,"Q42028"),"")</f>
        <v/>
      </c>
      <c r="M4" t="str">
        <f>IF(A4="Backlog",COUNTIF($A$2:$A4,"Backlog"),"")</f>
        <v/>
      </c>
    </row>
    <row r="5" spans="1:13">
      <c r="A5" t="str">
        <f>IF(AND('Q12028'!B6&lt;&gt;"",'Q12028'!E6&lt;&gt;""),'Q12028'!E6,"")</f>
        <v/>
      </c>
      <c r="B5" t="str">
        <f>IF(AND('Q12028'!B6&lt;&gt;"",'Q12028'!E6&lt;&gt;""),'Q12028'!B6,"")</f>
        <v/>
      </c>
      <c r="C5" t="str">
        <f>IF(AND('Q12028'!B6&lt;&gt;"",'Q12028'!E6&lt;&gt;""),'Q12028'!C6,"")</f>
        <v/>
      </c>
      <c r="D5" t="str">
        <f>IF(AND('Q12028'!B6&lt;&gt;"",'Q12028'!E6&lt;&gt;""),'Q12028'!D6,"")</f>
        <v/>
      </c>
      <c r="E5" t="str">
        <f>IF(AND('Q12028'!B6&lt;&gt;"",'Q12028'!E6&lt;&gt;""),'Q12028'!H6,"")</f>
        <v/>
      </c>
      <c r="F5" t="str">
        <f>IF(AND('Q12028'!B6&lt;&gt;"",'Q12028'!E6&lt;&gt;""),'Q12028'!F6,"")</f>
        <v/>
      </c>
      <c r="G5" t="str">
        <f>IF(AND('Q12028'!B6&lt;&gt;"",'Q12028'!E6&lt;&gt;""),'Q12028'!G6,"")</f>
        <v/>
      </c>
      <c r="H5" t="str">
        <f>IF(AND('Q12028'!B6&lt;&gt;"",'Q12028'!E6&lt;&gt;""),"Q12028","")</f>
        <v/>
      </c>
      <c r="I5" t="str">
        <f>IF(A5="Q12028",COUNTIF($A$2:$A5,"Q12028"),"")</f>
        <v/>
      </c>
      <c r="J5" t="str">
        <f>IF(A5="Q22028",COUNTIF($A$2:$A5,"Q22028"),"")</f>
        <v/>
      </c>
      <c r="K5" t="str">
        <f>IF(A5="Q32028",COUNTIF($A$2:$A5,"Q32028"),"")</f>
        <v/>
      </c>
      <c r="L5" t="str">
        <f>IF(A5="Q42028",COUNTIF($A$2:$A5,"Q42028"),"")</f>
        <v/>
      </c>
      <c r="M5" t="str">
        <f>IF(A5="Backlog",COUNTIF($A$2:$A5,"Backlog"),"")</f>
        <v/>
      </c>
    </row>
    <row r="6" spans="1:13">
      <c r="A6" t="str">
        <f>IF(AND('Q12028'!B7&lt;&gt;"",'Q12028'!E7&lt;&gt;""),'Q12028'!E7,"")</f>
        <v/>
      </c>
      <c r="B6" t="str">
        <f>IF(AND('Q12028'!B7&lt;&gt;"",'Q12028'!E7&lt;&gt;""),'Q12028'!B7,"")</f>
        <v/>
      </c>
      <c r="C6" t="str">
        <f>IF(AND('Q12028'!B7&lt;&gt;"",'Q12028'!E7&lt;&gt;""),'Q12028'!C7,"")</f>
        <v/>
      </c>
      <c r="D6" t="str">
        <f>IF(AND('Q12028'!B7&lt;&gt;"",'Q12028'!E7&lt;&gt;""),'Q12028'!D7,"")</f>
        <v/>
      </c>
      <c r="E6" t="str">
        <f>IF(AND('Q12028'!B7&lt;&gt;"",'Q12028'!E7&lt;&gt;""),'Q12028'!H7,"")</f>
        <v/>
      </c>
      <c r="F6" t="str">
        <f>IF(AND('Q12028'!B7&lt;&gt;"",'Q12028'!E7&lt;&gt;""),'Q12028'!F7,"")</f>
        <v/>
      </c>
      <c r="G6" t="str">
        <f>IF(AND('Q12028'!B7&lt;&gt;"",'Q12028'!E7&lt;&gt;""),'Q12028'!G7,"")</f>
        <v/>
      </c>
      <c r="H6" t="str">
        <f>IF(AND('Q12028'!B7&lt;&gt;"",'Q12028'!E7&lt;&gt;""),"Q12028","")</f>
        <v/>
      </c>
      <c r="I6" t="str">
        <f>IF(A6="Q12028",COUNTIF($A$2:$A6,"Q12028"),"")</f>
        <v/>
      </c>
      <c r="J6" t="str">
        <f>IF(A6="Q22028",COUNTIF($A$2:$A6,"Q22028"),"")</f>
        <v/>
      </c>
      <c r="K6" t="str">
        <f>IF(A6="Q32028",COUNTIF($A$2:$A6,"Q32028"),"")</f>
        <v/>
      </c>
      <c r="L6" t="str">
        <f>IF(A6="Q42028",COUNTIF($A$2:$A6,"Q42028"),"")</f>
        <v/>
      </c>
      <c r="M6" t="str">
        <f>IF(A6="Backlog",COUNTIF($A$2:$A6,"Backlog"),"")</f>
        <v/>
      </c>
    </row>
    <row r="7" spans="1:13">
      <c r="A7" t="str">
        <f>IF(AND('Q12028'!B8&lt;&gt;"",'Q12028'!E8&lt;&gt;""),'Q12028'!E8,"")</f>
        <v/>
      </c>
      <c r="B7" t="str">
        <f>IF(AND('Q12028'!B8&lt;&gt;"",'Q12028'!E8&lt;&gt;""),'Q12028'!B8,"")</f>
        <v/>
      </c>
      <c r="C7" t="str">
        <f>IF(AND('Q12028'!B8&lt;&gt;"",'Q12028'!E8&lt;&gt;""),'Q12028'!C8,"")</f>
        <v/>
      </c>
      <c r="D7" t="str">
        <f>IF(AND('Q12028'!B8&lt;&gt;"",'Q12028'!E8&lt;&gt;""),'Q12028'!D8,"")</f>
        <v/>
      </c>
      <c r="E7" t="str">
        <f>IF(AND('Q12028'!B8&lt;&gt;"",'Q12028'!E8&lt;&gt;""),'Q12028'!H8,"")</f>
        <v/>
      </c>
      <c r="F7" t="str">
        <f>IF(AND('Q12028'!B8&lt;&gt;"",'Q12028'!E8&lt;&gt;""),'Q12028'!F8,"")</f>
        <v/>
      </c>
      <c r="G7" t="str">
        <f>IF(AND('Q12028'!B8&lt;&gt;"",'Q12028'!E8&lt;&gt;""),'Q12028'!G8,"")</f>
        <v/>
      </c>
      <c r="H7" t="str">
        <f>IF(AND('Q12028'!B8&lt;&gt;"",'Q12028'!E8&lt;&gt;""),"Q12028","")</f>
        <v/>
      </c>
      <c r="I7" t="str">
        <f>IF(A7="Q12028",COUNTIF($A$2:$A7,"Q12028"),"")</f>
        <v/>
      </c>
      <c r="J7" t="str">
        <f>IF(A7="Q22028",COUNTIF($A$2:$A7,"Q22028"),"")</f>
        <v/>
      </c>
      <c r="K7" t="str">
        <f>IF(A7="Q32028",COUNTIF($A$2:$A7,"Q32028"),"")</f>
        <v/>
      </c>
      <c r="L7" t="str">
        <f>IF(A7="Q42028",COUNTIF($A$2:$A7,"Q42028"),"")</f>
        <v/>
      </c>
      <c r="M7" t="str">
        <f>IF(A7="Backlog",COUNTIF($A$2:$A7,"Backlog"),"")</f>
        <v/>
      </c>
    </row>
    <row r="8" spans="1:13">
      <c r="A8" t="str">
        <f>IF(AND('Q12028'!B9&lt;&gt;"",'Q12028'!E9&lt;&gt;""),'Q12028'!E9,"")</f>
        <v/>
      </c>
      <c r="B8" t="str">
        <f>IF(AND('Q12028'!B9&lt;&gt;"",'Q12028'!E9&lt;&gt;""),'Q12028'!B9,"")</f>
        <v/>
      </c>
      <c r="C8" t="str">
        <f>IF(AND('Q12028'!B9&lt;&gt;"",'Q12028'!E9&lt;&gt;""),'Q12028'!C9,"")</f>
        <v/>
      </c>
      <c r="D8" t="str">
        <f>IF(AND('Q12028'!B9&lt;&gt;"",'Q12028'!E9&lt;&gt;""),'Q12028'!D9,"")</f>
        <v/>
      </c>
      <c r="E8" t="str">
        <f>IF(AND('Q12028'!B9&lt;&gt;"",'Q12028'!E9&lt;&gt;""),'Q12028'!H9,"")</f>
        <v/>
      </c>
      <c r="F8" t="str">
        <f>IF(AND('Q12028'!B9&lt;&gt;"",'Q12028'!E9&lt;&gt;""),'Q12028'!F9,"")</f>
        <v/>
      </c>
      <c r="G8" t="str">
        <f>IF(AND('Q12028'!B9&lt;&gt;"",'Q12028'!E9&lt;&gt;""),'Q12028'!G9,"")</f>
        <v/>
      </c>
      <c r="H8" t="str">
        <f>IF(AND('Q12028'!B9&lt;&gt;"",'Q12028'!E9&lt;&gt;""),"Q12028","")</f>
        <v/>
      </c>
      <c r="I8" t="str">
        <f>IF(A8="Q12028",COUNTIF($A$2:$A8,"Q12028"),"")</f>
        <v/>
      </c>
      <c r="J8" t="str">
        <f>IF(A8="Q22028",COUNTIF($A$2:$A8,"Q22028"),"")</f>
        <v/>
      </c>
      <c r="K8" t="str">
        <f>IF(A8="Q32028",COUNTIF($A$2:$A8,"Q32028"),"")</f>
        <v/>
      </c>
      <c r="L8" t="str">
        <f>IF(A8="Q42028",COUNTIF($A$2:$A8,"Q42028"),"")</f>
        <v/>
      </c>
      <c r="M8" t="str">
        <f>IF(A8="Backlog",COUNTIF($A$2:$A8,"Backlog"),"")</f>
        <v/>
      </c>
    </row>
    <row r="9" spans="1:13">
      <c r="A9" t="str">
        <f>IF(AND('Q12028'!B10&lt;&gt;"",'Q12028'!E10&lt;&gt;""),'Q12028'!E10,"")</f>
        <v/>
      </c>
      <c r="B9" t="str">
        <f>IF(AND('Q12028'!B10&lt;&gt;"",'Q12028'!E10&lt;&gt;""),'Q12028'!B10,"")</f>
        <v/>
      </c>
      <c r="C9" t="str">
        <f>IF(AND('Q12028'!B10&lt;&gt;"",'Q12028'!E10&lt;&gt;""),'Q12028'!C10,"")</f>
        <v/>
      </c>
      <c r="D9" t="str">
        <f>IF(AND('Q12028'!B10&lt;&gt;"",'Q12028'!E10&lt;&gt;""),'Q12028'!D10,"")</f>
        <v/>
      </c>
      <c r="E9" t="str">
        <f>IF(AND('Q12028'!B10&lt;&gt;"",'Q12028'!E10&lt;&gt;""),'Q12028'!H10,"")</f>
        <v/>
      </c>
      <c r="F9" t="str">
        <f>IF(AND('Q12028'!B10&lt;&gt;"",'Q12028'!E10&lt;&gt;""),'Q12028'!F10,"")</f>
        <v/>
      </c>
      <c r="G9" t="str">
        <f>IF(AND('Q12028'!B10&lt;&gt;"",'Q12028'!E10&lt;&gt;""),'Q12028'!G10,"")</f>
        <v/>
      </c>
      <c r="H9" t="str">
        <f>IF(AND('Q12028'!B10&lt;&gt;"",'Q12028'!E10&lt;&gt;""),"Q12028","")</f>
        <v/>
      </c>
      <c r="I9" t="str">
        <f>IF(A9="Q12028",COUNTIF($A$2:$A9,"Q12028"),"")</f>
        <v/>
      </c>
      <c r="J9" t="str">
        <f>IF(A9="Q22028",COUNTIF($A$2:$A9,"Q22028"),"")</f>
        <v/>
      </c>
      <c r="K9" t="str">
        <f>IF(A9="Q32028",COUNTIF($A$2:$A9,"Q32028"),"")</f>
        <v/>
      </c>
      <c r="L9" t="str">
        <f>IF(A9="Q42028",COUNTIF($A$2:$A9,"Q42028"),"")</f>
        <v/>
      </c>
      <c r="M9" t="str">
        <f>IF(A9="Backlog",COUNTIF($A$2:$A9,"Backlog"),"")</f>
        <v/>
      </c>
    </row>
    <row r="10" spans="1:13">
      <c r="A10" t="str">
        <f>IF(AND('Q12028'!B11&lt;&gt;"",'Q12028'!E11&lt;&gt;""),'Q12028'!E11,"")</f>
        <v/>
      </c>
      <c r="B10" t="str">
        <f>IF(AND('Q12028'!B11&lt;&gt;"",'Q12028'!E11&lt;&gt;""),'Q12028'!B11,"")</f>
        <v/>
      </c>
      <c r="C10" t="str">
        <f>IF(AND('Q12028'!B11&lt;&gt;"",'Q12028'!E11&lt;&gt;""),'Q12028'!C11,"")</f>
        <v/>
      </c>
      <c r="D10" t="str">
        <f>IF(AND('Q12028'!B11&lt;&gt;"",'Q12028'!E11&lt;&gt;""),'Q12028'!D11,"")</f>
        <v/>
      </c>
      <c r="E10" t="str">
        <f>IF(AND('Q12028'!B11&lt;&gt;"",'Q12028'!E11&lt;&gt;""),'Q12028'!H11,"")</f>
        <v/>
      </c>
      <c r="F10" t="str">
        <f>IF(AND('Q12028'!B11&lt;&gt;"",'Q12028'!E11&lt;&gt;""),'Q12028'!F11,"")</f>
        <v/>
      </c>
      <c r="G10" t="str">
        <f>IF(AND('Q12028'!B11&lt;&gt;"",'Q12028'!E11&lt;&gt;""),'Q12028'!G11,"")</f>
        <v/>
      </c>
      <c r="H10" t="str">
        <f>IF(AND('Q12028'!B11&lt;&gt;"",'Q12028'!E11&lt;&gt;""),"Q12028","")</f>
        <v/>
      </c>
      <c r="I10" t="str">
        <f>IF(A10="Q12028",COUNTIF($A$2:$A10,"Q12028"),"")</f>
        <v/>
      </c>
      <c r="J10" t="str">
        <f>IF(A10="Q22028",COUNTIF($A$2:$A10,"Q22028"),"")</f>
        <v/>
      </c>
      <c r="K10" t="str">
        <f>IF(A10="Q32028",COUNTIF($A$2:$A10,"Q32028"),"")</f>
        <v/>
      </c>
      <c r="L10" t="str">
        <f>IF(A10="Q42028",COUNTIF($A$2:$A10,"Q42028"),"")</f>
        <v/>
      </c>
      <c r="M10" t="str">
        <f>IF(A10="Backlog",COUNTIF($A$2:$A10,"Backlog"),"")</f>
        <v/>
      </c>
    </row>
    <row r="11" spans="1:13">
      <c r="A11" t="str">
        <f>IF(AND('Q12028'!B12&lt;&gt;"",'Q12028'!E12&lt;&gt;""),'Q12028'!E12,"")</f>
        <v/>
      </c>
      <c r="B11" t="str">
        <f>IF(AND('Q12028'!B12&lt;&gt;"",'Q12028'!E12&lt;&gt;""),'Q12028'!B12,"")</f>
        <v/>
      </c>
      <c r="C11" t="str">
        <f>IF(AND('Q12028'!B12&lt;&gt;"",'Q12028'!E12&lt;&gt;""),'Q12028'!C12,"")</f>
        <v/>
      </c>
      <c r="D11" t="str">
        <f>IF(AND('Q12028'!B12&lt;&gt;"",'Q12028'!E12&lt;&gt;""),'Q12028'!D12,"")</f>
        <v/>
      </c>
      <c r="E11" t="str">
        <f>IF(AND('Q12028'!B12&lt;&gt;"",'Q12028'!E12&lt;&gt;""),'Q12028'!H12,"")</f>
        <v/>
      </c>
      <c r="F11" t="str">
        <f>IF(AND('Q12028'!B12&lt;&gt;"",'Q12028'!E12&lt;&gt;""),'Q12028'!F12,"")</f>
        <v/>
      </c>
      <c r="G11" t="str">
        <f>IF(AND('Q12028'!B12&lt;&gt;"",'Q12028'!E12&lt;&gt;""),'Q12028'!G12,"")</f>
        <v/>
      </c>
      <c r="H11" t="str">
        <f>IF(AND('Q12028'!B12&lt;&gt;"",'Q12028'!E12&lt;&gt;""),"Q12028","")</f>
        <v/>
      </c>
      <c r="I11" t="str">
        <f>IF(A11="Q12028",COUNTIF($A$2:$A11,"Q12028"),"")</f>
        <v/>
      </c>
      <c r="J11" t="str">
        <f>IF(A11="Q22028",COUNTIF($A$2:$A11,"Q22028"),"")</f>
        <v/>
      </c>
      <c r="K11" t="str">
        <f>IF(A11="Q32028",COUNTIF($A$2:$A11,"Q32028"),"")</f>
        <v/>
      </c>
      <c r="L11" t="str">
        <f>IF(A11="Q42028",COUNTIF($A$2:$A11,"Q42028"),"")</f>
        <v/>
      </c>
      <c r="M11" t="str">
        <f>IF(A11="Backlog",COUNTIF($A$2:$A11,"Backlog"),"")</f>
        <v/>
      </c>
    </row>
    <row r="12" spans="1:13">
      <c r="A12" t="str">
        <f>IF(AND('Q12028'!B13&lt;&gt;"",'Q12028'!E13&lt;&gt;""),'Q12028'!E13,"")</f>
        <v/>
      </c>
      <c r="B12" t="str">
        <f>IF(AND('Q12028'!B13&lt;&gt;"",'Q12028'!E13&lt;&gt;""),'Q12028'!B13,"")</f>
        <v/>
      </c>
      <c r="C12" t="str">
        <f>IF(AND('Q12028'!B13&lt;&gt;"",'Q12028'!E13&lt;&gt;""),'Q12028'!C13,"")</f>
        <v/>
      </c>
      <c r="D12" t="str">
        <f>IF(AND('Q12028'!B13&lt;&gt;"",'Q12028'!E13&lt;&gt;""),'Q12028'!D13,"")</f>
        <v/>
      </c>
      <c r="E12" t="str">
        <f>IF(AND('Q12028'!B13&lt;&gt;"",'Q12028'!E13&lt;&gt;""),'Q12028'!H13,"")</f>
        <v/>
      </c>
      <c r="F12" t="str">
        <f>IF(AND('Q12028'!B13&lt;&gt;"",'Q12028'!E13&lt;&gt;""),'Q12028'!F13,"")</f>
        <v/>
      </c>
      <c r="G12" t="str">
        <f>IF(AND('Q12028'!B13&lt;&gt;"",'Q12028'!E13&lt;&gt;""),'Q12028'!G13,"")</f>
        <v/>
      </c>
      <c r="H12" t="str">
        <f>IF(AND('Q12028'!B13&lt;&gt;"",'Q12028'!E13&lt;&gt;""),"Q12028","")</f>
        <v/>
      </c>
      <c r="I12" t="str">
        <f>IF(A12="Q12028",COUNTIF($A$2:$A12,"Q12028"),"")</f>
        <v/>
      </c>
      <c r="J12" t="str">
        <f>IF(A12="Q22028",COUNTIF($A$2:$A12,"Q22028"),"")</f>
        <v/>
      </c>
      <c r="K12" t="str">
        <f>IF(A12="Q32028",COUNTIF($A$2:$A12,"Q32028"),"")</f>
        <v/>
      </c>
      <c r="L12" t="str">
        <f>IF(A12="Q42028",COUNTIF($A$2:$A12,"Q42028"),"")</f>
        <v/>
      </c>
      <c r="M12" t="str">
        <f>IF(A12="Backlog",COUNTIF($A$2:$A12,"Backlog"),"")</f>
        <v/>
      </c>
    </row>
    <row r="13" spans="1:13">
      <c r="A13" t="str">
        <f>IF(AND('Q12028'!B14&lt;&gt;"",'Q12028'!E14&lt;&gt;""),'Q12028'!E14,"")</f>
        <v/>
      </c>
      <c r="B13" t="str">
        <f>IF(AND('Q12028'!B14&lt;&gt;"",'Q12028'!E14&lt;&gt;""),'Q12028'!B14,"")</f>
        <v/>
      </c>
      <c r="C13" t="str">
        <f>IF(AND('Q12028'!B14&lt;&gt;"",'Q12028'!E14&lt;&gt;""),'Q12028'!C14,"")</f>
        <v/>
      </c>
      <c r="D13" t="str">
        <f>IF(AND('Q12028'!B14&lt;&gt;"",'Q12028'!E14&lt;&gt;""),'Q12028'!D14,"")</f>
        <v/>
      </c>
      <c r="E13" t="str">
        <f>IF(AND('Q12028'!B14&lt;&gt;"",'Q12028'!E14&lt;&gt;""),'Q12028'!H14,"")</f>
        <v/>
      </c>
      <c r="F13" t="str">
        <f>IF(AND('Q12028'!B14&lt;&gt;"",'Q12028'!E14&lt;&gt;""),'Q12028'!F14,"")</f>
        <v/>
      </c>
      <c r="G13" t="str">
        <f>IF(AND('Q12028'!B14&lt;&gt;"",'Q12028'!E14&lt;&gt;""),'Q12028'!G14,"")</f>
        <v/>
      </c>
      <c r="H13" t="str">
        <f>IF(AND('Q12028'!B14&lt;&gt;"",'Q12028'!E14&lt;&gt;""),"Q12028","")</f>
        <v/>
      </c>
      <c r="I13" t="str">
        <f>IF(A13="Q12028",COUNTIF($A$2:$A13,"Q12028"),"")</f>
        <v/>
      </c>
      <c r="J13" t="str">
        <f>IF(A13="Q22028",COUNTIF($A$2:$A13,"Q22028"),"")</f>
        <v/>
      </c>
      <c r="K13" t="str">
        <f>IF(A13="Q32028",COUNTIF($A$2:$A13,"Q32028"),"")</f>
        <v/>
      </c>
      <c r="L13" t="str">
        <f>IF(A13="Q42028",COUNTIF($A$2:$A13,"Q42028"),"")</f>
        <v/>
      </c>
      <c r="M13" t="str">
        <f>IF(A13="Backlog",COUNTIF($A$2:$A13,"Backlog"),"")</f>
        <v/>
      </c>
    </row>
    <row r="14" spans="1:13">
      <c r="A14" t="str">
        <f>IF(AND('Q12028'!B15&lt;&gt;"",'Q12028'!E15&lt;&gt;""),'Q12028'!E15,"")</f>
        <v/>
      </c>
      <c r="B14" t="str">
        <f>IF(AND('Q12028'!B15&lt;&gt;"",'Q12028'!E15&lt;&gt;""),'Q12028'!B15,"")</f>
        <v/>
      </c>
      <c r="C14" t="str">
        <f>IF(AND('Q12028'!B15&lt;&gt;"",'Q12028'!E15&lt;&gt;""),'Q12028'!C15,"")</f>
        <v/>
      </c>
      <c r="D14" t="str">
        <f>IF(AND('Q12028'!B15&lt;&gt;"",'Q12028'!E15&lt;&gt;""),'Q12028'!D15,"")</f>
        <v/>
      </c>
      <c r="E14" t="str">
        <f>IF(AND('Q12028'!B15&lt;&gt;"",'Q12028'!E15&lt;&gt;""),'Q12028'!H15,"")</f>
        <v/>
      </c>
      <c r="F14" t="str">
        <f>IF(AND('Q12028'!B15&lt;&gt;"",'Q12028'!E15&lt;&gt;""),'Q12028'!F15,"")</f>
        <v/>
      </c>
      <c r="G14" t="str">
        <f>IF(AND('Q12028'!B15&lt;&gt;"",'Q12028'!E15&lt;&gt;""),'Q12028'!G15,"")</f>
        <v/>
      </c>
      <c r="H14" t="str">
        <f>IF(AND('Q12028'!B15&lt;&gt;"",'Q12028'!E15&lt;&gt;""),"Q12028","")</f>
        <v/>
      </c>
      <c r="I14" t="str">
        <f>IF(A14="Q12028",COUNTIF($A$2:$A14,"Q12028"),"")</f>
        <v/>
      </c>
      <c r="J14" t="str">
        <f>IF(A14="Q22028",COUNTIF($A$2:$A14,"Q22028"),"")</f>
        <v/>
      </c>
      <c r="K14" t="str">
        <f>IF(A14="Q32028",COUNTIF($A$2:$A14,"Q32028"),"")</f>
        <v/>
      </c>
      <c r="L14" t="str">
        <f>IF(A14="Q42028",COUNTIF($A$2:$A14,"Q42028"),"")</f>
        <v/>
      </c>
      <c r="M14" t="str">
        <f>IF(A14="Backlog",COUNTIF($A$2:$A14,"Backlog"),"")</f>
        <v/>
      </c>
    </row>
    <row r="15" spans="1:13">
      <c r="A15" t="str">
        <f>IF(AND('Q12028'!B16&lt;&gt;"",'Q12028'!E16&lt;&gt;""),'Q12028'!E16,"")</f>
        <v/>
      </c>
      <c r="B15" t="str">
        <f>IF(AND('Q12028'!B16&lt;&gt;"",'Q12028'!E16&lt;&gt;""),'Q12028'!B16,"")</f>
        <v/>
      </c>
      <c r="C15" t="str">
        <f>IF(AND('Q12028'!B16&lt;&gt;"",'Q12028'!E16&lt;&gt;""),'Q12028'!C16,"")</f>
        <v/>
      </c>
      <c r="D15" t="str">
        <f>IF(AND('Q12028'!B16&lt;&gt;"",'Q12028'!E16&lt;&gt;""),'Q12028'!D16,"")</f>
        <v/>
      </c>
      <c r="E15" t="str">
        <f>IF(AND('Q12028'!B16&lt;&gt;"",'Q12028'!E16&lt;&gt;""),'Q12028'!H16,"")</f>
        <v/>
      </c>
      <c r="F15" t="str">
        <f>IF(AND('Q12028'!B16&lt;&gt;"",'Q12028'!E16&lt;&gt;""),'Q12028'!F16,"")</f>
        <v/>
      </c>
      <c r="G15" t="str">
        <f>IF(AND('Q12028'!B16&lt;&gt;"",'Q12028'!E16&lt;&gt;""),'Q12028'!G16,"")</f>
        <v/>
      </c>
      <c r="H15" t="str">
        <f>IF(AND('Q12028'!B16&lt;&gt;"",'Q12028'!E16&lt;&gt;""),"Q12028","")</f>
        <v/>
      </c>
      <c r="I15" t="str">
        <f>IF(A15="Q12028",COUNTIF($A$2:$A15,"Q12028"),"")</f>
        <v/>
      </c>
      <c r="J15" t="str">
        <f>IF(A15="Q22028",COUNTIF($A$2:$A15,"Q22028"),"")</f>
        <v/>
      </c>
      <c r="K15" t="str">
        <f>IF(A15="Q32028",COUNTIF($A$2:$A15,"Q32028"),"")</f>
        <v/>
      </c>
      <c r="L15" t="str">
        <f>IF(A15="Q42028",COUNTIF($A$2:$A15,"Q42028"),"")</f>
        <v/>
      </c>
      <c r="M15" t="str">
        <f>IF(A15="Backlog",COUNTIF($A$2:$A15,"Backlog"),"")</f>
        <v/>
      </c>
    </row>
    <row r="16" spans="1:13">
      <c r="A16" t="str">
        <f>IF(AND('Q12028'!B17&lt;&gt;"",'Q12028'!E17&lt;&gt;""),'Q12028'!E17,"")</f>
        <v/>
      </c>
      <c r="B16" t="str">
        <f>IF(AND('Q12028'!B17&lt;&gt;"",'Q12028'!E17&lt;&gt;""),'Q12028'!B17,"")</f>
        <v/>
      </c>
      <c r="C16" t="str">
        <f>IF(AND('Q12028'!B17&lt;&gt;"",'Q12028'!E17&lt;&gt;""),'Q12028'!C17,"")</f>
        <v/>
      </c>
      <c r="D16" t="str">
        <f>IF(AND('Q12028'!B17&lt;&gt;"",'Q12028'!E17&lt;&gt;""),'Q12028'!D17,"")</f>
        <v/>
      </c>
      <c r="E16" t="str">
        <f>IF(AND('Q12028'!B17&lt;&gt;"",'Q12028'!E17&lt;&gt;""),'Q12028'!H17,"")</f>
        <v/>
      </c>
      <c r="F16" t="str">
        <f>IF(AND('Q12028'!B17&lt;&gt;"",'Q12028'!E17&lt;&gt;""),'Q12028'!F17,"")</f>
        <v/>
      </c>
      <c r="G16" t="str">
        <f>IF(AND('Q12028'!B17&lt;&gt;"",'Q12028'!E17&lt;&gt;""),'Q12028'!G17,"")</f>
        <v/>
      </c>
      <c r="H16" t="str">
        <f>IF(AND('Q12028'!B17&lt;&gt;"",'Q12028'!E17&lt;&gt;""),"Q12028","")</f>
        <v/>
      </c>
      <c r="I16" t="str">
        <f>IF(A16="Q12028",COUNTIF($A$2:$A16,"Q12028"),"")</f>
        <v/>
      </c>
      <c r="J16" t="str">
        <f>IF(A16="Q22028",COUNTIF($A$2:$A16,"Q22028"),"")</f>
        <v/>
      </c>
      <c r="K16" t="str">
        <f>IF(A16="Q32028",COUNTIF($A$2:$A16,"Q32028"),"")</f>
        <v/>
      </c>
      <c r="L16" t="str">
        <f>IF(A16="Q42028",COUNTIF($A$2:$A16,"Q42028"),"")</f>
        <v/>
      </c>
      <c r="M16" t="str">
        <f>IF(A16="Backlog",COUNTIF($A$2:$A16,"Backlog"),"")</f>
        <v/>
      </c>
    </row>
    <row r="17" spans="1:13">
      <c r="A17" t="str">
        <f>IF(AND('Q12028'!B18&lt;&gt;"",'Q12028'!E18&lt;&gt;""),'Q12028'!E18,"")</f>
        <v/>
      </c>
      <c r="B17" t="str">
        <f>IF(AND('Q12028'!B18&lt;&gt;"",'Q12028'!E18&lt;&gt;""),'Q12028'!B18,"")</f>
        <v/>
      </c>
      <c r="C17" t="str">
        <f>IF(AND('Q12028'!B18&lt;&gt;"",'Q12028'!E18&lt;&gt;""),'Q12028'!C18,"")</f>
        <v/>
      </c>
      <c r="D17" t="str">
        <f>IF(AND('Q12028'!B18&lt;&gt;"",'Q12028'!E18&lt;&gt;""),'Q12028'!D18,"")</f>
        <v/>
      </c>
      <c r="E17" t="str">
        <f>IF(AND('Q12028'!B18&lt;&gt;"",'Q12028'!E18&lt;&gt;""),'Q12028'!H18,"")</f>
        <v/>
      </c>
      <c r="F17" t="str">
        <f>IF(AND('Q12028'!B18&lt;&gt;"",'Q12028'!E18&lt;&gt;""),'Q12028'!F18,"")</f>
        <v/>
      </c>
      <c r="G17" t="str">
        <f>IF(AND('Q12028'!B18&lt;&gt;"",'Q12028'!E18&lt;&gt;""),'Q12028'!G18,"")</f>
        <v/>
      </c>
      <c r="H17" t="str">
        <f>IF(AND('Q12028'!B18&lt;&gt;"",'Q12028'!E18&lt;&gt;""),"Q12028","")</f>
        <v/>
      </c>
      <c r="I17" t="str">
        <f>IF(A17="Q12028",COUNTIF($A$2:$A17,"Q12028"),"")</f>
        <v/>
      </c>
      <c r="J17" t="str">
        <f>IF(A17="Q22028",COUNTIF($A$2:$A17,"Q22028"),"")</f>
        <v/>
      </c>
      <c r="K17" t="str">
        <f>IF(A17="Q32028",COUNTIF($A$2:$A17,"Q32028"),"")</f>
        <v/>
      </c>
      <c r="L17" t="str">
        <f>IF(A17="Q42028",COUNTIF($A$2:$A17,"Q42028"),"")</f>
        <v/>
      </c>
      <c r="M17" t="str">
        <f>IF(A17="Backlog",COUNTIF($A$2:$A17,"Backlog"),"")</f>
        <v/>
      </c>
    </row>
    <row r="18" spans="1:13">
      <c r="A18" t="str">
        <f>IF(AND('Q12028'!B19&lt;&gt;"",'Q12028'!E19&lt;&gt;""),'Q12028'!E19,"")</f>
        <v/>
      </c>
      <c r="B18" t="str">
        <f>IF(AND('Q12028'!B19&lt;&gt;"",'Q12028'!E19&lt;&gt;""),'Q12028'!B19,"")</f>
        <v/>
      </c>
      <c r="C18" t="str">
        <f>IF(AND('Q12028'!B19&lt;&gt;"",'Q12028'!E19&lt;&gt;""),'Q12028'!C19,"")</f>
        <v/>
      </c>
      <c r="D18" t="str">
        <f>IF(AND('Q12028'!B19&lt;&gt;"",'Q12028'!E19&lt;&gt;""),'Q12028'!D19,"")</f>
        <v/>
      </c>
      <c r="E18" t="str">
        <f>IF(AND('Q12028'!B19&lt;&gt;"",'Q12028'!E19&lt;&gt;""),'Q12028'!H19,"")</f>
        <v/>
      </c>
      <c r="F18" t="str">
        <f>IF(AND('Q12028'!B19&lt;&gt;"",'Q12028'!E19&lt;&gt;""),'Q12028'!F19,"")</f>
        <v/>
      </c>
      <c r="G18" t="str">
        <f>IF(AND('Q12028'!B19&lt;&gt;"",'Q12028'!E19&lt;&gt;""),'Q12028'!G19,"")</f>
        <v/>
      </c>
      <c r="H18" t="str">
        <f>IF(AND('Q12028'!B19&lt;&gt;"",'Q12028'!E19&lt;&gt;""),"Q12028","")</f>
        <v/>
      </c>
      <c r="I18" t="str">
        <f>IF(A18="Q12028",COUNTIF($A$2:$A18,"Q12028"),"")</f>
        <v/>
      </c>
      <c r="J18" t="str">
        <f>IF(A18="Q22028",COUNTIF($A$2:$A18,"Q22028"),"")</f>
        <v/>
      </c>
      <c r="K18" t="str">
        <f>IF(A18="Q32028",COUNTIF($A$2:$A18,"Q32028"),"")</f>
        <v/>
      </c>
      <c r="L18" t="str">
        <f>IF(A18="Q42028",COUNTIF($A$2:$A18,"Q42028"),"")</f>
        <v/>
      </c>
      <c r="M18" t="str">
        <f>IF(A18="Backlog",COUNTIF($A$2:$A18,"Backlog"),"")</f>
        <v/>
      </c>
    </row>
    <row r="19" spans="1:13">
      <c r="A19" t="str">
        <f>IF(AND('Q12028'!B20&lt;&gt;"",'Q12028'!E20&lt;&gt;""),'Q12028'!E20,"")</f>
        <v/>
      </c>
      <c r="B19" t="str">
        <f>IF(AND('Q12028'!B20&lt;&gt;"",'Q12028'!E20&lt;&gt;""),'Q12028'!B20,"")</f>
        <v/>
      </c>
      <c r="C19" t="str">
        <f>IF(AND('Q12028'!B20&lt;&gt;"",'Q12028'!E20&lt;&gt;""),'Q12028'!C20,"")</f>
        <v/>
      </c>
      <c r="D19" t="str">
        <f>IF(AND('Q12028'!B20&lt;&gt;"",'Q12028'!E20&lt;&gt;""),'Q12028'!D20,"")</f>
        <v/>
      </c>
      <c r="E19" t="str">
        <f>IF(AND('Q12028'!B20&lt;&gt;"",'Q12028'!E20&lt;&gt;""),'Q12028'!H20,"")</f>
        <v/>
      </c>
      <c r="F19" t="str">
        <f>IF(AND('Q12028'!B20&lt;&gt;"",'Q12028'!E20&lt;&gt;""),'Q12028'!F20,"")</f>
        <v/>
      </c>
      <c r="G19" t="str">
        <f>IF(AND('Q12028'!B20&lt;&gt;"",'Q12028'!E20&lt;&gt;""),'Q12028'!G20,"")</f>
        <v/>
      </c>
      <c r="H19" t="str">
        <f>IF(AND('Q12028'!B20&lt;&gt;"",'Q12028'!E20&lt;&gt;""),"Q12028","")</f>
        <v/>
      </c>
      <c r="I19" t="str">
        <f>IF(A19="Q12028",COUNTIF($A$2:$A19,"Q12028"),"")</f>
        <v/>
      </c>
      <c r="J19" t="str">
        <f>IF(A19="Q22028",COUNTIF($A$2:$A19,"Q22028"),"")</f>
        <v/>
      </c>
      <c r="K19" t="str">
        <f>IF(A19="Q32028",COUNTIF($A$2:$A19,"Q32028"),"")</f>
        <v/>
      </c>
      <c r="L19" t="str">
        <f>IF(A19="Q42028",COUNTIF($A$2:$A19,"Q42028"),"")</f>
        <v/>
      </c>
      <c r="M19" t="str">
        <f>IF(A19="Backlog",COUNTIF($A$2:$A19,"Backlog"),"")</f>
        <v/>
      </c>
    </row>
    <row r="20" spans="1:13">
      <c r="A20" t="str">
        <f>IF(AND('Q12028'!B21&lt;&gt;"",'Q12028'!E21&lt;&gt;""),'Q12028'!E21,"")</f>
        <v/>
      </c>
      <c r="B20" t="str">
        <f>IF(AND('Q12028'!B21&lt;&gt;"",'Q12028'!E21&lt;&gt;""),'Q12028'!B21,"")</f>
        <v/>
      </c>
      <c r="C20" t="str">
        <f>IF(AND('Q12028'!B21&lt;&gt;"",'Q12028'!E21&lt;&gt;""),'Q12028'!C21,"")</f>
        <v/>
      </c>
      <c r="D20" t="str">
        <f>IF(AND('Q12028'!B21&lt;&gt;"",'Q12028'!E21&lt;&gt;""),'Q12028'!D21,"")</f>
        <v/>
      </c>
      <c r="E20" t="str">
        <f>IF(AND('Q12028'!B21&lt;&gt;"",'Q12028'!E21&lt;&gt;""),'Q12028'!H21,"")</f>
        <v/>
      </c>
      <c r="F20" t="str">
        <f>IF(AND('Q12028'!B21&lt;&gt;"",'Q12028'!E21&lt;&gt;""),'Q12028'!F21,"")</f>
        <v/>
      </c>
      <c r="G20" t="str">
        <f>IF(AND('Q12028'!B21&lt;&gt;"",'Q12028'!E21&lt;&gt;""),'Q12028'!G21,"")</f>
        <v/>
      </c>
      <c r="H20" t="str">
        <f>IF(AND('Q12028'!B21&lt;&gt;"",'Q12028'!E21&lt;&gt;""),"Q12028","")</f>
        <v/>
      </c>
      <c r="I20" t="str">
        <f>IF(A20="Q12028",COUNTIF($A$2:$A20,"Q12028"),"")</f>
        <v/>
      </c>
      <c r="J20" t="str">
        <f>IF(A20="Q22028",COUNTIF($A$2:$A20,"Q22028"),"")</f>
        <v/>
      </c>
      <c r="K20" t="str">
        <f>IF(A20="Q32028",COUNTIF($A$2:$A20,"Q32028"),"")</f>
        <v/>
      </c>
      <c r="L20" t="str">
        <f>IF(A20="Q42028",COUNTIF($A$2:$A20,"Q42028"),"")</f>
        <v/>
      </c>
      <c r="M20" t="str">
        <f>IF(A20="Backlog",COUNTIF($A$2:$A20,"Backlog"),"")</f>
        <v/>
      </c>
    </row>
    <row r="21" spans="1:13">
      <c r="A21" t="str">
        <f>IF(AND('Q12028'!B22&lt;&gt;"",'Q12028'!E22&lt;&gt;""),'Q12028'!E22,"")</f>
        <v/>
      </c>
      <c r="B21" t="str">
        <f>IF(AND('Q12028'!B22&lt;&gt;"",'Q12028'!E22&lt;&gt;""),'Q12028'!B22,"")</f>
        <v/>
      </c>
      <c r="C21" t="str">
        <f>IF(AND('Q12028'!B22&lt;&gt;"",'Q12028'!E22&lt;&gt;""),'Q12028'!C22,"")</f>
        <v/>
      </c>
      <c r="D21" t="str">
        <f>IF(AND('Q12028'!B22&lt;&gt;"",'Q12028'!E22&lt;&gt;""),'Q12028'!D22,"")</f>
        <v/>
      </c>
      <c r="E21" t="str">
        <f>IF(AND('Q12028'!B22&lt;&gt;"",'Q12028'!E22&lt;&gt;""),'Q12028'!H22,"")</f>
        <v/>
      </c>
      <c r="F21" t="str">
        <f>IF(AND('Q12028'!B22&lt;&gt;"",'Q12028'!E22&lt;&gt;""),'Q12028'!F22,"")</f>
        <v/>
      </c>
      <c r="G21" t="str">
        <f>IF(AND('Q12028'!B22&lt;&gt;"",'Q12028'!E22&lt;&gt;""),'Q12028'!G22,"")</f>
        <v/>
      </c>
      <c r="H21" t="str">
        <f>IF(AND('Q12028'!B22&lt;&gt;"",'Q12028'!E22&lt;&gt;""),"Q12028","")</f>
        <v/>
      </c>
      <c r="I21" t="str">
        <f>IF(A21="Q12028",COUNTIF($A$2:$A21,"Q12028"),"")</f>
        <v/>
      </c>
      <c r="J21" t="str">
        <f>IF(A21="Q22028",COUNTIF($A$2:$A21,"Q22028"),"")</f>
        <v/>
      </c>
      <c r="K21" t="str">
        <f>IF(A21="Q32028",COUNTIF($A$2:$A21,"Q32028"),"")</f>
        <v/>
      </c>
      <c r="L21" t="str">
        <f>IF(A21="Q42028",COUNTIF($A$2:$A21,"Q42028"),"")</f>
        <v/>
      </c>
      <c r="M21" t="str">
        <f>IF(A21="Backlog",COUNTIF($A$2:$A21,"Backlog"),"")</f>
        <v/>
      </c>
    </row>
    <row r="22" spans="1:13">
      <c r="A22" t="str">
        <f>IF(AND('Q12028'!B23&lt;&gt;"",'Q12028'!E23&lt;&gt;""),'Q12028'!E23,"")</f>
        <v/>
      </c>
      <c r="B22" t="str">
        <f>IF(AND('Q12028'!B23&lt;&gt;"",'Q12028'!E23&lt;&gt;""),'Q12028'!B23,"")</f>
        <v/>
      </c>
      <c r="C22" t="str">
        <f>IF(AND('Q12028'!B23&lt;&gt;"",'Q12028'!E23&lt;&gt;""),'Q12028'!C23,"")</f>
        <v/>
      </c>
      <c r="D22" t="str">
        <f>IF(AND('Q12028'!B23&lt;&gt;"",'Q12028'!E23&lt;&gt;""),'Q12028'!D23,"")</f>
        <v/>
      </c>
      <c r="E22" t="str">
        <f>IF(AND('Q12028'!B23&lt;&gt;"",'Q12028'!E23&lt;&gt;""),'Q12028'!H23,"")</f>
        <v/>
      </c>
      <c r="F22" t="str">
        <f>IF(AND('Q12028'!B23&lt;&gt;"",'Q12028'!E23&lt;&gt;""),'Q12028'!F23,"")</f>
        <v/>
      </c>
      <c r="G22" t="str">
        <f>IF(AND('Q12028'!B23&lt;&gt;"",'Q12028'!E23&lt;&gt;""),'Q12028'!G23,"")</f>
        <v/>
      </c>
      <c r="H22" t="str">
        <f>IF(AND('Q12028'!B23&lt;&gt;"",'Q12028'!E23&lt;&gt;""),"Q12028","")</f>
        <v/>
      </c>
      <c r="I22" t="str">
        <f>IF(A22="Q12028",COUNTIF($A$2:$A22,"Q12028"),"")</f>
        <v/>
      </c>
      <c r="J22" t="str">
        <f>IF(A22="Q22028",COUNTIF($A$2:$A22,"Q22028"),"")</f>
        <v/>
      </c>
      <c r="K22" t="str">
        <f>IF(A22="Q32028",COUNTIF($A$2:$A22,"Q32028"),"")</f>
        <v/>
      </c>
      <c r="L22" t="str">
        <f>IF(A22="Q42028",COUNTIF($A$2:$A22,"Q42028"),"")</f>
        <v/>
      </c>
      <c r="M22" t="str">
        <f>IF(A22="Backlog",COUNTIF($A$2:$A22,"Backlog"),"")</f>
        <v/>
      </c>
    </row>
    <row r="23" spans="1:13">
      <c r="A23" t="str">
        <f>IF(AND('Q12028'!B24&lt;&gt;"",'Q12028'!E24&lt;&gt;""),'Q12028'!E24,"")</f>
        <v/>
      </c>
      <c r="B23" t="str">
        <f>IF(AND('Q12028'!B24&lt;&gt;"",'Q12028'!E24&lt;&gt;""),'Q12028'!B24,"")</f>
        <v/>
      </c>
      <c r="C23" t="str">
        <f>IF(AND('Q12028'!B24&lt;&gt;"",'Q12028'!E24&lt;&gt;""),'Q12028'!C24,"")</f>
        <v/>
      </c>
      <c r="D23" t="str">
        <f>IF(AND('Q12028'!B24&lt;&gt;"",'Q12028'!E24&lt;&gt;""),'Q12028'!D24,"")</f>
        <v/>
      </c>
      <c r="E23" t="str">
        <f>IF(AND('Q12028'!B24&lt;&gt;"",'Q12028'!E24&lt;&gt;""),'Q12028'!H24,"")</f>
        <v/>
      </c>
      <c r="F23" t="str">
        <f>IF(AND('Q12028'!B24&lt;&gt;"",'Q12028'!E24&lt;&gt;""),'Q12028'!F24,"")</f>
        <v/>
      </c>
      <c r="G23" t="str">
        <f>IF(AND('Q12028'!B24&lt;&gt;"",'Q12028'!E24&lt;&gt;""),'Q12028'!G24,"")</f>
        <v/>
      </c>
      <c r="H23" t="str">
        <f>IF(AND('Q12028'!B24&lt;&gt;"",'Q12028'!E24&lt;&gt;""),"Q12028","")</f>
        <v/>
      </c>
      <c r="I23" t="str">
        <f>IF(A23="Q12028",COUNTIF($A$2:$A23,"Q12028"),"")</f>
        <v/>
      </c>
      <c r="J23" t="str">
        <f>IF(A23="Q22028",COUNTIF($A$2:$A23,"Q22028"),"")</f>
        <v/>
      </c>
      <c r="K23" t="str">
        <f>IF(A23="Q32028",COUNTIF($A$2:$A23,"Q32028"),"")</f>
        <v/>
      </c>
      <c r="L23" t="str">
        <f>IF(A23="Q42028",COUNTIF($A$2:$A23,"Q42028"),"")</f>
        <v/>
      </c>
      <c r="M23" t="str">
        <f>IF(A23="Backlog",COUNTIF($A$2:$A23,"Backlog"),"")</f>
        <v/>
      </c>
    </row>
    <row r="24" spans="1:13">
      <c r="A24" t="str">
        <f>IF(AND('Q12028'!B25&lt;&gt;"",'Q12028'!E25&lt;&gt;""),'Q12028'!E25,"")</f>
        <v/>
      </c>
      <c r="B24" t="str">
        <f>IF(AND('Q12028'!B25&lt;&gt;"",'Q12028'!E25&lt;&gt;""),'Q12028'!B25,"")</f>
        <v/>
      </c>
      <c r="C24" t="str">
        <f>IF(AND('Q12028'!B25&lt;&gt;"",'Q12028'!E25&lt;&gt;""),'Q12028'!C25,"")</f>
        <v/>
      </c>
      <c r="D24" t="str">
        <f>IF(AND('Q12028'!B25&lt;&gt;"",'Q12028'!E25&lt;&gt;""),'Q12028'!D25,"")</f>
        <v/>
      </c>
      <c r="E24" t="str">
        <f>IF(AND('Q12028'!B25&lt;&gt;"",'Q12028'!E25&lt;&gt;""),'Q12028'!H25,"")</f>
        <v/>
      </c>
      <c r="F24" t="str">
        <f>IF(AND('Q12028'!B25&lt;&gt;"",'Q12028'!E25&lt;&gt;""),'Q12028'!F25,"")</f>
        <v/>
      </c>
      <c r="G24" t="str">
        <f>IF(AND('Q12028'!B25&lt;&gt;"",'Q12028'!E25&lt;&gt;""),'Q12028'!G25,"")</f>
        <v/>
      </c>
      <c r="H24" t="str">
        <f>IF(AND('Q12028'!B25&lt;&gt;"",'Q12028'!E25&lt;&gt;""),"Q12028","")</f>
        <v/>
      </c>
      <c r="I24" t="str">
        <f>IF(A24="Q12028",COUNTIF($A$2:$A24,"Q12028"),"")</f>
        <v/>
      </c>
      <c r="J24" t="str">
        <f>IF(A24="Q22028",COUNTIF($A$2:$A24,"Q22028"),"")</f>
        <v/>
      </c>
      <c r="K24" t="str">
        <f>IF(A24="Q32028",COUNTIF($A$2:$A24,"Q32028"),"")</f>
        <v/>
      </c>
      <c r="L24" t="str">
        <f>IF(A24="Q42028",COUNTIF($A$2:$A24,"Q42028"),"")</f>
        <v/>
      </c>
      <c r="M24" t="str">
        <f>IF(A24="Backlog",COUNTIF($A$2:$A24,"Backlog"),"")</f>
        <v/>
      </c>
    </row>
    <row r="25" spans="1:13">
      <c r="A25" t="str">
        <f>IF(AND('Q12028'!B26&lt;&gt;"",'Q12028'!E26&lt;&gt;""),'Q12028'!E26,"")</f>
        <v/>
      </c>
      <c r="B25" t="str">
        <f>IF(AND('Q12028'!B26&lt;&gt;"",'Q12028'!E26&lt;&gt;""),'Q12028'!B26,"")</f>
        <v/>
      </c>
      <c r="C25" t="str">
        <f>IF(AND('Q12028'!B26&lt;&gt;"",'Q12028'!E26&lt;&gt;""),'Q12028'!C26,"")</f>
        <v/>
      </c>
      <c r="D25" t="str">
        <f>IF(AND('Q12028'!B26&lt;&gt;"",'Q12028'!E26&lt;&gt;""),'Q12028'!D26,"")</f>
        <v/>
      </c>
      <c r="E25" t="str">
        <f>IF(AND('Q12028'!B26&lt;&gt;"",'Q12028'!E26&lt;&gt;""),'Q12028'!H26,"")</f>
        <v/>
      </c>
      <c r="F25" t="str">
        <f>IF(AND('Q12028'!B26&lt;&gt;"",'Q12028'!E26&lt;&gt;""),'Q12028'!F26,"")</f>
        <v/>
      </c>
      <c r="G25" t="str">
        <f>IF(AND('Q12028'!B26&lt;&gt;"",'Q12028'!E26&lt;&gt;""),'Q12028'!G26,"")</f>
        <v/>
      </c>
      <c r="H25" t="str">
        <f>IF(AND('Q12028'!B26&lt;&gt;"",'Q12028'!E26&lt;&gt;""),"Q12028","")</f>
        <v/>
      </c>
      <c r="I25" t="str">
        <f>IF(A25="Q12028",COUNTIF($A$2:$A25,"Q12028"),"")</f>
        <v/>
      </c>
      <c r="J25" t="str">
        <f>IF(A25="Q22028",COUNTIF($A$2:$A25,"Q22028"),"")</f>
        <v/>
      </c>
      <c r="K25" t="str">
        <f>IF(A25="Q32028",COUNTIF($A$2:$A25,"Q32028"),"")</f>
        <v/>
      </c>
      <c r="L25" t="str">
        <f>IF(A25="Q42028",COUNTIF($A$2:$A25,"Q42028"),"")</f>
        <v/>
      </c>
      <c r="M25" t="str">
        <f>IF(A25="Backlog",COUNTIF($A$2:$A25,"Backlog"),"")</f>
        <v/>
      </c>
    </row>
    <row r="26" spans="1:13">
      <c r="A26" t="str">
        <f>IF(AND('Q12028'!B27&lt;&gt;"",'Q12028'!E27&lt;&gt;""),'Q12028'!E27,"")</f>
        <v/>
      </c>
      <c r="B26" t="str">
        <f>IF(AND('Q12028'!B27&lt;&gt;"",'Q12028'!E27&lt;&gt;""),'Q12028'!B27,"")</f>
        <v/>
      </c>
      <c r="C26" t="str">
        <f>IF(AND('Q12028'!B27&lt;&gt;"",'Q12028'!E27&lt;&gt;""),'Q12028'!C27,"")</f>
        <v/>
      </c>
      <c r="D26" t="str">
        <f>IF(AND('Q12028'!B27&lt;&gt;"",'Q12028'!E27&lt;&gt;""),'Q12028'!D27,"")</f>
        <v/>
      </c>
      <c r="E26" t="str">
        <f>IF(AND('Q12028'!B27&lt;&gt;"",'Q12028'!E27&lt;&gt;""),'Q12028'!H27,"")</f>
        <v/>
      </c>
      <c r="F26" t="str">
        <f>IF(AND('Q12028'!B27&lt;&gt;"",'Q12028'!E27&lt;&gt;""),'Q12028'!F27,"")</f>
        <v/>
      </c>
      <c r="G26" t="str">
        <f>IF(AND('Q12028'!B27&lt;&gt;"",'Q12028'!E27&lt;&gt;""),'Q12028'!G27,"")</f>
        <v/>
      </c>
      <c r="H26" t="str">
        <f>IF(AND('Q12028'!B27&lt;&gt;"",'Q12028'!E27&lt;&gt;""),"Q12028","")</f>
        <v/>
      </c>
      <c r="I26" t="str">
        <f>IF(A26="Q12028",COUNTIF($A$2:$A26,"Q12028"),"")</f>
        <v/>
      </c>
      <c r="J26" t="str">
        <f>IF(A26="Q22028",COUNTIF($A$2:$A26,"Q22028"),"")</f>
        <v/>
      </c>
      <c r="K26" t="str">
        <f>IF(A26="Q32028",COUNTIF($A$2:$A26,"Q32028"),"")</f>
        <v/>
      </c>
      <c r="L26" t="str">
        <f>IF(A26="Q42028",COUNTIF($A$2:$A26,"Q42028"),"")</f>
        <v/>
      </c>
      <c r="M26" t="str">
        <f>IF(A26="Backlog",COUNTIF($A$2:$A26,"Backlog"),"")</f>
        <v/>
      </c>
    </row>
    <row r="27" spans="1:13">
      <c r="A27" t="str">
        <f>IF(AND('Q12028'!B28&lt;&gt;"",'Q12028'!E28&lt;&gt;""),'Q12028'!E28,"")</f>
        <v/>
      </c>
      <c r="B27" t="str">
        <f>IF(AND('Q12028'!B28&lt;&gt;"",'Q12028'!E28&lt;&gt;""),'Q12028'!B28,"")</f>
        <v/>
      </c>
      <c r="C27" t="str">
        <f>IF(AND('Q12028'!B28&lt;&gt;"",'Q12028'!E28&lt;&gt;""),'Q12028'!C28,"")</f>
        <v/>
      </c>
      <c r="D27" t="str">
        <f>IF(AND('Q12028'!B28&lt;&gt;"",'Q12028'!E28&lt;&gt;""),'Q12028'!D28,"")</f>
        <v/>
      </c>
      <c r="E27" t="str">
        <f>IF(AND('Q12028'!B28&lt;&gt;"",'Q12028'!E28&lt;&gt;""),'Q12028'!H28,"")</f>
        <v/>
      </c>
      <c r="F27" t="str">
        <f>IF(AND('Q12028'!B28&lt;&gt;"",'Q12028'!E28&lt;&gt;""),'Q12028'!F28,"")</f>
        <v/>
      </c>
      <c r="G27" t="str">
        <f>IF(AND('Q12028'!B28&lt;&gt;"",'Q12028'!E28&lt;&gt;""),'Q12028'!G28,"")</f>
        <v/>
      </c>
      <c r="H27" t="str">
        <f>IF(AND('Q12028'!B28&lt;&gt;"",'Q12028'!E28&lt;&gt;""),"Q12028","")</f>
        <v/>
      </c>
      <c r="I27" t="str">
        <f>IF(A27="Q12028",COUNTIF($A$2:$A27,"Q12028"),"")</f>
        <v/>
      </c>
      <c r="J27" t="str">
        <f>IF(A27="Q22028",COUNTIF($A$2:$A27,"Q22028"),"")</f>
        <v/>
      </c>
      <c r="K27" t="str">
        <f>IF(A27="Q32028",COUNTIF($A$2:$A27,"Q32028"),"")</f>
        <v/>
      </c>
      <c r="L27" t="str">
        <f>IF(A27="Q42028",COUNTIF($A$2:$A27,"Q42028"),"")</f>
        <v/>
      </c>
      <c r="M27" t="str">
        <f>IF(A27="Backlog",COUNTIF($A$2:$A27,"Backlog"),"")</f>
        <v/>
      </c>
    </row>
    <row r="28" spans="1:13">
      <c r="A28" t="str">
        <f>IF(AND('Q12028'!B29&lt;&gt;"",'Q12028'!E29&lt;&gt;""),'Q12028'!E29,"")</f>
        <v/>
      </c>
      <c r="B28" t="str">
        <f>IF(AND('Q12028'!B29&lt;&gt;"",'Q12028'!E29&lt;&gt;""),'Q12028'!B29,"")</f>
        <v/>
      </c>
      <c r="C28" t="str">
        <f>IF(AND('Q12028'!B29&lt;&gt;"",'Q12028'!E29&lt;&gt;""),'Q12028'!C29,"")</f>
        <v/>
      </c>
      <c r="D28" t="str">
        <f>IF(AND('Q12028'!B29&lt;&gt;"",'Q12028'!E29&lt;&gt;""),'Q12028'!D29,"")</f>
        <v/>
      </c>
      <c r="E28" t="str">
        <f>IF(AND('Q12028'!B29&lt;&gt;"",'Q12028'!E29&lt;&gt;""),'Q12028'!H29,"")</f>
        <v/>
      </c>
      <c r="F28" t="str">
        <f>IF(AND('Q12028'!B29&lt;&gt;"",'Q12028'!E29&lt;&gt;""),'Q12028'!F29,"")</f>
        <v/>
      </c>
      <c r="G28" t="str">
        <f>IF(AND('Q12028'!B29&lt;&gt;"",'Q12028'!E29&lt;&gt;""),'Q12028'!G29,"")</f>
        <v/>
      </c>
      <c r="H28" t="str">
        <f>IF(AND('Q12028'!B29&lt;&gt;"",'Q12028'!E29&lt;&gt;""),"Q12028","")</f>
        <v/>
      </c>
      <c r="I28" t="str">
        <f>IF(A28="Q12028",COUNTIF($A$2:$A28,"Q12028"),"")</f>
        <v/>
      </c>
      <c r="J28" t="str">
        <f>IF(A28="Q22028",COUNTIF($A$2:$A28,"Q22028"),"")</f>
        <v/>
      </c>
      <c r="K28" t="str">
        <f>IF(A28="Q32028",COUNTIF($A$2:$A28,"Q32028"),"")</f>
        <v/>
      </c>
      <c r="L28" t="str">
        <f>IF(A28="Q42028",COUNTIF($A$2:$A28,"Q42028"),"")</f>
        <v/>
      </c>
      <c r="M28" t="str">
        <f>IF(A28="Backlog",COUNTIF($A$2:$A28,"Backlog"),"")</f>
        <v/>
      </c>
    </row>
    <row r="29" spans="1:13">
      <c r="A29" t="str">
        <f>IF(AND('Q12028'!B30&lt;&gt;"",'Q12028'!E30&lt;&gt;""),'Q12028'!E30,"")</f>
        <v/>
      </c>
      <c r="B29" t="str">
        <f>IF(AND('Q12028'!B30&lt;&gt;"",'Q12028'!E30&lt;&gt;""),'Q12028'!B30,"")</f>
        <v/>
      </c>
      <c r="C29" t="str">
        <f>IF(AND('Q12028'!B30&lt;&gt;"",'Q12028'!E30&lt;&gt;""),'Q12028'!C30,"")</f>
        <v/>
      </c>
      <c r="D29" t="str">
        <f>IF(AND('Q12028'!B30&lt;&gt;"",'Q12028'!E30&lt;&gt;""),'Q12028'!D30,"")</f>
        <v/>
      </c>
      <c r="E29" t="str">
        <f>IF(AND('Q12028'!B30&lt;&gt;"",'Q12028'!E30&lt;&gt;""),'Q12028'!H30,"")</f>
        <v/>
      </c>
      <c r="F29" t="str">
        <f>IF(AND('Q12028'!B30&lt;&gt;"",'Q12028'!E30&lt;&gt;""),'Q12028'!F30,"")</f>
        <v/>
      </c>
      <c r="G29" t="str">
        <f>IF(AND('Q12028'!B30&lt;&gt;"",'Q12028'!E30&lt;&gt;""),'Q12028'!G30,"")</f>
        <v/>
      </c>
      <c r="H29" t="str">
        <f>IF(AND('Q12028'!B30&lt;&gt;"",'Q12028'!E30&lt;&gt;""),"Q12028","")</f>
        <v/>
      </c>
      <c r="I29" t="str">
        <f>IF(A29="Q12028",COUNTIF($A$2:$A29,"Q12028"),"")</f>
        <v/>
      </c>
      <c r="J29" t="str">
        <f>IF(A29="Q22028",COUNTIF($A$2:$A29,"Q22028"),"")</f>
        <v/>
      </c>
      <c r="K29" t="str">
        <f>IF(A29="Q32028",COUNTIF($A$2:$A29,"Q32028"),"")</f>
        <v/>
      </c>
      <c r="L29" t="str">
        <f>IF(A29="Q42028",COUNTIF($A$2:$A29,"Q42028"),"")</f>
        <v/>
      </c>
      <c r="M29" t="str">
        <f>IF(A29="Backlog",COUNTIF($A$2:$A29,"Backlog"),"")</f>
        <v/>
      </c>
    </row>
    <row r="30" spans="1:13">
      <c r="A30" t="str">
        <f>IF(AND('Q12028'!B31&lt;&gt;"",'Q12028'!E31&lt;&gt;""),'Q12028'!E31,"")</f>
        <v/>
      </c>
      <c r="B30" t="str">
        <f>IF(AND('Q12028'!B31&lt;&gt;"",'Q12028'!E31&lt;&gt;""),'Q12028'!B31,"")</f>
        <v/>
      </c>
      <c r="C30" t="str">
        <f>IF(AND('Q12028'!B31&lt;&gt;"",'Q12028'!E31&lt;&gt;""),'Q12028'!C31,"")</f>
        <v/>
      </c>
      <c r="D30" t="str">
        <f>IF(AND('Q12028'!B31&lt;&gt;"",'Q12028'!E31&lt;&gt;""),'Q12028'!D31,"")</f>
        <v/>
      </c>
      <c r="E30" t="str">
        <f>IF(AND('Q12028'!B31&lt;&gt;"",'Q12028'!E31&lt;&gt;""),'Q12028'!H31,"")</f>
        <v/>
      </c>
      <c r="F30" t="str">
        <f>IF(AND('Q12028'!B31&lt;&gt;"",'Q12028'!E31&lt;&gt;""),'Q12028'!F31,"")</f>
        <v/>
      </c>
      <c r="G30" t="str">
        <f>IF(AND('Q12028'!B31&lt;&gt;"",'Q12028'!E31&lt;&gt;""),'Q12028'!G31,"")</f>
        <v/>
      </c>
      <c r="H30" t="str">
        <f>IF(AND('Q12028'!B31&lt;&gt;"",'Q12028'!E31&lt;&gt;""),"Q12028","")</f>
        <v/>
      </c>
      <c r="I30" t="str">
        <f>IF(A30="Q12028",COUNTIF($A$2:$A30,"Q12028"),"")</f>
        <v/>
      </c>
      <c r="J30" t="str">
        <f>IF(A30="Q22028",COUNTIF($A$2:$A30,"Q22028"),"")</f>
        <v/>
      </c>
      <c r="K30" t="str">
        <f>IF(A30="Q32028",COUNTIF($A$2:$A30,"Q32028"),"")</f>
        <v/>
      </c>
      <c r="L30" t="str">
        <f>IF(A30="Q42028",COUNTIF($A$2:$A30,"Q42028"),"")</f>
        <v/>
      </c>
      <c r="M30" t="str">
        <f>IF(A30="Backlog",COUNTIF($A$2:$A30,"Backlog"),"")</f>
        <v/>
      </c>
    </row>
    <row r="31" spans="1:13">
      <c r="A31" t="str">
        <f>IF(AND('Q12028'!B32&lt;&gt;"",'Q12028'!E32&lt;&gt;""),'Q12028'!E32,"")</f>
        <v/>
      </c>
      <c r="B31" t="str">
        <f>IF(AND('Q12028'!B32&lt;&gt;"",'Q12028'!E32&lt;&gt;""),'Q12028'!B32,"")</f>
        <v/>
      </c>
      <c r="C31" t="str">
        <f>IF(AND('Q12028'!B32&lt;&gt;"",'Q12028'!E32&lt;&gt;""),'Q12028'!C32,"")</f>
        <v/>
      </c>
      <c r="D31" t="str">
        <f>IF(AND('Q12028'!B32&lt;&gt;"",'Q12028'!E32&lt;&gt;""),'Q12028'!D32,"")</f>
        <v/>
      </c>
      <c r="E31" t="str">
        <f>IF(AND('Q12028'!B32&lt;&gt;"",'Q12028'!E32&lt;&gt;""),'Q12028'!H32,"")</f>
        <v/>
      </c>
      <c r="F31" t="str">
        <f>IF(AND('Q12028'!B32&lt;&gt;"",'Q12028'!E32&lt;&gt;""),'Q12028'!F32,"")</f>
        <v/>
      </c>
      <c r="G31" t="str">
        <f>IF(AND('Q12028'!B32&lt;&gt;"",'Q12028'!E32&lt;&gt;""),'Q12028'!G32,"")</f>
        <v/>
      </c>
      <c r="H31" t="str">
        <f>IF(AND('Q12028'!B32&lt;&gt;"",'Q12028'!E32&lt;&gt;""),"Q12028","")</f>
        <v/>
      </c>
      <c r="I31" t="str">
        <f>IF(A31="Q12028",COUNTIF($A$2:$A31,"Q12028"),"")</f>
        <v/>
      </c>
      <c r="J31" t="str">
        <f>IF(A31="Q22028",COUNTIF($A$2:$A31,"Q22028"),"")</f>
        <v/>
      </c>
      <c r="K31" t="str">
        <f>IF(A31="Q32028",COUNTIF($A$2:$A31,"Q32028"),"")</f>
        <v/>
      </c>
      <c r="L31" t="str">
        <f>IF(A31="Q42028",COUNTIF($A$2:$A31,"Q42028"),"")</f>
        <v/>
      </c>
      <c r="M31" t="str">
        <f>IF(A31="Backlog",COUNTIF($A$2:$A31,"Backlog"),"")</f>
        <v/>
      </c>
    </row>
    <row r="32" spans="1:13">
      <c r="A32" t="str">
        <f>IF(AND('Q12028'!B33&lt;&gt;"",'Q12028'!E33&lt;&gt;""),'Q12028'!E33,"")</f>
        <v/>
      </c>
      <c r="B32" t="str">
        <f>IF(AND('Q12028'!B33&lt;&gt;"",'Q12028'!E33&lt;&gt;""),'Q12028'!B33,"")</f>
        <v/>
      </c>
      <c r="C32" t="str">
        <f>IF(AND('Q12028'!B33&lt;&gt;"",'Q12028'!E33&lt;&gt;""),'Q12028'!C33,"")</f>
        <v/>
      </c>
      <c r="D32" t="str">
        <f>IF(AND('Q12028'!B33&lt;&gt;"",'Q12028'!E33&lt;&gt;""),'Q12028'!D33,"")</f>
        <v/>
      </c>
      <c r="E32" t="str">
        <f>IF(AND('Q12028'!B33&lt;&gt;"",'Q12028'!E33&lt;&gt;""),'Q12028'!H33,"")</f>
        <v/>
      </c>
      <c r="F32" t="str">
        <f>IF(AND('Q12028'!B33&lt;&gt;"",'Q12028'!E33&lt;&gt;""),'Q12028'!F33,"")</f>
        <v/>
      </c>
      <c r="G32" t="str">
        <f>IF(AND('Q12028'!B33&lt;&gt;"",'Q12028'!E33&lt;&gt;""),'Q12028'!G33,"")</f>
        <v/>
      </c>
      <c r="H32" t="str">
        <f>IF(AND('Q12028'!B33&lt;&gt;"",'Q12028'!E33&lt;&gt;""),"Q12028","")</f>
        <v/>
      </c>
      <c r="I32" t="str">
        <f>IF(A32="Q12028",COUNTIF($A$2:$A32,"Q12028"),"")</f>
        <v/>
      </c>
      <c r="J32" t="str">
        <f>IF(A32="Q22028",COUNTIF($A$2:$A32,"Q22028"),"")</f>
        <v/>
      </c>
      <c r="K32" t="str">
        <f>IF(A32="Q32028",COUNTIF($A$2:$A32,"Q32028"),"")</f>
        <v/>
      </c>
      <c r="L32" t="str">
        <f>IF(A32="Q42028",COUNTIF($A$2:$A32,"Q42028"),"")</f>
        <v/>
      </c>
      <c r="M32" t="str">
        <f>IF(A32="Backlog",COUNTIF($A$2:$A32,"Backlog"),"")</f>
        <v/>
      </c>
    </row>
    <row r="33" spans="1:13">
      <c r="A33" t="str">
        <f>IF(AND('Q12028'!B34&lt;&gt;"",'Q12028'!E34&lt;&gt;""),'Q12028'!E34,"")</f>
        <v/>
      </c>
      <c r="B33" t="str">
        <f>IF(AND('Q12028'!B34&lt;&gt;"",'Q12028'!E34&lt;&gt;""),'Q12028'!B34,"")</f>
        <v/>
      </c>
      <c r="C33" t="str">
        <f>IF(AND('Q12028'!B34&lt;&gt;"",'Q12028'!E34&lt;&gt;""),'Q12028'!C34,"")</f>
        <v/>
      </c>
      <c r="D33" t="str">
        <f>IF(AND('Q12028'!B34&lt;&gt;"",'Q12028'!E34&lt;&gt;""),'Q12028'!D34,"")</f>
        <v/>
      </c>
      <c r="E33" t="str">
        <f>IF(AND('Q12028'!B34&lt;&gt;"",'Q12028'!E34&lt;&gt;""),'Q12028'!H34,"")</f>
        <v/>
      </c>
      <c r="F33" t="str">
        <f>IF(AND('Q12028'!B34&lt;&gt;"",'Q12028'!E34&lt;&gt;""),'Q12028'!F34,"")</f>
        <v/>
      </c>
      <c r="G33" t="str">
        <f>IF(AND('Q12028'!B34&lt;&gt;"",'Q12028'!E34&lt;&gt;""),'Q12028'!G34,"")</f>
        <v/>
      </c>
      <c r="H33" t="str">
        <f>IF(AND('Q12028'!B34&lt;&gt;"",'Q12028'!E34&lt;&gt;""),"Q12028","")</f>
        <v/>
      </c>
      <c r="I33" t="str">
        <f>IF(A33="Q12028",COUNTIF($A$2:$A33,"Q12028"),"")</f>
        <v/>
      </c>
      <c r="J33" t="str">
        <f>IF(A33="Q22028",COUNTIF($A$2:$A33,"Q22028"),"")</f>
        <v/>
      </c>
      <c r="K33" t="str">
        <f>IF(A33="Q32028",COUNTIF($A$2:$A33,"Q32028"),"")</f>
        <v/>
      </c>
      <c r="L33" t="str">
        <f>IF(A33="Q42028",COUNTIF($A$2:$A33,"Q42028"),"")</f>
        <v/>
      </c>
      <c r="M33" t="str">
        <f>IF(A33="Backlog",COUNTIF($A$2:$A33,"Backlog"),"")</f>
        <v/>
      </c>
    </row>
    <row r="34" spans="1:13">
      <c r="A34" t="str">
        <f>IF(AND('Q12028'!B35&lt;&gt;"",'Q12028'!E35&lt;&gt;""),'Q12028'!E35,"")</f>
        <v/>
      </c>
      <c r="B34" t="str">
        <f>IF(AND('Q12028'!B35&lt;&gt;"",'Q12028'!E35&lt;&gt;""),'Q12028'!B35,"")</f>
        <v/>
      </c>
      <c r="C34" t="str">
        <f>IF(AND('Q12028'!B35&lt;&gt;"",'Q12028'!E35&lt;&gt;""),'Q12028'!C35,"")</f>
        <v/>
      </c>
      <c r="D34" t="str">
        <f>IF(AND('Q12028'!B35&lt;&gt;"",'Q12028'!E35&lt;&gt;""),'Q12028'!D35,"")</f>
        <v/>
      </c>
      <c r="E34" t="str">
        <f>IF(AND('Q12028'!B35&lt;&gt;"",'Q12028'!E35&lt;&gt;""),'Q12028'!H35,"")</f>
        <v/>
      </c>
      <c r="F34" t="str">
        <f>IF(AND('Q12028'!B35&lt;&gt;"",'Q12028'!E35&lt;&gt;""),'Q12028'!F35,"")</f>
        <v/>
      </c>
      <c r="G34" t="str">
        <f>IF(AND('Q12028'!B35&lt;&gt;"",'Q12028'!E35&lt;&gt;""),'Q12028'!G35,"")</f>
        <v/>
      </c>
      <c r="H34" t="str">
        <f>IF(AND('Q12028'!B35&lt;&gt;"",'Q12028'!E35&lt;&gt;""),"Q12028","")</f>
        <v/>
      </c>
      <c r="I34" t="str">
        <f>IF(A34="Q12028",COUNTIF($A$2:$A34,"Q12028"),"")</f>
        <v/>
      </c>
      <c r="J34" t="str">
        <f>IF(A34="Q22028",COUNTIF($A$2:$A34,"Q22028"),"")</f>
        <v/>
      </c>
      <c r="K34" t="str">
        <f>IF(A34="Q32028",COUNTIF($A$2:$A34,"Q32028"),"")</f>
        <v/>
      </c>
      <c r="L34" t="str">
        <f>IF(A34="Q42028",COUNTIF($A$2:$A34,"Q42028"),"")</f>
        <v/>
      </c>
      <c r="M34" t="str">
        <f>IF(A34="Backlog",COUNTIF($A$2:$A34,"Backlog"),"")</f>
        <v/>
      </c>
    </row>
    <row r="35" spans="1:13">
      <c r="A35" t="str">
        <f>IF(AND('Q12028'!B36&lt;&gt;"",'Q12028'!E36&lt;&gt;""),'Q12028'!E36,"")</f>
        <v/>
      </c>
      <c r="B35" t="str">
        <f>IF(AND('Q12028'!B36&lt;&gt;"",'Q12028'!E36&lt;&gt;""),'Q12028'!B36,"")</f>
        <v/>
      </c>
      <c r="C35" t="str">
        <f>IF(AND('Q12028'!B36&lt;&gt;"",'Q12028'!E36&lt;&gt;""),'Q12028'!C36,"")</f>
        <v/>
      </c>
      <c r="D35" t="str">
        <f>IF(AND('Q12028'!B36&lt;&gt;"",'Q12028'!E36&lt;&gt;""),'Q12028'!D36,"")</f>
        <v/>
      </c>
      <c r="E35" t="str">
        <f>IF(AND('Q12028'!B36&lt;&gt;"",'Q12028'!E36&lt;&gt;""),'Q12028'!H36,"")</f>
        <v/>
      </c>
      <c r="F35" t="str">
        <f>IF(AND('Q12028'!B36&lt;&gt;"",'Q12028'!E36&lt;&gt;""),'Q12028'!F36,"")</f>
        <v/>
      </c>
      <c r="G35" t="str">
        <f>IF(AND('Q12028'!B36&lt;&gt;"",'Q12028'!E36&lt;&gt;""),'Q12028'!G36,"")</f>
        <v/>
      </c>
      <c r="H35" t="str">
        <f>IF(AND('Q12028'!B36&lt;&gt;"",'Q12028'!E36&lt;&gt;""),"Q12028","")</f>
        <v/>
      </c>
      <c r="I35" t="str">
        <f>IF(A35="Q12028",COUNTIF($A$2:$A35,"Q12028"),"")</f>
        <v/>
      </c>
      <c r="J35" t="str">
        <f>IF(A35="Q22028",COUNTIF($A$2:$A35,"Q22028"),"")</f>
        <v/>
      </c>
      <c r="K35" t="str">
        <f>IF(A35="Q32028",COUNTIF($A$2:$A35,"Q32028"),"")</f>
        <v/>
      </c>
      <c r="L35" t="str">
        <f>IF(A35="Q42028",COUNTIF($A$2:$A35,"Q42028"),"")</f>
        <v/>
      </c>
      <c r="M35" t="str">
        <f>IF(A35="Backlog",COUNTIF($A$2:$A35,"Backlog"),"")</f>
        <v/>
      </c>
    </row>
    <row r="36" spans="1:13">
      <c r="A36" t="str">
        <f>IF(AND('Q12028'!B37&lt;&gt;"",'Q12028'!E37&lt;&gt;""),'Q12028'!E37,"")</f>
        <v/>
      </c>
      <c r="B36" t="str">
        <f>IF(AND('Q12028'!B37&lt;&gt;"",'Q12028'!E37&lt;&gt;""),'Q12028'!B37,"")</f>
        <v/>
      </c>
      <c r="C36" t="str">
        <f>IF(AND('Q12028'!B37&lt;&gt;"",'Q12028'!E37&lt;&gt;""),'Q12028'!C37,"")</f>
        <v/>
      </c>
      <c r="D36" t="str">
        <f>IF(AND('Q12028'!B37&lt;&gt;"",'Q12028'!E37&lt;&gt;""),'Q12028'!D37,"")</f>
        <v/>
      </c>
      <c r="E36" t="str">
        <f>IF(AND('Q12028'!B37&lt;&gt;"",'Q12028'!E37&lt;&gt;""),'Q12028'!H37,"")</f>
        <v/>
      </c>
      <c r="F36" t="str">
        <f>IF(AND('Q12028'!B37&lt;&gt;"",'Q12028'!E37&lt;&gt;""),'Q12028'!F37,"")</f>
        <v/>
      </c>
      <c r="G36" t="str">
        <f>IF(AND('Q12028'!B37&lt;&gt;"",'Q12028'!E37&lt;&gt;""),'Q12028'!G37,"")</f>
        <v/>
      </c>
      <c r="H36" t="str">
        <f>IF(AND('Q12028'!B37&lt;&gt;"",'Q12028'!E37&lt;&gt;""),"Q12028","")</f>
        <v/>
      </c>
      <c r="I36" t="str">
        <f>IF(A36="Q12028",COUNTIF($A$2:$A36,"Q12028"),"")</f>
        <v/>
      </c>
      <c r="J36" t="str">
        <f>IF(A36="Q22028",COUNTIF($A$2:$A36,"Q22028"),"")</f>
        <v/>
      </c>
      <c r="K36" t="str">
        <f>IF(A36="Q32028",COUNTIF($A$2:$A36,"Q32028"),"")</f>
        <v/>
      </c>
      <c r="L36" t="str">
        <f>IF(A36="Q42028",COUNTIF($A$2:$A36,"Q42028"),"")</f>
        <v/>
      </c>
      <c r="M36" t="str">
        <f>IF(A36="Backlog",COUNTIF($A$2:$A36,"Backlog"),"")</f>
        <v/>
      </c>
    </row>
    <row r="37" spans="1:13">
      <c r="A37" t="str">
        <f>IF(AND('Q12028'!B38&lt;&gt;"",'Q12028'!E38&lt;&gt;""),'Q12028'!E38,"")</f>
        <v/>
      </c>
      <c r="B37" t="str">
        <f>IF(AND('Q12028'!B38&lt;&gt;"",'Q12028'!E38&lt;&gt;""),'Q12028'!B38,"")</f>
        <v/>
      </c>
      <c r="C37" t="str">
        <f>IF(AND('Q12028'!B38&lt;&gt;"",'Q12028'!E38&lt;&gt;""),'Q12028'!C38,"")</f>
        <v/>
      </c>
      <c r="D37" t="str">
        <f>IF(AND('Q12028'!B38&lt;&gt;"",'Q12028'!E38&lt;&gt;""),'Q12028'!D38,"")</f>
        <v/>
      </c>
      <c r="E37" t="str">
        <f>IF(AND('Q12028'!B38&lt;&gt;"",'Q12028'!E38&lt;&gt;""),'Q12028'!H38,"")</f>
        <v/>
      </c>
      <c r="F37" t="str">
        <f>IF(AND('Q12028'!B38&lt;&gt;"",'Q12028'!E38&lt;&gt;""),'Q12028'!F38,"")</f>
        <v/>
      </c>
      <c r="G37" t="str">
        <f>IF(AND('Q12028'!B38&lt;&gt;"",'Q12028'!E38&lt;&gt;""),'Q12028'!G38,"")</f>
        <v/>
      </c>
      <c r="H37" t="str">
        <f>IF(AND('Q12028'!B38&lt;&gt;"",'Q12028'!E38&lt;&gt;""),"Q12028","")</f>
        <v/>
      </c>
      <c r="I37" t="str">
        <f>IF(A37="Q12028",COUNTIF($A$2:$A37,"Q12028"),"")</f>
        <v/>
      </c>
      <c r="J37" t="str">
        <f>IF(A37="Q22028",COUNTIF($A$2:$A37,"Q22028"),"")</f>
        <v/>
      </c>
      <c r="K37" t="str">
        <f>IF(A37="Q32028",COUNTIF($A$2:$A37,"Q32028"),"")</f>
        <v/>
      </c>
      <c r="L37" t="str">
        <f>IF(A37="Q42028",COUNTIF($A$2:$A37,"Q42028"),"")</f>
        <v/>
      </c>
      <c r="M37" t="str">
        <f>IF(A37="Backlog",COUNTIF($A$2:$A37,"Backlog"),"")</f>
        <v/>
      </c>
    </row>
    <row r="38" spans="1:13">
      <c r="A38" t="str">
        <f>IF(AND('Q12028'!B39&lt;&gt;"",'Q12028'!E39&lt;&gt;""),'Q12028'!E39,"")</f>
        <v/>
      </c>
      <c r="B38" t="str">
        <f>IF(AND('Q12028'!B39&lt;&gt;"",'Q12028'!E39&lt;&gt;""),'Q12028'!B39,"")</f>
        <v/>
      </c>
      <c r="C38" t="str">
        <f>IF(AND('Q12028'!B39&lt;&gt;"",'Q12028'!E39&lt;&gt;""),'Q12028'!C39,"")</f>
        <v/>
      </c>
      <c r="D38" t="str">
        <f>IF(AND('Q12028'!B39&lt;&gt;"",'Q12028'!E39&lt;&gt;""),'Q12028'!D39,"")</f>
        <v/>
      </c>
      <c r="E38" t="str">
        <f>IF(AND('Q12028'!B39&lt;&gt;"",'Q12028'!E39&lt;&gt;""),'Q12028'!H39,"")</f>
        <v/>
      </c>
      <c r="F38" t="str">
        <f>IF(AND('Q12028'!B39&lt;&gt;"",'Q12028'!E39&lt;&gt;""),'Q12028'!F39,"")</f>
        <v/>
      </c>
      <c r="G38" t="str">
        <f>IF(AND('Q12028'!B39&lt;&gt;"",'Q12028'!E39&lt;&gt;""),'Q12028'!G39,"")</f>
        <v/>
      </c>
      <c r="H38" t="str">
        <f>IF(AND('Q12028'!B39&lt;&gt;"",'Q12028'!E39&lt;&gt;""),"Q12028","")</f>
        <v/>
      </c>
      <c r="I38" t="str">
        <f>IF(A38="Q12028",COUNTIF($A$2:$A38,"Q12028"),"")</f>
        <v/>
      </c>
      <c r="J38" t="str">
        <f>IF(A38="Q22028",COUNTIF($A$2:$A38,"Q22028"),"")</f>
        <v/>
      </c>
      <c r="K38" t="str">
        <f>IF(A38="Q32028",COUNTIF($A$2:$A38,"Q32028"),"")</f>
        <v/>
      </c>
      <c r="L38" t="str">
        <f>IF(A38="Q42028",COUNTIF($A$2:$A38,"Q42028"),"")</f>
        <v/>
      </c>
      <c r="M38" t="str">
        <f>IF(A38="Backlog",COUNTIF($A$2:$A38,"Backlog"),"")</f>
        <v/>
      </c>
    </row>
    <row r="39" spans="1:13">
      <c r="A39" t="str">
        <f>IF(AND('Q12028'!B40&lt;&gt;"",'Q12028'!E40&lt;&gt;""),'Q12028'!E40,"")</f>
        <v/>
      </c>
      <c r="B39" t="str">
        <f>IF(AND('Q12028'!B40&lt;&gt;"",'Q12028'!E40&lt;&gt;""),'Q12028'!B40,"")</f>
        <v/>
      </c>
      <c r="C39" t="str">
        <f>IF(AND('Q12028'!B40&lt;&gt;"",'Q12028'!E40&lt;&gt;""),'Q12028'!C40,"")</f>
        <v/>
      </c>
      <c r="D39" t="str">
        <f>IF(AND('Q12028'!B40&lt;&gt;"",'Q12028'!E40&lt;&gt;""),'Q12028'!D40,"")</f>
        <v/>
      </c>
      <c r="E39" t="str">
        <f>IF(AND('Q12028'!B40&lt;&gt;"",'Q12028'!E40&lt;&gt;""),'Q12028'!H40,"")</f>
        <v/>
      </c>
      <c r="F39" t="str">
        <f>IF(AND('Q12028'!B40&lt;&gt;"",'Q12028'!E40&lt;&gt;""),'Q12028'!F40,"")</f>
        <v/>
      </c>
      <c r="G39" t="str">
        <f>IF(AND('Q12028'!B40&lt;&gt;"",'Q12028'!E40&lt;&gt;""),'Q12028'!G40,"")</f>
        <v/>
      </c>
      <c r="H39" t="str">
        <f>IF(AND('Q12028'!B40&lt;&gt;"",'Q12028'!E40&lt;&gt;""),"Q12028","")</f>
        <v/>
      </c>
      <c r="I39" t="str">
        <f>IF(A39="Q12028",COUNTIF($A$2:$A39,"Q12028"),"")</f>
        <v/>
      </c>
      <c r="J39" t="str">
        <f>IF(A39="Q22028",COUNTIF($A$2:$A39,"Q22028"),"")</f>
        <v/>
      </c>
      <c r="K39" t="str">
        <f>IF(A39="Q32028",COUNTIF($A$2:$A39,"Q32028"),"")</f>
        <v/>
      </c>
      <c r="L39" t="str">
        <f>IF(A39="Q42028",COUNTIF($A$2:$A39,"Q42028"),"")</f>
        <v/>
      </c>
      <c r="M39" t="str">
        <f>IF(A39="Backlog",COUNTIF($A$2:$A39,"Backlog"),"")</f>
        <v/>
      </c>
    </row>
    <row r="40" spans="1:13">
      <c r="A40" t="str">
        <f>IF(AND('Q12028'!B41&lt;&gt;"",'Q12028'!E41&lt;&gt;""),'Q12028'!E41,"")</f>
        <v/>
      </c>
      <c r="B40" t="str">
        <f>IF(AND('Q12028'!B41&lt;&gt;"",'Q12028'!E41&lt;&gt;""),'Q12028'!B41,"")</f>
        <v/>
      </c>
      <c r="C40" t="str">
        <f>IF(AND('Q12028'!B41&lt;&gt;"",'Q12028'!E41&lt;&gt;""),'Q12028'!C41,"")</f>
        <v/>
      </c>
      <c r="D40" t="str">
        <f>IF(AND('Q12028'!B41&lt;&gt;"",'Q12028'!E41&lt;&gt;""),'Q12028'!D41,"")</f>
        <v/>
      </c>
      <c r="E40" t="str">
        <f>IF(AND('Q12028'!B41&lt;&gt;"",'Q12028'!E41&lt;&gt;""),'Q12028'!H41,"")</f>
        <v/>
      </c>
      <c r="F40" t="str">
        <f>IF(AND('Q12028'!B41&lt;&gt;"",'Q12028'!E41&lt;&gt;""),'Q12028'!F41,"")</f>
        <v/>
      </c>
      <c r="G40" t="str">
        <f>IF(AND('Q12028'!B41&lt;&gt;"",'Q12028'!E41&lt;&gt;""),'Q12028'!G41,"")</f>
        <v/>
      </c>
      <c r="H40" t="str">
        <f>IF(AND('Q12028'!B41&lt;&gt;"",'Q12028'!E41&lt;&gt;""),"Q12028","")</f>
        <v/>
      </c>
      <c r="I40" t="str">
        <f>IF(A40="Q12028",COUNTIF($A$2:$A40,"Q12028"),"")</f>
        <v/>
      </c>
      <c r="J40" t="str">
        <f>IF(A40="Q22028",COUNTIF($A$2:$A40,"Q22028"),"")</f>
        <v/>
      </c>
      <c r="K40" t="str">
        <f>IF(A40="Q32028",COUNTIF($A$2:$A40,"Q32028"),"")</f>
        <v/>
      </c>
      <c r="L40" t="str">
        <f>IF(A40="Q42028",COUNTIF($A$2:$A40,"Q42028"),"")</f>
        <v/>
      </c>
      <c r="M40" t="str">
        <f>IF(A40="Backlog",COUNTIF($A$2:$A40,"Backlog"),"")</f>
        <v/>
      </c>
    </row>
    <row r="41" spans="1:13">
      <c r="A41" t="str">
        <f>IF(AND('Q12028'!B42&lt;&gt;"",'Q12028'!E42&lt;&gt;""),'Q12028'!E42,"")</f>
        <v/>
      </c>
      <c r="B41" t="str">
        <f>IF(AND('Q12028'!B42&lt;&gt;"",'Q12028'!E42&lt;&gt;""),'Q12028'!B42,"")</f>
        <v/>
      </c>
      <c r="C41" t="str">
        <f>IF(AND('Q12028'!B42&lt;&gt;"",'Q12028'!E42&lt;&gt;""),'Q12028'!C42,"")</f>
        <v/>
      </c>
      <c r="D41" t="str">
        <f>IF(AND('Q12028'!B42&lt;&gt;"",'Q12028'!E42&lt;&gt;""),'Q12028'!D42,"")</f>
        <v/>
      </c>
      <c r="E41" t="str">
        <f>IF(AND('Q12028'!B42&lt;&gt;"",'Q12028'!E42&lt;&gt;""),'Q12028'!H42,"")</f>
        <v/>
      </c>
      <c r="F41" t="str">
        <f>IF(AND('Q12028'!B42&lt;&gt;"",'Q12028'!E42&lt;&gt;""),'Q12028'!F42,"")</f>
        <v/>
      </c>
      <c r="G41" t="str">
        <f>IF(AND('Q12028'!B42&lt;&gt;"",'Q12028'!E42&lt;&gt;""),'Q12028'!G42,"")</f>
        <v/>
      </c>
      <c r="H41" t="str">
        <f>IF(AND('Q12028'!B42&lt;&gt;"",'Q12028'!E42&lt;&gt;""),"Q12028","")</f>
        <v/>
      </c>
      <c r="I41" t="str">
        <f>IF(A41="Q12028",COUNTIF($A$2:$A41,"Q12028"),"")</f>
        <v/>
      </c>
      <c r="J41" t="str">
        <f>IF(A41="Q22028",COUNTIF($A$2:$A41,"Q22028"),"")</f>
        <v/>
      </c>
      <c r="K41" t="str">
        <f>IF(A41="Q32028",COUNTIF($A$2:$A41,"Q32028"),"")</f>
        <v/>
      </c>
      <c r="L41" t="str">
        <f>IF(A41="Q42028",COUNTIF($A$2:$A41,"Q42028"),"")</f>
        <v/>
      </c>
      <c r="M41" t="str">
        <f>IF(A41="Backlog",COUNTIF($A$2:$A41,"Backlog"),"")</f>
        <v/>
      </c>
    </row>
    <row r="42" spans="1:13">
      <c r="A42" t="str">
        <f>IF(AND('Q12028'!B43&lt;&gt;"",'Q12028'!E43&lt;&gt;""),'Q12028'!E43,"")</f>
        <v/>
      </c>
      <c r="B42" t="str">
        <f>IF(AND('Q12028'!B43&lt;&gt;"",'Q12028'!E43&lt;&gt;""),'Q12028'!B43,"")</f>
        <v/>
      </c>
      <c r="C42" t="str">
        <f>IF(AND('Q12028'!B43&lt;&gt;"",'Q12028'!E43&lt;&gt;""),'Q12028'!C43,"")</f>
        <v/>
      </c>
      <c r="D42" t="str">
        <f>IF(AND('Q12028'!B43&lt;&gt;"",'Q12028'!E43&lt;&gt;""),'Q12028'!D43,"")</f>
        <v/>
      </c>
      <c r="E42" t="str">
        <f>IF(AND('Q12028'!B43&lt;&gt;"",'Q12028'!E43&lt;&gt;""),'Q12028'!H43,"")</f>
        <v/>
      </c>
      <c r="F42" t="str">
        <f>IF(AND('Q12028'!B43&lt;&gt;"",'Q12028'!E43&lt;&gt;""),'Q12028'!F43,"")</f>
        <v/>
      </c>
      <c r="G42" t="str">
        <f>IF(AND('Q12028'!B43&lt;&gt;"",'Q12028'!E43&lt;&gt;""),'Q12028'!G43,"")</f>
        <v/>
      </c>
      <c r="H42" t="str">
        <f>IF(AND('Q12028'!B43&lt;&gt;"",'Q12028'!E43&lt;&gt;""),"Q12028","")</f>
        <v/>
      </c>
      <c r="I42" t="str">
        <f>IF(A42="Q12028",COUNTIF($A$2:$A42,"Q12028"),"")</f>
        <v/>
      </c>
      <c r="J42" t="str">
        <f>IF(A42="Q22028",COUNTIF($A$2:$A42,"Q22028"),"")</f>
        <v/>
      </c>
      <c r="K42" t="str">
        <f>IF(A42="Q32028",COUNTIF($A$2:$A42,"Q32028"),"")</f>
        <v/>
      </c>
      <c r="L42" t="str">
        <f>IF(A42="Q42028",COUNTIF($A$2:$A42,"Q42028"),"")</f>
        <v/>
      </c>
      <c r="M42" t="str">
        <f>IF(A42="Backlog",COUNTIF($A$2:$A42,"Backlog"),"")</f>
        <v/>
      </c>
    </row>
    <row r="43" spans="1:13">
      <c r="A43" t="str">
        <f>IF(AND('Q12028'!B44&lt;&gt;"",'Q12028'!E44&lt;&gt;""),'Q12028'!E44,"")</f>
        <v/>
      </c>
      <c r="B43" t="str">
        <f>IF(AND('Q12028'!B44&lt;&gt;"",'Q12028'!E44&lt;&gt;""),'Q12028'!B44,"")</f>
        <v/>
      </c>
      <c r="C43" t="str">
        <f>IF(AND('Q12028'!B44&lt;&gt;"",'Q12028'!E44&lt;&gt;""),'Q12028'!C44,"")</f>
        <v/>
      </c>
      <c r="D43" t="str">
        <f>IF(AND('Q12028'!B44&lt;&gt;"",'Q12028'!E44&lt;&gt;""),'Q12028'!D44,"")</f>
        <v/>
      </c>
      <c r="E43" t="str">
        <f>IF(AND('Q12028'!B44&lt;&gt;"",'Q12028'!E44&lt;&gt;""),'Q12028'!H44,"")</f>
        <v/>
      </c>
      <c r="F43" t="str">
        <f>IF(AND('Q12028'!B44&lt;&gt;"",'Q12028'!E44&lt;&gt;""),'Q12028'!F44,"")</f>
        <v/>
      </c>
      <c r="G43" t="str">
        <f>IF(AND('Q12028'!B44&lt;&gt;"",'Q12028'!E44&lt;&gt;""),'Q12028'!G44,"")</f>
        <v/>
      </c>
      <c r="H43" t="str">
        <f>IF(AND('Q12028'!B44&lt;&gt;"",'Q12028'!E44&lt;&gt;""),"Q12028","")</f>
        <v/>
      </c>
      <c r="I43" t="str">
        <f>IF(A43="Q12028",COUNTIF($A$2:$A43,"Q12028"),"")</f>
        <v/>
      </c>
      <c r="J43" t="str">
        <f>IF(A43="Q22028",COUNTIF($A$2:$A43,"Q22028"),"")</f>
        <v/>
      </c>
      <c r="K43" t="str">
        <f>IF(A43="Q32028",COUNTIF($A$2:$A43,"Q32028"),"")</f>
        <v/>
      </c>
      <c r="L43" t="str">
        <f>IF(A43="Q42028",COUNTIF($A$2:$A43,"Q42028"),"")</f>
        <v/>
      </c>
      <c r="M43" t="str">
        <f>IF(A43="Backlog",COUNTIF($A$2:$A43,"Backlog"),"")</f>
        <v/>
      </c>
    </row>
    <row r="44" spans="1:13">
      <c r="A44" t="str">
        <f>IF(AND('Q12028'!B45&lt;&gt;"",'Q12028'!E45&lt;&gt;""),'Q12028'!E45,"")</f>
        <v/>
      </c>
      <c r="B44" t="str">
        <f>IF(AND('Q12028'!B45&lt;&gt;"",'Q12028'!E45&lt;&gt;""),'Q12028'!B45,"")</f>
        <v/>
      </c>
      <c r="C44" t="str">
        <f>IF(AND('Q12028'!B45&lt;&gt;"",'Q12028'!E45&lt;&gt;""),'Q12028'!C45,"")</f>
        <v/>
      </c>
      <c r="D44" t="str">
        <f>IF(AND('Q12028'!B45&lt;&gt;"",'Q12028'!E45&lt;&gt;""),'Q12028'!D45,"")</f>
        <v/>
      </c>
      <c r="E44" t="str">
        <f>IF(AND('Q12028'!B45&lt;&gt;"",'Q12028'!E45&lt;&gt;""),'Q12028'!H45,"")</f>
        <v/>
      </c>
      <c r="F44" t="str">
        <f>IF(AND('Q12028'!B45&lt;&gt;"",'Q12028'!E45&lt;&gt;""),'Q12028'!F45,"")</f>
        <v/>
      </c>
      <c r="G44" t="str">
        <f>IF(AND('Q12028'!B45&lt;&gt;"",'Q12028'!E45&lt;&gt;""),'Q12028'!G45,"")</f>
        <v/>
      </c>
      <c r="H44" t="str">
        <f>IF(AND('Q12028'!B45&lt;&gt;"",'Q12028'!E45&lt;&gt;""),"Q12028","")</f>
        <v/>
      </c>
      <c r="I44" t="str">
        <f>IF(A44="Q12028",COUNTIF($A$2:$A44,"Q12028"),"")</f>
        <v/>
      </c>
      <c r="J44" t="str">
        <f>IF(A44="Q22028",COUNTIF($A$2:$A44,"Q22028"),"")</f>
        <v/>
      </c>
      <c r="K44" t="str">
        <f>IF(A44="Q32028",COUNTIF($A$2:$A44,"Q32028"),"")</f>
        <v/>
      </c>
      <c r="L44" t="str">
        <f>IF(A44="Q42028",COUNTIF($A$2:$A44,"Q42028"),"")</f>
        <v/>
      </c>
      <c r="M44" t="str">
        <f>IF(A44="Backlog",COUNTIF($A$2:$A44,"Backlog"),"")</f>
        <v/>
      </c>
    </row>
    <row r="45" spans="1:13">
      <c r="A45" t="str">
        <f>IF(AND('Q12028'!B46&lt;&gt;"",'Q12028'!E46&lt;&gt;""),'Q12028'!E46,"")</f>
        <v/>
      </c>
      <c r="B45" t="str">
        <f>IF(AND('Q12028'!B46&lt;&gt;"",'Q12028'!E46&lt;&gt;""),'Q12028'!B46,"")</f>
        <v/>
      </c>
      <c r="C45" t="str">
        <f>IF(AND('Q12028'!B46&lt;&gt;"",'Q12028'!E46&lt;&gt;""),'Q12028'!C46,"")</f>
        <v/>
      </c>
      <c r="D45" t="str">
        <f>IF(AND('Q12028'!B46&lt;&gt;"",'Q12028'!E46&lt;&gt;""),'Q12028'!D46,"")</f>
        <v/>
      </c>
      <c r="E45" t="str">
        <f>IF(AND('Q12028'!B46&lt;&gt;"",'Q12028'!E46&lt;&gt;""),'Q12028'!H46,"")</f>
        <v/>
      </c>
      <c r="F45" t="str">
        <f>IF(AND('Q12028'!B46&lt;&gt;"",'Q12028'!E46&lt;&gt;""),'Q12028'!F46,"")</f>
        <v/>
      </c>
      <c r="G45" t="str">
        <f>IF(AND('Q12028'!B46&lt;&gt;"",'Q12028'!E46&lt;&gt;""),'Q12028'!G46,"")</f>
        <v/>
      </c>
      <c r="H45" t="str">
        <f>IF(AND('Q12028'!B46&lt;&gt;"",'Q12028'!E46&lt;&gt;""),"Q12028","")</f>
        <v/>
      </c>
      <c r="I45" t="str">
        <f>IF(A45="Q12028",COUNTIF($A$2:$A45,"Q12028"),"")</f>
        <v/>
      </c>
      <c r="J45" t="str">
        <f>IF(A45="Q22028",COUNTIF($A$2:$A45,"Q22028"),"")</f>
        <v/>
      </c>
      <c r="K45" t="str">
        <f>IF(A45="Q32028",COUNTIF($A$2:$A45,"Q32028"),"")</f>
        <v/>
      </c>
      <c r="L45" t="str">
        <f>IF(A45="Q42028",COUNTIF($A$2:$A45,"Q42028"),"")</f>
        <v/>
      </c>
      <c r="M45" t="str">
        <f>IF(A45="Backlog",COUNTIF($A$2:$A45,"Backlog"),"")</f>
        <v/>
      </c>
    </row>
    <row r="46" spans="1:13">
      <c r="A46" t="str">
        <f>IF(AND('Q12028'!B47&lt;&gt;"",'Q12028'!E47&lt;&gt;""),'Q12028'!E47,"")</f>
        <v/>
      </c>
      <c r="B46" t="str">
        <f>IF(AND('Q12028'!B47&lt;&gt;"",'Q12028'!E47&lt;&gt;""),'Q12028'!B47,"")</f>
        <v/>
      </c>
      <c r="C46" t="str">
        <f>IF(AND('Q12028'!B47&lt;&gt;"",'Q12028'!E47&lt;&gt;""),'Q12028'!C47,"")</f>
        <v/>
      </c>
      <c r="D46" t="str">
        <f>IF(AND('Q12028'!B47&lt;&gt;"",'Q12028'!E47&lt;&gt;""),'Q12028'!D47,"")</f>
        <v/>
      </c>
      <c r="E46" t="str">
        <f>IF(AND('Q12028'!B47&lt;&gt;"",'Q12028'!E47&lt;&gt;""),'Q12028'!H47,"")</f>
        <v/>
      </c>
      <c r="F46" t="str">
        <f>IF(AND('Q12028'!B47&lt;&gt;"",'Q12028'!E47&lt;&gt;""),'Q12028'!F47,"")</f>
        <v/>
      </c>
      <c r="G46" t="str">
        <f>IF(AND('Q12028'!B47&lt;&gt;"",'Q12028'!E47&lt;&gt;""),'Q12028'!G47,"")</f>
        <v/>
      </c>
      <c r="H46" t="str">
        <f>IF(AND('Q12028'!B47&lt;&gt;"",'Q12028'!E47&lt;&gt;""),"Q12028","")</f>
        <v/>
      </c>
      <c r="I46" t="str">
        <f>IF(A46="Q12028",COUNTIF($A$2:$A46,"Q12028"),"")</f>
        <v/>
      </c>
      <c r="J46" t="str">
        <f>IF(A46="Q22028",COUNTIF($A$2:$A46,"Q22028"),"")</f>
        <v/>
      </c>
      <c r="K46" t="str">
        <f>IF(A46="Q32028",COUNTIF($A$2:$A46,"Q32028"),"")</f>
        <v/>
      </c>
      <c r="L46" t="str">
        <f>IF(A46="Q42028",COUNTIF($A$2:$A46,"Q42028"),"")</f>
        <v/>
      </c>
      <c r="M46" t="str">
        <f>IF(A46="Backlog",COUNTIF($A$2:$A46,"Backlog"),"")</f>
        <v/>
      </c>
    </row>
    <row r="47" spans="1:13">
      <c r="A47" t="str">
        <f>IF(AND('Q12028'!B48&lt;&gt;"",'Q12028'!E48&lt;&gt;""),'Q12028'!E48,"")</f>
        <v/>
      </c>
      <c r="B47" t="str">
        <f>IF(AND('Q12028'!B48&lt;&gt;"",'Q12028'!E48&lt;&gt;""),'Q12028'!B48,"")</f>
        <v/>
      </c>
      <c r="C47" t="str">
        <f>IF(AND('Q12028'!B48&lt;&gt;"",'Q12028'!E48&lt;&gt;""),'Q12028'!C48,"")</f>
        <v/>
      </c>
      <c r="D47" t="str">
        <f>IF(AND('Q12028'!B48&lt;&gt;"",'Q12028'!E48&lt;&gt;""),'Q12028'!D48,"")</f>
        <v/>
      </c>
      <c r="E47" t="str">
        <f>IF(AND('Q12028'!B48&lt;&gt;"",'Q12028'!E48&lt;&gt;""),'Q12028'!H48,"")</f>
        <v/>
      </c>
      <c r="F47" t="str">
        <f>IF(AND('Q12028'!B48&lt;&gt;"",'Q12028'!E48&lt;&gt;""),'Q12028'!F48,"")</f>
        <v/>
      </c>
      <c r="G47" t="str">
        <f>IF(AND('Q12028'!B48&lt;&gt;"",'Q12028'!E48&lt;&gt;""),'Q12028'!G48,"")</f>
        <v/>
      </c>
      <c r="H47" t="str">
        <f>IF(AND('Q12028'!B48&lt;&gt;"",'Q12028'!E48&lt;&gt;""),"Q12028","")</f>
        <v/>
      </c>
      <c r="I47" t="str">
        <f>IF(A47="Q12028",COUNTIF($A$2:$A47,"Q12028"),"")</f>
        <v/>
      </c>
      <c r="J47" t="str">
        <f>IF(A47="Q22028",COUNTIF($A$2:$A47,"Q22028"),"")</f>
        <v/>
      </c>
      <c r="K47" t="str">
        <f>IF(A47="Q32028",COUNTIF($A$2:$A47,"Q32028"),"")</f>
        <v/>
      </c>
      <c r="L47" t="str">
        <f>IF(A47="Q42028",COUNTIF($A$2:$A47,"Q42028"),"")</f>
        <v/>
      </c>
      <c r="M47" t="str">
        <f>IF(A47="Backlog",COUNTIF($A$2:$A47,"Backlog"),"")</f>
        <v/>
      </c>
    </row>
    <row r="48" spans="1:13">
      <c r="A48" t="str">
        <f>IF(AND('Q12028'!B49&lt;&gt;"",'Q12028'!E49&lt;&gt;""),'Q12028'!E49,"")</f>
        <v/>
      </c>
      <c r="B48" t="str">
        <f>IF(AND('Q12028'!B49&lt;&gt;"",'Q12028'!E49&lt;&gt;""),'Q12028'!B49,"")</f>
        <v/>
      </c>
      <c r="C48" t="str">
        <f>IF(AND('Q12028'!B49&lt;&gt;"",'Q12028'!E49&lt;&gt;""),'Q12028'!C49,"")</f>
        <v/>
      </c>
      <c r="D48" t="str">
        <f>IF(AND('Q12028'!B49&lt;&gt;"",'Q12028'!E49&lt;&gt;""),'Q12028'!D49,"")</f>
        <v/>
      </c>
      <c r="E48" t="str">
        <f>IF(AND('Q12028'!B49&lt;&gt;"",'Q12028'!E49&lt;&gt;""),'Q12028'!H49,"")</f>
        <v/>
      </c>
      <c r="F48" t="str">
        <f>IF(AND('Q12028'!B49&lt;&gt;"",'Q12028'!E49&lt;&gt;""),'Q12028'!F49,"")</f>
        <v/>
      </c>
      <c r="G48" t="str">
        <f>IF(AND('Q12028'!B49&lt;&gt;"",'Q12028'!E49&lt;&gt;""),'Q12028'!G49,"")</f>
        <v/>
      </c>
      <c r="H48" t="str">
        <f>IF(AND('Q12028'!B49&lt;&gt;"",'Q12028'!E49&lt;&gt;""),"Q12028","")</f>
        <v/>
      </c>
      <c r="I48" t="str">
        <f>IF(A48="Q12028",COUNTIF($A$2:$A48,"Q12028"),"")</f>
        <v/>
      </c>
      <c r="J48" t="str">
        <f>IF(A48="Q22028",COUNTIF($A$2:$A48,"Q22028"),"")</f>
        <v/>
      </c>
      <c r="K48" t="str">
        <f>IF(A48="Q32028",COUNTIF($A$2:$A48,"Q32028"),"")</f>
        <v/>
      </c>
      <c r="L48" t="str">
        <f>IF(A48="Q42028",COUNTIF($A$2:$A48,"Q42028"),"")</f>
        <v/>
      </c>
      <c r="M48" t="str">
        <f>IF(A48="Backlog",COUNTIF($A$2:$A48,"Backlog"),"")</f>
        <v/>
      </c>
    </row>
    <row r="49" spans="1:13">
      <c r="A49" t="str">
        <f>IF(AND('Q12028'!B50&lt;&gt;"",'Q12028'!E50&lt;&gt;""),'Q12028'!E50,"")</f>
        <v/>
      </c>
      <c r="B49" t="str">
        <f>IF(AND('Q12028'!B50&lt;&gt;"",'Q12028'!E50&lt;&gt;""),'Q12028'!B50,"")</f>
        <v/>
      </c>
      <c r="C49" t="str">
        <f>IF(AND('Q12028'!B50&lt;&gt;"",'Q12028'!E50&lt;&gt;""),'Q12028'!C50,"")</f>
        <v/>
      </c>
      <c r="D49" t="str">
        <f>IF(AND('Q12028'!B50&lt;&gt;"",'Q12028'!E50&lt;&gt;""),'Q12028'!D50,"")</f>
        <v/>
      </c>
      <c r="E49" t="str">
        <f>IF(AND('Q12028'!B50&lt;&gt;"",'Q12028'!E50&lt;&gt;""),'Q12028'!H50,"")</f>
        <v/>
      </c>
      <c r="F49" t="str">
        <f>IF(AND('Q12028'!B50&lt;&gt;"",'Q12028'!E50&lt;&gt;""),'Q12028'!F50,"")</f>
        <v/>
      </c>
      <c r="G49" t="str">
        <f>IF(AND('Q12028'!B50&lt;&gt;"",'Q12028'!E50&lt;&gt;""),'Q12028'!G50,"")</f>
        <v/>
      </c>
      <c r="H49" t="str">
        <f>IF(AND('Q12028'!B50&lt;&gt;"",'Q12028'!E50&lt;&gt;""),"Q12028","")</f>
        <v/>
      </c>
      <c r="I49" t="str">
        <f>IF(A49="Q12028",COUNTIF($A$2:$A49,"Q12028"),"")</f>
        <v/>
      </c>
      <c r="J49" t="str">
        <f>IF(A49="Q22028",COUNTIF($A$2:$A49,"Q22028"),"")</f>
        <v/>
      </c>
      <c r="K49" t="str">
        <f>IF(A49="Q32028",COUNTIF($A$2:$A49,"Q32028"),"")</f>
        <v/>
      </c>
      <c r="L49" t="str">
        <f>IF(A49="Q42028",COUNTIF($A$2:$A49,"Q42028"),"")</f>
        <v/>
      </c>
      <c r="M49" t="str">
        <f>IF(A49="Backlog",COUNTIF($A$2:$A49,"Backlog"),"")</f>
        <v/>
      </c>
    </row>
    <row r="50" spans="1:13">
      <c r="A50" t="str">
        <f>IF(AND('Q12028'!B51&lt;&gt;"",'Q12028'!E51&lt;&gt;""),'Q12028'!E51,"")</f>
        <v/>
      </c>
      <c r="B50" t="str">
        <f>IF(AND('Q12028'!B51&lt;&gt;"",'Q12028'!E51&lt;&gt;""),'Q12028'!B51,"")</f>
        <v/>
      </c>
      <c r="C50" t="str">
        <f>IF(AND('Q12028'!B51&lt;&gt;"",'Q12028'!E51&lt;&gt;""),'Q12028'!C51,"")</f>
        <v/>
      </c>
      <c r="D50" t="str">
        <f>IF(AND('Q12028'!B51&lt;&gt;"",'Q12028'!E51&lt;&gt;""),'Q12028'!D51,"")</f>
        <v/>
      </c>
      <c r="E50" t="str">
        <f>IF(AND('Q12028'!B51&lt;&gt;"",'Q12028'!E51&lt;&gt;""),'Q12028'!H51,"")</f>
        <v/>
      </c>
      <c r="F50" t="str">
        <f>IF(AND('Q12028'!B51&lt;&gt;"",'Q12028'!E51&lt;&gt;""),'Q12028'!F51,"")</f>
        <v/>
      </c>
      <c r="G50" t="str">
        <f>IF(AND('Q12028'!B51&lt;&gt;"",'Q12028'!E51&lt;&gt;""),'Q12028'!G51,"")</f>
        <v/>
      </c>
      <c r="H50" t="str">
        <f>IF(AND('Q12028'!B51&lt;&gt;"",'Q12028'!E51&lt;&gt;""),"Q12028","")</f>
        <v/>
      </c>
      <c r="I50" t="str">
        <f>IF(A50="Q12028",COUNTIF($A$2:$A50,"Q12028"),"")</f>
        <v/>
      </c>
      <c r="J50" t="str">
        <f>IF(A50="Q22028",COUNTIF($A$2:$A50,"Q22028"),"")</f>
        <v/>
      </c>
      <c r="K50" t="str">
        <f>IF(A50="Q32028",COUNTIF($A$2:$A50,"Q32028"),"")</f>
        <v/>
      </c>
      <c r="L50" t="str">
        <f>IF(A50="Q42028",COUNTIF($A$2:$A50,"Q42028"),"")</f>
        <v/>
      </c>
      <c r="M50" t="str">
        <f>IF(A50="Backlog",COUNTIF($A$2:$A50,"Backlog"),"")</f>
        <v/>
      </c>
    </row>
    <row r="51" spans="1:13">
      <c r="A51" t="str">
        <f>IF(AND('Q12028'!B52&lt;&gt;"",'Q12028'!E52&lt;&gt;""),'Q12028'!E52,"")</f>
        <v/>
      </c>
      <c r="B51" t="str">
        <f>IF(AND('Q12028'!B52&lt;&gt;"",'Q12028'!E52&lt;&gt;""),'Q12028'!B52,"")</f>
        <v/>
      </c>
      <c r="C51" t="str">
        <f>IF(AND('Q12028'!B52&lt;&gt;"",'Q12028'!E52&lt;&gt;""),'Q12028'!C52,"")</f>
        <v/>
      </c>
      <c r="D51" t="str">
        <f>IF(AND('Q12028'!B52&lt;&gt;"",'Q12028'!E52&lt;&gt;""),'Q12028'!D52,"")</f>
        <v/>
      </c>
      <c r="E51" t="str">
        <f>IF(AND('Q12028'!B52&lt;&gt;"",'Q12028'!E52&lt;&gt;""),'Q12028'!H52,"")</f>
        <v/>
      </c>
      <c r="F51" t="str">
        <f>IF(AND('Q12028'!B52&lt;&gt;"",'Q12028'!E52&lt;&gt;""),'Q12028'!F52,"")</f>
        <v/>
      </c>
      <c r="G51" t="str">
        <f>IF(AND('Q12028'!B52&lt;&gt;"",'Q12028'!E52&lt;&gt;""),'Q12028'!G52,"")</f>
        <v/>
      </c>
      <c r="H51" t="str">
        <f>IF(AND('Q12028'!B52&lt;&gt;"",'Q12028'!E52&lt;&gt;""),"Q12028","")</f>
        <v/>
      </c>
      <c r="I51" t="str">
        <f>IF(A51="Q12028",COUNTIF($A$2:$A51,"Q12028"),"")</f>
        <v/>
      </c>
      <c r="J51" t="str">
        <f>IF(A51="Q22028",COUNTIF($A$2:$A51,"Q22028"),"")</f>
        <v/>
      </c>
      <c r="K51" t="str">
        <f>IF(A51="Q32028",COUNTIF($A$2:$A51,"Q32028"),"")</f>
        <v/>
      </c>
      <c r="L51" t="str">
        <f>IF(A51="Q42028",COUNTIF($A$2:$A51,"Q42028"),"")</f>
        <v/>
      </c>
      <c r="M51" t="str">
        <f>IF(A51="Backlog",COUNTIF($A$2:$A51,"Backlog"),"")</f>
        <v/>
      </c>
    </row>
    <row r="52" spans="1:13">
      <c r="A52" t="str">
        <f>IF(AND('Q12028'!B53&lt;&gt;"",'Q12028'!E53&lt;&gt;""),'Q12028'!E53,"")</f>
        <v/>
      </c>
      <c r="B52" t="str">
        <f>IF(AND('Q12028'!B53&lt;&gt;"",'Q12028'!E53&lt;&gt;""),'Q12028'!B53,"")</f>
        <v/>
      </c>
      <c r="C52" t="str">
        <f>IF(AND('Q12028'!B53&lt;&gt;"",'Q12028'!E53&lt;&gt;""),'Q12028'!C53,"")</f>
        <v/>
      </c>
      <c r="D52" t="str">
        <f>IF(AND('Q12028'!B53&lt;&gt;"",'Q12028'!E53&lt;&gt;""),'Q12028'!D53,"")</f>
        <v/>
      </c>
      <c r="E52" t="str">
        <f>IF(AND('Q12028'!B53&lt;&gt;"",'Q12028'!E53&lt;&gt;""),'Q12028'!H53,"")</f>
        <v/>
      </c>
      <c r="F52" t="str">
        <f>IF(AND('Q12028'!B53&lt;&gt;"",'Q12028'!E53&lt;&gt;""),'Q12028'!F53,"")</f>
        <v/>
      </c>
      <c r="G52" t="str">
        <f>IF(AND('Q12028'!B53&lt;&gt;"",'Q12028'!E53&lt;&gt;""),'Q12028'!G53,"")</f>
        <v/>
      </c>
      <c r="H52" t="str">
        <f>IF(AND('Q12028'!B53&lt;&gt;"",'Q12028'!E53&lt;&gt;""),"Q12028","")</f>
        <v/>
      </c>
      <c r="I52" t="str">
        <f>IF(A52="Q12028",COUNTIF($A$2:$A52,"Q12028"),"")</f>
        <v/>
      </c>
      <c r="J52" t="str">
        <f>IF(A52="Q22028",COUNTIF($A$2:$A52,"Q22028"),"")</f>
        <v/>
      </c>
      <c r="K52" t="str">
        <f>IF(A52="Q32028",COUNTIF($A$2:$A52,"Q32028"),"")</f>
        <v/>
      </c>
      <c r="L52" t="str">
        <f>IF(A52="Q42028",COUNTIF($A$2:$A52,"Q42028"),"")</f>
        <v/>
      </c>
      <c r="M52" t="str">
        <f>IF(A52="Backlog",COUNTIF($A$2:$A52,"Backlog"),"")</f>
        <v/>
      </c>
    </row>
    <row r="53" spans="1:13">
      <c r="A53" t="str">
        <f>IF(AND('Q12028'!B54&lt;&gt;"",'Q12028'!E54&lt;&gt;""),'Q12028'!E54,"")</f>
        <v/>
      </c>
      <c r="B53" t="str">
        <f>IF(AND('Q12028'!B54&lt;&gt;"",'Q12028'!E54&lt;&gt;""),'Q12028'!B54,"")</f>
        <v/>
      </c>
      <c r="C53" t="str">
        <f>IF(AND('Q12028'!B54&lt;&gt;"",'Q12028'!E54&lt;&gt;""),'Q12028'!C54,"")</f>
        <v/>
      </c>
      <c r="D53" t="str">
        <f>IF(AND('Q12028'!B54&lt;&gt;"",'Q12028'!E54&lt;&gt;""),'Q12028'!D54,"")</f>
        <v/>
      </c>
      <c r="E53" t="str">
        <f>IF(AND('Q12028'!B54&lt;&gt;"",'Q12028'!E54&lt;&gt;""),'Q12028'!H54,"")</f>
        <v/>
      </c>
      <c r="F53" t="str">
        <f>IF(AND('Q12028'!B54&lt;&gt;"",'Q12028'!E54&lt;&gt;""),'Q12028'!F54,"")</f>
        <v/>
      </c>
      <c r="G53" t="str">
        <f>IF(AND('Q12028'!B54&lt;&gt;"",'Q12028'!E54&lt;&gt;""),'Q12028'!G54,"")</f>
        <v/>
      </c>
      <c r="H53" t="str">
        <f>IF(AND('Q12028'!B54&lt;&gt;"",'Q12028'!E54&lt;&gt;""),"Q12028","")</f>
        <v/>
      </c>
      <c r="I53" t="str">
        <f>IF(A53="Q12028",COUNTIF($A$2:$A53,"Q12028"),"")</f>
        <v/>
      </c>
      <c r="J53" t="str">
        <f>IF(A53="Q22028",COUNTIF($A$2:$A53,"Q22028"),"")</f>
        <v/>
      </c>
      <c r="K53" t="str">
        <f>IF(A53="Q32028",COUNTIF($A$2:$A53,"Q32028"),"")</f>
        <v/>
      </c>
      <c r="L53" t="str">
        <f>IF(A53="Q42028",COUNTIF($A$2:$A53,"Q42028"),"")</f>
        <v/>
      </c>
      <c r="M53" t="str">
        <f>IF(A53="Backlog",COUNTIF($A$2:$A53,"Backlog"),"")</f>
        <v/>
      </c>
    </row>
    <row r="54" spans="1:13">
      <c r="A54" t="str">
        <f>IF(AND('Q12028'!B55&lt;&gt;"",'Q12028'!E55&lt;&gt;""),'Q12028'!E55,"")</f>
        <v/>
      </c>
      <c r="B54" t="str">
        <f>IF(AND('Q12028'!B55&lt;&gt;"",'Q12028'!E55&lt;&gt;""),'Q12028'!B55,"")</f>
        <v/>
      </c>
      <c r="C54" t="str">
        <f>IF(AND('Q12028'!B55&lt;&gt;"",'Q12028'!E55&lt;&gt;""),'Q12028'!C55,"")</f>
        <v/>
      </c>
      <c r="D54" t="str">
        <f>IF(AND('Q12028'!B55&lt;&gt;"",'Q12028'!E55&lt;&gt;""),'Q12028'!D55,"")</f>
        <v/>
      </c>
      <c r="E54" t="str">
        <f>IF(AND('Q12028'!B55&lt;&gt;"",'Q12028'!E55&lt;&gt;""),'Q12028'!H55,"")</f>
        <v/>
      </c>
      <c r="F54" t="str">
        <f>IF(AND('Q12028'!B55&lt;&gt;"",'Q12028'!E55&lt;&gt;""),'Q12028'!F55,"")</f>
        <v/>
      </c>
      <c r="G54" t="str">
        <f>IF(AND('Q12028'!B55&lt;&gt;"",'Q12028'!E55&lt;&gt;""),'Q12028'!G55,"")</f>
        <v/>
      </c>
      <c r="H54" t="str">
        <f>IF(AND('Q12028'!B55&lt;&gt;"",'Q12028'!E55&lt;&gt;""),"Q12028","")</f>
        <v/>
      </c>
      <c r="I54" t="str">
        <f>IF(A54="Q12028",COUNTIF($A$2:$A54,"Q12028"),"")</f>
        <v/>
      </c>
      <c r="J54" t="str">
        <f>IF(A54="Q22028",COUNTIF($A$2:$A54,"Q22028"),"")</f>
        <v/>
      </c>
      <c r="K54" t="str">
        <f>IF(A54="Q32028",COUNTIF($A$2:$A54,"Q32028"),"")</f>
        <v/>
      </c>
      <c r="L54" t="str">
        <f>IF(A54="Q42028",COUNTIF($A$2:$A54,"Q42028"),"")</f>
        <v/>
      </c>
      <c r="M54" t="str">
        <f>IF(A54="Backlog",COUNTIF($A$2:$A54,"Backlog"),"")</f>
        <v/>
      </c>
    </row>
    <row r="55" spans="1:13">
      <c r="A55" t="str">
        <f>IF(AND('Q12028'!B56&lt;&gt;"",'Q12028'!E56&lt;&gt;""),'Q12028'!E56,"")</f>
        <v/>
      </c>
      <c r="B55" t="str">
        <f>IF(AND('Q12028'!B56&lt;&gt;"",'Q12028'!E56&lt;&gt;""),'Q12028'!B56,"")</f>
        <v/>
      </c>
      <c r="C55" t="str">
        <f>IF(AND('Q12028'!B56&lt;&gt;"",'Q12028'!E56&lt;&gt;""),'Q12028'!C56,"")</f>
        <v/>
      </c>
      <c r="D55" t="str">
        <f>IF(AND('Q12028'!B56&lt;&gt;"",'Q12028'!E56&lt;&gt;""),'Q12028'!D56,"")</f>
        <v/>
      </c>
      <c r="E55" t="str">
        <f>IF(AND('Q12028'!B56&lt;&gt;"",'Q12028'!E56&lt;&gt;""),'Q12028'!H56,"")</f>
        <v/>
      </c>
      <c r="F55" t="str">
        <f>IF(AND('Q12028'!B56&lt;&gt;"",'Q12028'!E56&lt;&gt;""),'Q12028'!F56,"")</f>
        <v/>
      </c>
      <c r="G55" t="str">
        <f>IF(AND('Q12028'!B56&lt;&gt;"",'Q12028'!E56&lt;&gt;""),'Q12028'!G56,"")</f>
        <v/>
      </c>
      <c r="H55" t="str">
        <f>IF(AND('Q12028'!B56&lt;&gt;"",'Q12028'!E56&lt;&gt;""),"Q12028","")</f>
        <v/>
      </c>
      <c r="I55" t="str">
        <f>IF(A55="Q12028",COUNTIF($A$2:$A55,"Q12028"),"")</f>
        <v/>
      </c>
      <c r="J55" t="str">
        <f>IF(A55="Q22028",COUNTIF($A$2:$A55,"Q22028"),"")</f>
        <v/>
      </c>
      <c r="K55" t="str">
        <f>IF(A55="Q32028",COUNTIF($A$2:$A55,"Q32028"),"")</f>
        <v/>
      </c>
      <c r="L55" t="str">
        <f>IF(A55="Q42028",COUNTIF($A$2:$A55,"Q42028"),"")</f>
        <v/>
      </c>
      <c r="M55" t="str">
        <f>IF(A55="Backlog",COUNTIF($A$2:$A55,"Backlog"),"")</f>
        <v/>
      </c>
    </row>
    <row r="56" spans="1:13">
      <c r="A56" t="str">
        <f>IF(AND('Q12028'!B57&lt;&gt;"",'Q12028'!E57&lt;&gt;""),'Q12028'!E57,"")</f>
        <v/>
      </c>
      <c r="B56" t="str">
        <f>IF(AND('Q12028'!B57&lt;&gt;"",'Q12028'!E57&lt;&gt;""),'Q12028'!B57,"")</f>
        <v/>
      </c>
      <c r="C56" t="str">
        <f>IF(AND('Q12028'!B57&lt;&gt;"",'Q12028'!E57&lt;&gt;""),'Q12028'!C57,"")</f>
        <v/>
      </c>
      <c r="D56" t="str">
        <f>IF(AND('Q12028'!B57&lt;&gt;"",'Q12028'!E57&lt;&gt;""),'Q12028'!D57,"")</f>
        <v/>
      </c>
      <c r="E56" t="str">
        <f>IF(AND('Q12028'!B57&lt;&gt;"",'Q12028'!E57&lt;&gt;""),'Q12028'!H57,"")</f>
        <v/>
      </c>
      <c r="F56" t="str">
        <f>IF(AND('Q12028'!B57&lt;&gt;"",'Q12028'!E57&lt;&gt;""),'Q12028'!F57,"")</f>
        <v/>
      </c>
      <c r="G56" t="str">
        <f>IF(AND('Q12028'!B57&lt;&gt;"",'Q12028'!E57&lt;&gt;""),'Q12028'!G57,"")</f>
        <v/>
      </c>
      <c r="H56" t="str">
        <f>IF(AND('Q12028'!B57&lt;&gt;"",'Q12028'!E57&lt;&gt;""),"Q12028","")</f>
        <v/>
      </c>
      <c r="I56" t="str">
        <f>IF(A56="Q12028",COUNTIF($A$2:$A56,"Q12028"),"")</f>
        <v/>
      </c>
      <c r="J56" t="str">
        <f>IF(A56="Q22028",COUNTIF($A$2:$A56,"Q22028"),"")</f>
        <v/>
      </c>
      <c r="K56" t="str">
        <f>IF(A56="Q32028",COUNTIF($A$2:$A56,"Q32028"),"")</f>
        <v/>
      </c>
      <c r="L56" t="str">
        <f>IF(A56="Q42028",COUNTIF($A$2:$A56,"Q42028"),"")</f>
        <v/>
      </c>
      <c r="M56" t="str">
        <f>IF(A56="Backlog",COUNTIF($A$2:$A56,"Backlog"),"")</f>
        <v/>
      </c>
    </row>
    <row r="57" spans="1:13">
      <c r="A57" t="str">
        <f>IF(AND('Q12028'!B58&lt;&gt;"",'Q12028'!E58&lt;&gt;""),'Q12028'!E58,"")</f>
        <v/>
      </c>
      <c r="B57" t="str">
        <f>IF(AND('Q12028'!B58&lt;&gt;"",'Q12028'!E58&lt;&gt;""),'Q12028'!B58,"")</f>
        <v/>
      </c>
      <c r="C57" t="str">
        <f>IF(AND('Q12028'!B58&lt;&gt;"",'Q12028'!E58&lt;&gt;""),'Q12028'!C58,"")</f>
        <v/>
      </c>
      <c r="D57" t="str">
        <f>IF(AND('Q12028'!B58&lt;&gt;"",'Q12028'!E58&lt;&gt;""),'Q12028'!D58,"")</f>
        <v/>
      </c>
      <c r="E57" t="str">
        <f>IF(AND('Q12028'!B58&lt;&gt;"",'Q12028'!E58&lt;&gt;""),'Q12028'!H58,"")</f>
        <v/>
      </c>
      <c r="F57" t="str">
        <f>IF(AND('Q12028'!B58&lt;&gt;"",'Q12028'!E58&lt;&gt;""),'Q12028'!F58,"")</f>
        <v/>
      </c>
      <c r="G57" t="str">
        <f>IF(AND('Q12028'!B58&lt;&gt;"",'Q12028'!E58&lt;&gt;""),'Q12028'!G58,"")</f>
        <v/>
      </c>
      <c r="H57" t="str">
        <f>IF(AND('Q12028'!B58&lt;&gt;"",'Q12028'!E58&lt;&gt;""),"Q12028","")</f>
        <v/>
      </c>
      <c r="I57" t="str">
        <f>IF(A57="Q12028",COUNTIF($A$2:$A57,"Q12028"),"")</f>
        <v/>
      </c>
      <c r="J57" t="str">
        <f>IF(A57="Q22028",COUNTIF($A$2:$A57,"Q22028"),"")</f>
        <v/>
      </c>
      <c r="K57" t="str">
        <f>IF(A57="Q32028",COUNTIF($A$2:$A57,"Q32028"),"")</f>
        <v/>
      </c>
      <c r="L57" t="str">
        <f>IF(A57="Q42028",COUNTIF($A$2:$A57,"Q42028"),"")</f>
        <v/>
      </c>
      <c r="M57" t="str">
        <f>IF(A57="Backlog",COUNTIF($A$2:$A57,"Backlog"),"")</f>
        <v/>
      </c>
    </row>
    <row r="58" spans="1:13">
      <c r="A58" t="str">
        <f>IF(AND('Q12028'!B59&lt;&gt;"",'Q12028'!E59&lt;&gt;""),'Q12028'!E59,"")</f>
        <v/>
      </c>
      <c r="B58" t="str">
        <f>IF(AND('Q12028'!B59&lt;&gt;"",'Q12028'!E59&lt;&gt;""),'Q12028'!B59,"")</f>
        <v/>
      </c>
      <c r="C58" t="str">
        <f>IF(AND('Q12028'!B59&lt;&gt;"",'Q12028'!E59&lt;&gt;""),'Q12028'!C59,"")</f>
        <v/>
      </c>
      <c r="D58" t="str">
        <f>IF(AND('Q12028'!B59&lt;&gt;"",'Q12028'!E59&lt;&gt;""),'Q12028'!D59,"")</f>
        <v/>
      </c>
      <c r="E58" t="str">
        <f>IF(AND('Q12028'!B59&lt;&gt;"",'Q12028'!E59&lt;&gt;""),'Q12028'!H59,"")</f>
        <v/>
      </c>
      <c r="F58" t="str">
        <f>IF(AND('Q12028'!B59&lt;&gt;"",'Q12028'!E59&lt;&gt;""),'Q12028'!F59,"")</f>
        <v/>
      </c>
      <c r="G58" t="str">
        <f>IF(AND('Q12028'!B59&lt;&gt;"",'Q12028'!E59&lt;&gt;""),'Q12028'!G59,"")</f>
        <v/>
      </c>
      <c r="H58" t="str">
        <f>IF(AND('Q12028'!B59&lt;&gt;"",'Q12028'!E59&lt;&gt;""),"Q12028","")</f>
        <v/>
      </c>
      <c r="I58" t="str">
        <f>IF(A58="Q12028",COUNTIF($A$2:$A58,"Q12028"),"")</f>
        <v/>
      </c>
      <c r="J58" t="str">
        <f>IF(A58="Q22028",COUNTIF($A$2:$A58,"Q22028"),"")</f>
        <v/>
      </c>
      <c r="K58" t="str">
        <f>IF(A58="Q32028",COUNTIF($A$2:$A58,"Q32028"),"")</f>
        <v/>
      </c>
      <c r="L58" t="str">
        <f>IF(A58="Q42028",COUNTIF($A$2:$A58,"Q42028"),"")</f>
        <v/>
      </c>
      <c r="M58" t="str">
        <f>IF(A58="Backlog",COUNTIF($A$2:$A58,"Backlog"),"")</f>
        <v/>
      </c>
    </row>
    <row r="59" spans="1:13">
      <c r="A59" t="str">
        <f>IF(AND('Q12028'!B60&lt;&gt;"",'Q12028'!E60&lt;&gt;""),'Q12028'!E60,"")</f>
        <v/>
      </c>
      <c r="B59" t="str">
        <f>IF(AND('Q12028'!B60&lt;&gt;"",'Q12028'!E60&lt;&gt;""),'Q12028'!B60,"")</f>
        <v/>
      </c>
      <c r="C59" t="str">
        <f>IF(AND('Q12028'!B60&lt;&gt;"",'Q12028'!E60&lt;&gt;""),'Q12028'!C60,"")</f>
        <v/>
      </c>
      <c r="D59" t="str">
        <f>IF(AND('Q12028'!B60&lt;&gt;"",'Q12028'!E60&lt;&gt;""),'Q12028'!D60,"")</f>
        <v/>
      </c>
      <c r="E59" t="str">
        <f>IF(AND('Q12028'!B60&lt;&gt;"",'Q12028'!E60&lt;&gt;""),'Q12028'!H60,"")</f>
        <v/>
      </c>
      <c r="F59" t="str">
        <f>IF(AND('Q12028'!B60&lt;&gt;"",'Q12028'!E60&lt;&gt;""),'Q12028'!F60,"")</f>
        <v/>
      </c>
      <c r="G59" t="str">
        <f>IF(AND('Q12028'!B60&lt;&gt;"",'Q12028'!E60&lt;&gt;""),'Q12028'!G60,"")</f>
        <v/>
      </c>
      <c r="H59" t="str">
        <f>IF(AND('Q12028'!B60&lt;&gt;"",'Q12028'!E60&lt;&gt;""),"Q12028","")</f>
        <v/>
      </c>
      <c r="I59" t="str">
        <f>IF(A59="Q12028",COUNTIF($A$2:$A59,"Q12028"),"")</f>
        <v/>
      </c>
      <c r="J59" t="str">
        <f>IF(A59="Q22028",COUNTIF($A$2:$A59,"Q22028"),"")</f>
        <v/>
      </c>
      <c r="K59" t="str">
        <f>IF(A59="Q32028",COUNTIF($A$2:$A59,"Q32028"),"")</f>
        <v/>
      </c>
      <c r="L59" t="str">
        <f>IF(A59="Q42028",COUNTIF($A$2:$A59,"Q42028"),"")</f>
        <v/>
      </c>
      <c r="M59" t="str">
        <f>IF(A59="Backlog",COUNTIF($A$2:$A59,"Backlog"),"")</f>
        <v/>
      </c>
    </row>
    <row r="60" spans="1:13">
      <c r="A60" t="str">
        <f>IF(AND('Q12028'!B61&lt;&gt;"",'Q12028'!E61&lt;&gt;""),'Q12028'!E61,"")</f>
        <v/>
      </c>
      <c r="B60" t="str">
        <f>IF(AND('Q12028'!B61&lt;&gt;"",'Q12028'!E61&lt;&gt;""),'Q12028'!B61,"")</f>
        <v/>
      </c>
      <c r="C60" t="str">
        <f>IF(AND('Q12028'!B61&lt;&gt;"",'Q12028'!E61&lt;&gt;""),'Q12028'!C61,"")</f>
        <v/>
      </c>
      <c r="D60" t="str">
        <f>IF(AND('Q12028'!B61&lt;&gt;"",'Q12028'!E61&lt;&gt;""),'Q12028'!D61,"")</f>
        <v/>
      </c>
      <c r="E60" t="str">
        <f>IF(AND('Q12028'!B61&lt;&gt;"",'Q12028'!E61&lt;&gt;""),'Q12028'!H61,"")</f>
        <v/>
      </c>
      <c r="F60" t="str">
        <f>IF(AND('Q12028'!B61&lt;&gt;"",'Q12028'!E61&lt;&gt;""),'Q12028'!F61,"")</f>
        <v/>
      </c>
      <c r="G60" t="str">
        <f>IF(AND('Q12028'!B61&lt;&gt;"",'Q12028'!E61&lt;&gt;""),'Q12028'!G61,"")</f>
        <v/>
      </c>
      <c r="H60" t="str">
        <f>IF(AND('Q12028'!B61&lt;&gt;"",'Q12028'!E61&lt;&gt;""),"Q12028","")</f>
        <v/>
      </c>
      <c r="I60" t="str">
        <f>IF(A60="Q12028",COUNTIF($A$2:$A60,"Q12028"),"")</f>
        <v/>
      </c>
      <c r="J60" t="str">
        <f>IF(A60="Q22028",COUNTIF($A$2:$A60,"Q22028"),"")</f>
        <v/>
      </c>
      <c r="K60" t="str">
        <f>IF(A60="Q32028",COUNTIF($A$2:$A60,"Q32028"),"")</f>
        <v/>
      </c>
      <c r="L60" t="str">
        <f>IF(A60="Q42028",COUNTIF($A$2:$A60,"Q42028"),"")</f>
        <v/>
      </c>
      <c r="M60" t="str">
        <f>IF(A60="Backlog",COUNTIF($A$2:$A60,"Backlog"),"")</f>
        <v/>
      </c>
    </row>
    <row r="61" spans="1:13">
      <c r="A61" t="str">
        <f>IF(AND('Q12028'!B62&lt;&gt;"",'Q12028'!E62&lt;&gt;""),'Q12028'!E62,"")</f>
        <v/>
      </c>
      <c r="B61" t="str">
        <f>IF(AND('Q12028'!B62&lt;&gt;"",'Q12028'!E62&lt;&gt;""),'Q12028'!B62,"")</f>
        <v/>
      </c>
      <c r="C61" t="str">
        <f>IF(AND('Q12028'!B62&lt;&gt;"",'Q12028'!E62&lt;&gt;""),'Q12028'!C62,"")</f>
        <v/>
      </c>
      <c r="D61" t="str">
        <f>IF(AND('Q12028'!B62&lt;&gt;"",'Q12028'!E62&lt;&gt;""),'Q12028'!D62,"")</f>
        <v/>
      </c>
      <c r="E61" t="str">
        <f>IF(AND('Q12028'!B62&lt;&gt;"",'Q12028'!E62&lt;&gt;""),'Q12028'!H62,"")</f>
        <v/>
      </c>
      <c r="F61" t="str">
        <f>IF(AND('Q12028'!B62&lt;&gt;"",'Q12028'!E62&lt;&gt;""),'Q12028'!F62,"")</f>
        <v/>
      </c>
      <c r="G61" t="str">
        <f>IF(AND('Q12028'!B62&lt;&gt;"",'Q12028'!E62&lt;&gt;""),'Q12028'!G62,"")</f>
        <v/>
      </c>
      <c r="H61" t="str">
        <f>IF(AND('Q12028'!B62&lt;&gt;"",'Q12028'!E62&lt;&gt;""),"Q12028","")</f>
        <v/>
      </c>
      <c r="I61" t="str">
        <f>IF(A61="Q12028",COUNTIF($A$2:$A61,"Q12028"),"")</f>
        <v/>
      </c>
      <c r="J61" t="str">
        <f>IF(A61="Q22028",COUNTIF($A$2:$A61,"Q22028"),"")</f>
        <v/>
      </c>
      <c r="K61" t="str">
        <f>IF(A61="Q32028",COUNTIF($A$2:$A61,"Q32028"),"")</f>
        <v/>
      </c>
      <c r="L61" t="str">
        <f>IF(A61="Q42028",COUNTIF($A$2:$A61,"Q42028"),"")</f>
        <v/>
      </c>
      <c r="M61" t="str">
        <f>IF(A61="Backlog",COUNTIF($A$2:$A61,"Backlog"),"")</f>
        <v/>
      </c>
    </row>
    <row r="62" spans="1:13">
      <c r="A62" t="str">
        <f>IF(AND('Q12028'!B63&lt;&gt;"",'Q12028'!E63&lt;&gt;""),'Q12028'!E63,"")</f>
        <v/>
      </c>
      <c r="B62" t="str">
        <f>IF(AND('Q12028'!B63&lt;&gt;"",'Q12028'!E63&lt;&gt;""),'Q12028'!B63,"")</f>
        <v/>
      </c>
      <c r="C62" t="str">
        <f>IF(AND('Q12028'!B63&lt;&gt;"",'Q12028'!E63&lt;&gt;""),'Q12028'!C63,"")</f>
        <v/>
      </c>
      <c r="D62" t="str">
        <f>IF(AND('Q12028'!B63&lt;&gt;"",'Q12028'!E63&lt;&gt;""),'Q12028'!D63,"")</f>
        <v/>
      </c>
      <c r="E62" t="str">
        <f>IF(AND('Q12028'!B63&lt;&gt;"",'Q12028'!E63&lt;&gt;""),'Q12028'!H63,"")</f>
        <v/>
      </c>
      <c r="F62" t="str">
        <f>IF(AND('Q12028'!B63&lt;&gt;"",'Q12028'!E63&lt;&gt;""),'Q12028'!F63,"")</f>
        <v/>
      </c>
      <c r="G62" t="str">
        <f>IF(AND('Q12028'!B63&lt;&gt;"",'Q12028'!E63&lt;&gt;""),'Q12028'!G63,"")</f>
        <v/>
      </c>
      <c r="H62" t="str">
        <f>IF(AND('Q12028'!B63&lt;&gt;"",'Q12028'!E63&lt;&gt;""),"Q12028","")</f>
        <v/>
      </c>
      <c r="I62" t="str">
        <f>IF(A62="Q12028",COUNTIF($A$2:$A62,"Q12028"),"")</f>
        <v/>
      </c>
      <c r="J62" t="str">
        <f>IF(A62="Q22028",COUNTIF($A$2:$A62,"Q22028"),"")</f>
        <v/>
      </c>
      <c r="K62" t="str">
        <f>IF(A62="Q32028",COUNTIF($A$2:$A62,"Q32028"),"")</f>
        <v/>
      </c>
      <c r="L62" t="str">
        <f>IF(A62="Q42028",COUNTIF($A$2:$A62,"Q42028"),"")</f>
        <v/>
      </c>
      <c r="M62" t="str">
        <f>IF(A62="Backlog",COUNTIF($A$2:$A62,"Backlog"),"")</f>
        <v/>
      </c>
    </row>
    <row r="63" spans="1:13">
      <c r="A63" t="str">
        <f>IF(AND('Q12028'!B64&lt;&gt;"",'Q12028'!E64&lt;&gt;""),'Q12028'!E64,"")</f>
        <v/>
      </c>
      <c r="B63" t="str">
        <f>IF(AND('Q12028'!B64&lt;&gt;"",'Q12028'!E64&lt;&gt;""),'Q12028'!B64,"")</f>
        <v/>
      </c>
      <c r="C63" t="str">
        <f>IF(AND('Q12028'!B64&lt;&gt;"",'Q12028'!E64&lt;&gt;""),'Q12028'!C64,"")</f>
        <v/>
      </c>
      <c r="D63" t="str">
        <f>IF(AND('Q12028'!B64&lt;&gt;"",'Q12028'!E64&lt;&gt;""),'Q12028'!D64,"")</f>
        <v/>
      </c>
      <c r="E63" t="str">
        <f>IF(AND('Q12028'!B64&lt;&gt;"",'Q12028'!E64&lt;&gt;""),'Q12028'!H64,"")</f>
        <v/>
      </c>
      <c r="F63" t="str">
        <f>IF(AND('Q12028'!B64&lt;&gt;"",'Q12028'!E64&lt;&gt;""),'Q12028'!F64,"")</f>
        <v/>
      </c>
      <c r="G63" t="str">
        <f>IF(AND('Q12028'!B64&lt;&gt;"",'Q12028'!E64&lt;&gt;""),'Q12028'!G64,"")</f>
        <v/>
      </c>
      <c r="H63" t="str">
        <f>IF(AND('Q12028'!B64&lt;&gt;"",'Q12028'!E64&lt;&gt;""),"Q12028","")</f>
        <v/>
      </c>
      <c r="I63" t="str">
        <f>IF(A63="Q12028",COUNTIF($A$2:$A63,"Q12028"),"")</f>
        <v/>
      </c>
      <c r="J63" t="str">
        <f>IF(A63="Q22028",COUNTIF($A$2:$A63,"Q22028"),"")</f>
        <v/>
      </c>
      <c r="K63" t="str">
        <f>IF(A63="Q32028",COUNTIF($A$2:$A63,"Q32028"),"")</f>
        <v/>
      </c>
      <c r="L63" t="str">
        <f>IF(A63="Q42028",COUNTIF($A$2:$A63,"Q42028"),"")</f>
        <v/>
      </c>
      <c r="M63" t="str">
        <f>IF(A63="Backlog",COUNTIF($A$2:$A63,"Backlog"),"")</f>
        <v/>
      </c>
    </row>
    <row r="64" spans="1:13">
      <c r="A64" t="str">
        <f>IF(AND('Q12028'!B65&lt;&gt;"",'Q12028'!E65&lt;&gt;""),'Q12028'!E65,"")</f>
        <v/>
      </c>
      <c r="B64" t="str">
        <f>IF(AND('Q12028'!B65&lt;&gt;"",'Q12028'!E65&lt;&gt;""),'Q12028'!B65,"")</f>
        <v/>
      </c>
      <c r="C64" t="str">
        <f>IF(AND('Q12028'!B65&lt;&gt;"",'Q12028'!E65&lt;&gt;""),'Q12028'!C65,"")</f>
        <v/>
      </c>
      <c r="D64" t="str">
        <f>IF(AND('Q12028'!B65&lt;&gt;"",'Q12028'!E65&lt;&gt;""),'Q12028'!D65,"")</f>
        <v/>
      </c>
      <c r="E64" t="str">
        <f>IF(AND('Q12028'!B65&lt;&gt;"",'Q12028'!E65&lt;&gt;""),'Q12028'!H65,"")</f>
        <v/>
      </c>
      <c r="F64" t="str">
        <f>IF(AND('Q12028'!B65&lt;&gt;"",'Q12028'!E65&lt;&gt;""),'Q12028'!F65,"")</f>
        <v/>
      </c>
      <c r="G64" t="str">
        <f>IF(AND('Q12028'!B65&lt;&gt;"",'Q12028'!E65&lt;&gt;""),'Q12028'!G65,"")</f>
        <v/>
      </c>
      <c r="H64" t="str">
        <f>IF(AND('Q12028'!B65&lt;&gt;"",'Q12028'!E65&lt;&gt;""),"Q12028","")</f>
        <v/>
      </c>
      <c r="I64" t="str">
        <f>IF(A64="Q12028",COUNTIF($A$2:$A64,"Q12028"),"")</f>
        <v/>
      </c>
      <c r="J64" t="str">
        <f>IF(A64="Q22028",COUNTIF($A$2:$A64,"Q22028"),"")</f>
        <v/>
      </c>
      <c r="K64" t="str">
        <f>IF(A64="Q32028",COUNTIF($A$2:$A64,"Q32028"),"")</f>
        <v/>
      </c>
      <c r="L64" t="str">
        <f>IF(A64="Q42028",COUNTIF($A$2:$A64,"Q42028"),"")</f>
        <v/>
      </c>
      <c r="M64" t="str">
        <f>IF(A64="Backlog",COUNTIF($A$2:$A64,"Backlog"),"")</f>
        <v/>
      </c>
    </row>
    <row r="65" spans="1:13">
      <c r="A65" t="str">
        <f>IF(AND('Q12028'!B66&lt;&gt;"",'Q12028'!E66&lt;&gt;""),'Q12028'!E66,"")</f>
        <v/>
      </c>
      <c r="B65" t="str">
        <f>IF(AND('Q12028'!B66&lt;&gt;"",'Q12028'!E66&lt;&gt;""),'Q12028'!B66,"")</f>
        <v/>
      </c>
      <c r="C65" t="str">
        <f>IF(AND('Q12028'!B66&lt;&gt;"",'Q12028'!E66&lt;&gt;""),'Q12028'!C66,"")</f>
        <v/>
      </c>
      <c r="D65" t="str">
        <f>IF(AND('Q12028'!B66&lt;&gt;"",'Q12028'!E66&lt;&gt;""),'Q12028'!D66,"")</f>
        <v/>
      </c>
      <c r="E65" t="str">
        <f>IF(AND('Q12028'!B66&lt;&gt;"",'Q12028'!E66&lt;&gt;""),'Q12028'!H66,"")</f>
        <v/>
      </c>
      <c r="F65" t="str">
        <f>IF(AND('Q12028'!B66&lt;&gt;"",'Q12028'!E66&lt;&gt;""),'Q12028'!F66,"")</f>
        <v/>
      </c>
      <c r="G65" t="str">
        <f>IF(AND('Q12028'!B66&lt;&gt;"",'Q12028'!E66&lt;&gt;""),'Q12028'!G66,"")</f>
        <v/>
      </c>
      <c r="H65" t="str">
        <f>IF(AND('Q12028'!B66&lt;&gt;"",'Q12028'!E66&lt;&gt;""),"Q12028","")</f>
        <v/>
      </c>
      <c r="I65" t="str">
        <f>IF(A65="Q12028",COUNTIF($A$2:$A65,"Q12028"),"")</f>
        <v/>
      </c>
      <c r="J65" t="str">
        <f>IF(A65="Q22028",COUNTIF($A$2:$A65,"Q22028"),"")</f>
        <v/>
      </c>
      <c r="K65" t="str">
        <f>IF(A65="Q32028",COUNTIF($A$2:$A65,"Q32028"),"")</f>
        <v/>
      </c>
      <c r="L65" t="str">
        <f>IF(A65="Q42028",COUNTIF($A$2:$A65,"Q42028"),"")</f>
        <v/>
      </c>
      <c r="M65" t="str">
        <f>IF(A65="Backlog",COUNTIF($A$2:$A65,"Backlog"),"")</f>
        <v/>
      </c>
    </row>
    <row r="66" spans="1:13">
      <c r="A66" t="str">
        <f>IF(AND('Q12028'!B67&lt;&gt;"",'Q12028'!E67&lt;&gt;""),'Q12028'!E67,"")</f>
        <v/>
      </c>
      <c r="B66" t="str">
        <f>IF(AND('Q12028'!B67&lt;&gt;"",'Q12028'!E67&lt;&gt;""),'Q12028'!B67,"")</f>
        <v/>
      </c>
      <c r="C66" t="str">
        <f>IF(AND('Q12028'!B67&lt;&gt;"",'Q12028'!E67&lt;&gt;""),'Q12028'!C67,"")</f>
        <v/>
      </c>
      <c r="D66" t="str">
        <f>IF(AND('Q12028'!B67&lt;&gt;"",'Q12028'!E67&lt;&gt;""),'Q12028'!D67,"")</f>
        <v/>
      </c>
      <c r="E66" t="str">
        <f>IF(AND('Q12028'!B67&lt;&gt;"",'Q12028'!E67&lt;&gt;""),'Q12028'!H67,"")</f>
        <v/>
      </c>
      <c r="F66" t="str">
        <f>IF(AND('Q12028'!B67&lt;&gt;"",'Q12028'!E67&lt;&gt;""),'Q12028'!F67,"")</f>
        <v/>
      </c>
      <c r="G66" t="str">
        <f>IF(AND('Q12028'!B67&lt;&gt;"",'Q12028'!E67&lt;&gt;""),'Q12028'!G67,"")</f>
        <v/>
      </c>
      <c r="H66" t="str">
        <f>IF(AND('Q12028'!B67&lt;&gt;"",'Q12028'!E67&lt;&gt;""),"Q12028","")</f>
        <v/>
      </c>
      <c r="I66" t="str">
        <f>IF(A66="Q12028",COUNTIF($A$2:$A66,"Q12028"),"")</f>
        <v/>
      </c>
      <c r="J66" t="str">
        <f>IF(A66="Q22028",COUNTIF($A$2:$A66,"Q22028"),"")</f>
        <v/>
      </c>
      <c r="K66" t="str">
        <f>IF(A66="Q32028",COUNTIF($A$2:$A66,"Q32028"),"")</f>
        <v/>
      </c>
      <c r="L66" t="str">
        <f>IF(A66="Q42028",COUNTIF($A$2:$A66,"Q42028"),"")</f>
        <v/>
      </c>
      <c r="M66" t="str">
        <f>IF(A66="Backlog",COUNTIF($A$2:$A66,"Backlog"),"")</f>
        <v/>
      </c>
    </row>
    <row r="67" spans="1:13">
      <c r="A67" t="str">
        <f>IF(AND('Q12028'!B68&lt;&gt;"",'Q12028'!E68&lt;&gt;""),'Q12028'!E68,"")</f>
        <v/>
      </c>
      <c r="B67" t="str">
        <f>IF(AND('Q12028'!B68&lt;&gt;"",'Q12028'!E68&lt;&gt;""),'Q12028'!B68,"")</f>
        <v/>
      </c>
      <c r="C67" t="str">
        <f>IF(AND('Q12028'!B68&lt;&gt;"",'Q12028'!E68&lt;&gt;""),'Q12028'!C68,"")</f>
        <v/>
      </c>
      <c r="D67" t="str">
        <f>IF(AND('Q12028'!B68&lt;&gt;"",'Q12028'!E68&lt;&gt;""),'Q12028'!D68,"")</f>
        <v/>
      </c>
      <c r="E67" t="str">
        <f>IF(AND('Q12028'!B68&lt;&gt;"",'Q12028'!E68&lt;&gt;""),'Q12028'!H68,"")</f>
        <v/>
      </c>
      <c r="F67" t="str">
        <f>IF(AND('Q12028'!B68&lt;&gt;"",'Q12028'!E68&lt;&gt;""),'Q12028'!F68,"")</f>
        <v/>
      </c>
      <c r="G67" t="str">
        <f>IF(AND('Q12028'!B68&lt;&gt;"",'Q12028'!E68&lt;&gt;""),'Q12028'!G68,"")</f>
        <v/>
      </c>
      <c r="H67" t="str">
        <f>IF(AND('Q12028'!B68&lt;&gt;"",'Q12028'!E68&lt;&gt;""),"Q12028","")</f>
        <v/>
      </c>
      <c r="I67" t="str">
        <f>IF(A67="Q12028",COUNTIF($A$2:$A67,"Q12028"),"")</f>
        <v/>
      </c>
      <c r="J67" t="str">
        <f>IF(A67="Q22028",COUNTIF($A$2:$A67,"Q22028"),"")</f>
        <v/>
      </c>
      <c r="K67" t="str">
        <f>IF(A67="Q32028",COUNTIF($A$2:$A67,"Q32028"),"")</f>
        <v/>
      </c>
      <c r="L67" t="str">
        <f>IF(A67="Q42028",COUNTIF($A$2:$A67,"Q42028"),"")</f>
        <v/>
      </c>
      <c r="M67" t="str">
        <f>IF(A67="Backlog",COUNTIF($A$2:$A67,"Backlog"),"")</f>
        <v/>
      </c>
    </row>
    <row r="68" spans="1:13">
      <c r="A68" t="str">
        <f>IF(AND('Q12028'!B69&lt;&gt;"",'Q12028'!E69&lt;&gt;""),'Q12028'!E69,"")</f>
        <v/>
      </c>
      <c r="B68" t="str">
        <f>IF(AND('Q12028'!B69&lt;&gt;"",'Q12028'!E69&lt;&gt;""),'Q12028'!B69,"")</f>
        <v/>
      </c>
      <c r="C68" t="str">
        <f>IF(AND('Q12028'!B69&lt;&gt;"",'Q12028'!E69&lt;&gt;""),'Q12028'!C69,"")</f>
        <v/>
      </c>
      <c r="D68" t="str">
        <f>IF(AND('Q12028'!B69&lt;&gt;"",'Q12028'!E69&lt;&gt;""),'Q12028'!D69,"")</f>
        <v/>
      </c>
      <c r="E68" t="str">
        <f>IF(AND('Q12028'!B69&lt;&gt;"",'Q12028'!E69&lt;&gt;""),'Q12028'!H69,"")</f>
        <v/>
      </c>
      <c r="F68" t="str">
        <f>IF(AND('Q12028'!B69&lt;&gt;"",'Q12028'!E69&lt;&gt;""),'Q12028'!F69,"")</f>
        <v/>
      </c>
      <c r="G68" t="str">
        <f>IF(AND('Q12028'!B69&lt;&gt;"",'Q12028'!E69&lt;&gt;""),'Q12028'!G69,"")</f>
        <v/>
      </c>
      <c r="H68" t="str">
        <f>IF(AND('Q12028'!B69&lt;&gt;"",'Q12028'!E69&lt;&gt;""),"Q12028","")</f>
        <v/>
      </c>
      <c r="I68" t="str">
        <f>IF(A68="Q12028",COUNTIF($A$2:$A68,"Q12028"),"")</f>
        <v/>
      </c>
      <c r="J68" t="str">
        <f>IF(A68="Q22028",COUNTIF($A$2:$A68,"Q22028"),"")</f>
        <v/>
      </c>
      <c r="K68" t="str">
        <f>IF(A68="Q32028",COUNTIF($A$2:$A68,"Q32028"),"")</f>
        <v/>
      </c>
      <c r="L68" t="str">
        <f>IF(A68="Q42028",COUNTIF($A$2:$A68,"Q42028"),"")</f>
        <v/>
      </c>
      <c r="M68" t="str">
        <f>IF(A68="Backlog",COUNTIF($A$2:$A68,"Backlog"),"")</f>
        <v/>
      </c>
    </row>
    <row r="69" spans="1:13">
      <c r="A69" t="str">
        <f>IF(AND('Q12028'!B70&lt;&gt;"",'Q12028'!E70&lt;&gt;""),'Q12028'!E70,"")</f>
        <v/>
      </c>
      <c r="B69" t="str">
        <f>IF(AND('Q12028'!B70&lt;&gt;"",'Q12028'!E70&lt;&gt;""),'Q12028'!B70,"")</f>
        <v/>
      </c>
      <c r="C69" t="str">
        <f>IF(AND('Q12028'!B70&lt;&gt;"",'Q12028'!E70&lt;&gt;""),'Q12028'!C70,"")</f>
        <v/>
      </c>
      <c r="D69" t="str">
        <f>IF(AND('Q12028'!B70&lt;&gt;"",'Q12028'!E70&lt;&gt;""),'Q12028'!D70,"")</f>
        <v/>
      </c>
      <c r="E69" t="str">
        <f>IF(AND('Q12028'!B70&lt;&gt;"",'Q12028'!E70&lt;&gt;""),'Q12028'!H70,"")</f>
        <v/>
      </c>
      <c r="F69" t="str">
        <f>IF(AND('Q12028'!B70&lt;&gt;"",'Q12028'!E70&lt;&gt;""),'Q12028'!F70,"")</f>
        <v/>
      </c>
      <c r="G69" t="str">
        <f>IF(AND('Q12028'!B70&lt;&gt;"",'Q12028'!E70&lt;&gt;""),'Q12028'!G70,"")</f>
        <v/>
      </c>
      <c r="H69" t="str">
        <f>IF(AND('Q12028'!B70&lt;&gt;"",'Q12028'!E70&lt;&gt;""),"Q12028","")</f>
        <v/>
      </c>
      <c r="I69" t="str">
        <f>IF(A69="Q12028",COUNTIF($A$2:$A69,"Q12028"),"")</f>
        <v/>
      </c>
      <c r="J69" t="str">
        <f>IF(A69="Q22028",COUNTIF($A$2:$A69,"Q22028"),"")</f>
        <v/>
      </c>
      <c r="K69" t="str">
        <f>IF(A69="Q32028",COUNTIF($A$2:$A69,"Q32028"),"")</f>
        <v/>
      </c>
      <c r="L69" t="str">
        <f>IF(A69="Q42028",COUNTIF($A$2:$A69,"Q42028"),"")</f>
        <v/>
      </c>
      <c r="M69" t="str">
        <f>IF(A69="Backlog",COUNTIF($A$2:$A69,"Backlog"),"")</f>
        <v/>
      </c>
    </row>
    <row r="70" spans="1:13">
      <c r="A70" t="str">
        <f>IF(AND('Q12028'!B71&lt;&gt;"",'Q12028'!E71&lt;&gt;""),'Q12028'!E71,"")</f>
        <v/>
      </c>
      <c r="B70" t="str">
        <f>IF(AND('Q12028'!B71&lt;&gt;"",'Q12028'!E71&lt;&gt;""),'Q12028'!B71,"")</f>
        <v/>
      </c>
      <c r="C70" t="str">
        <f>IF(AND('Q12028'!B71&lt;&gt;"",'Q12028'!E71&lt;&gt;""),'Q12028'!C71,"")</f>
        <v/>
      </c>
      <c r="D70" t="str">
        <f>IF(AND('Q12028'!B71&lt;&gt;"",'Q12028'!E71&lt;&gt;""),'Q12028'!D71,"")</f>
        <v/>
      </c>
      <c r="E70" t="str">
        <f>IF(AND('Q12028'!B71&lt;&gt;"",'Q12028'!E71&lt;&gt;""),'Q12028'!H71,"")</f>
        <v/>
      </c>
      <c r="F70" t="str">
        <f>IF(AND('Q12028'!B71&lt;&gt;"",'Q12028'!E71&lt;&gt;""),'Q12028'!F71,"")</f>
        <v/>
      </c>
      <c r="G70" t="str">
        <f>IF(AND('Q12028'!B71&lt;&gt;"",'Q12028'!E71&lt;&gt;""),'Q12028'!G71,"")</f>
        <v/>
      </c>
      <c r="H70" t="str">
        <f>IF(AND('Q12028'!B71&lt;&gt;"",'Q12028'!E71&lt;&gt;""),"Q12028","")</f>
        <v/>
      </c>
      <c r="I70" t="str">
        <f>IF(A70="Q12028",COUNTIF($A$2:$A70,"Q12028"),"")</f>
        <v/>
      </c>
      <c r="J70" t="str">
        <f>IF(A70="Q22028",COUNTIF($A$2:$A70,"Q22028"),"")</f>
        <v/>
      </c>
      <c r="K70" t="str">
        <f>IF(A70="Q32028",COUNTIF($A$2:$A70,"Q32028"),"")</f>
        <v/>
      </c>
      <c r="L70" t="str">
        <f>IF(A70="Q42028",COUNTIF($A$2:$A70,"Q42028"),"")</f>
        <v/>
      </c>
      <c r="M70" t="str">
        <f>IF(A70="Backlog",COUNTIF($A$2:$A70,"Backlog"),"")</f>
        <v/>
      </c>
    </row>
    <row r="71" spans="1:13">
      <c r="A71" t="str">
        <f>IF(AND('Q12028'!B72&lt;&gt;"",'Q12028'!E72&lt;&gt;""),'Q12028'!E72,"")</f>
        <v/>
      </c>
      <c r="B71" t="str">
        <f>IF(AND('Q12028'!B72&lt;&gt;"",'Q12028'!E72&lt;&gt;""),'Q12028'!B72,"")</f>
        <v/>
      </c>
      <c r="C71" t="str">
        <f>IF(AND('Q12028'!B72&lt;&gt;"",'Q12028'!E72&lt;&gt;""),'Q12028'!C72,"")</f>
        <v/>
      </c>
      <c r="D71" t="str">
        <f>IF(AND('Q12028'!B72&lt;&gt;"",'Q12028'!E72&lt;&gt;""),'Q12028'!D72,"")</f>
        <v/>
      </c>
      <c r="E71" t="str">
        <f>IF(AND('Q12028'!B72&lt;&gt;"",'Q12028'!E72&lt;&gt;""),'Q12028'!H72,"")</f>
        <v/>
      </c>
      <c r="F71" t="str">
        <f>IF(AND('Q12028'!B72&lt;&gt;"",'Q12028'!E72&lt;&gt;""),'Q12028'!F72,"")</f>
        <v/>
      </c>
      <c r="G71" t="str">
        <f>IF(AND('Q12028'!B72&lt;&gt;"",'Q12028'!E72&lt;&gt;""),'Q12028'!G72,"")</f>
        <v/>
      </c>
      <c r="H71" t="str">
        <f>IF(AND('Q12028'!B72&lt;&gt;"",'Q12028'!E72&lt;&gt;""),"Q12028","")</f>
        <v/>
      </c>
      <c r="I71" t="str">
        <f>IF(A71="Q12028",COUNTIF($A$2:$A71,"Q12028"),"")</f>
        <v/>
      </c>
      <c r="J71" t="str">
        <f>IF(A71="Q22028",COUNTIF($A$2:$A71,"Q22028"),"")</f>
        <v/>
      </c>
      <c r="K71" t="str">
        <f>IF(A71="Q32028",COUNTIF($A$2:$A71,"Q32028"),"")</f>
        <v/>
      </c>
      <c r="L71" t="str">
        <f>IF(A71="Q42028",COUNTIF($A$2:$A71,"Q42028"),"")</f>
        <v/>
      </c>
      <c r="M71" t="str">
        <f>IF(A71="Backlog",COUNTIF($A$2:$A71,"Backlog"),"")</f>
        <v/>
      </c>
    </row>
    <row r="72" spans="1:13">
      <c r="A72" t="str">
        <f>IF(AND('Q12028'!B73&lt;&gt;"",'Q12028'!E73&lt;&gt;""),'Q12028'!E73,"")</f>
        <v/>
      </c>
      <c r="B72" t="str">
        <f>IF(AND('Q12028'!B73&lt;&gt;"",'Q12028'!E73&lt;&gt;""),'Q12028'!B73,"")</f>
        <v/>
      </c>
      <c r="C72" t="str">
        <f>IF(AND('Q12028'!B73&lt;&gt;"",'Q12028'!E73&lt;&gt;""),'Q12028'!C73,"")</f>
        <v/>
      </c>
      <c r="D72" t="str">
        <f>IF(AND('Q12028'!B73&lt;&gt;"",'Q12028'!E73&lt;&gt;""),'Q12028'!D73,"")</f>
        <v/>
      </c>
      <c r="E72" t="str">
        <f>IF(AND('Q12028'!B73&lt;&gt;"",'Q12028'!E73&lt;&gt;""),'Q12028'!H73,"")</f>
        <v/>
      </c>
      <c r="F72" t="str">
        <f>IF(AND('Q12028'!B73&lt;&gt;"",'Q12028'!E73&lt;&gt;""),'Q12028'!F73,"")</f>
        <v/>
      </c>
      <c r="G72" t="str">
        <f>IF(AND('Q12028'!B73&lt;&gt;"",'Q12028'!E73&lt;&gt;""),'Q12028'!G73,"")</f>
        <v/>
      </c>
      <c r="H72" t="str">
        <f>IF(AND('Q12028'!B73&lt;&gt;"",'Q12028'!E73&lt;&gt;""),"Q12028","")</f>
        <v/>
      </c>
      <c r="I72" t="str">
        <f>IF(A72="Q12028",COUNTIF($A$2:$A72,"Q12028"),"")</f>
        <v/>
      </c>
      <c r="J72" t="str">
        <f>IF(A72="Q22028",COUNTIF($A$2:$A72,"Q22028"),"")</f>
        <v/>
      </c>
      <c r="K72" t="str">
        <f>IF(A72="Q32028",COUNTIF($A$2:$A72,"Q32028"),"")</f>
        <v/>
      </c>
      <c r="L72" t="str">
        <f>IF(A72="Q42028",COUNTIF($A$2:$A72,"Q42028"),"")</f>
        <v/>
      </c>
      <c r="M72" t="str">
        <f>IF(A72="Backlog",COUNTIF($A$2:$A72,"Backlog"),"")</f>
        <v/>
      </c>
    </row>
    <row r="73" spans="1:13">
      <c r="A73" t="str">
        <f>IF(AND('Q12028'!B74&lt;&gt;"",'Q12028'!E74&lt;&gt;""),'Q12028'!E74,"")</f>
        <v/>
      </c>
      <c r="B73" t="str">
        <f>IF(AND('Q12028'!B74&lt;&gt;"",'Q12028'!E74&lt;&gt;""),'Q12028'!B74,"")</f>
        <v/>
      </c>
      <c r="C73" t="str">
        <f>IF(AND('Q12028'!B74&lt;&gt;"",'Q12028'!E74&lt;&gt;""),'Q12028'!C74,"")</f>
        <v/>
      </c>
      <c r="D73" t="str">
        <f>IF(AND('Q12028'!B74&lt;&gt;"",'Q12028'!E74&lt;&gt;""),'Q12028'!D74,"")</f>
        <v/>
      </c>
      <c r="E73" t="str">
        <f>IF(AND('Q12028'!B74&lt;&gt;"",'Q12028'!E74&lt;&gt;""),'Q12028'!H74,"")</f>
        <v/>
      </c>
      <c r="F73" t="str">
        <f>IF(AND('Q12028'!B74&lt;&gt;"",'Q12028'!E74&lt;&gt;""),'Q12028'!F74,"")</f>
        <v/>
      </c>
      <c r="G73" t="str">
        <f>IF(AND('Q12028'!B74&lt;&gt;"",'Q12028'!E74&lt;&gt;""),'Q12028'!G74,"")</f>
        <v/>
      </c>
      <c r="H73" t="str">
        <f>IF(AND('Q12028'!B74&lt;&gt;"",'Q12028'!E74&lt;&gt;""),"Q12028","")</f>
        <v/>
      </c>
      <c r="I73" t="str">
        <f>IF(A73="Q12028",COUNTIF($A$2:$A73,"Q12028"),"")</f>
        <v/>
      </c>
      <c r="J73" t="str">
        <f>IF(A73="Q22028",COUNTIF($A$2:$A73,"Q22028"),"")</f>
        <v/>
      </c>
      <c r="K73" t="str">
        <f>IF(A73="Q32028",COUNTIF($A$2:$A73,"Q32028"),"")</f>
        <v/>
      </c>
      <c r="L73" t="str">
        <f>IF(A73="Q42028",COUNTIF($A$2:$A73,"Q42028"),"")</f>
        <v/>
      </c>
      <c r="M73" t="str">
        <f>IF(A73="Backlog",COUNTIF($A$2:$A73,"Backlog"),"")</f>
        <v/>
      </c>
    </row>
    <row r="74" spans="1:13">
      <c r="A74" t="str">
        <f>IF(AND('Q12028'!B75&lt;&gt;"",'Q12028'!E75&lt;&gt;""),'Q12028'!E75,"")</f>
        <v/>
      </c>
      <c r="B74" t="str">
        <f>IF(AND('Q12028'!B75&lt;&gt;"",'Q12028'!E75&lt;&gt;""),'Q12028'!B75,"")</f>
        <v/>
      </c>
      <c r="C74" t="str">
        <f>IF(AND('Q12028'!B75&lt;&gt;"",'Q12028'!E75&lt;&gt;""),'Q12028'!C75,"")</f>
        <v/>
      </c>
      <c r="D74" t="str">
        <f>IF(AND('Q12028'!B75&lt;&gt;"",'Q12028'!E75&lt;&gt;""),'Q12028'!D75,"")</f>
        <v/>
      </c>
      <c r="E74" t="str">
        <f>IF(AND('Q12028'!B75&lt;&gt;"",'Q12028'!E75&lt;&gt;""),'Q12028'!H75,"")</f>
        <v/>
      </c>
      <c r="F74" t="str">
        <f>IF(AND('Q12028'!B75&lt;&gt;"",'Q12028'!E75&lt;&gt;""),'Q12028'!F75,"")</f>
        <v/>
      </c>
      <c r="G74" t="str">
        <f>IF(AND('Q12028'!B75&lt;&gt;"",'Q12028'!E75&lt;&gt;""),'Q12028'!G75,"")</f>
        <v/>
      </c>
      <c r="H74" t="str">
        <f>IF(AND('Q12028'!B75&lt;&gt;"",'Q12028'!E75&lt;&gt;""),"Q12028","")</f>
        <v/>
      </c>
      <c r="I74" t="str">
        <f>IF(A74="Q12028",COUNTIF($A$2:$A74,"Q12028"),"")</f>
        <v/>
      </c>
      <c r="J74" t="str">
        <f>IF(A74="Q22028",COUNTIF($A$2:$A74,"Q22028"),"")</f>
        <v/>
      </c>
      <c r="K74" t="str">
        <f>IF(A74="Q32028",COUNTIF($A$2:$A74,"Q32028"),"")</f>
        <v/>
      </c>
      <c r="L74" t="str">
        <f>IF(A74="Q42028",COUNTIF($A$2:$A74,"Q42028"),"")</f>
        <v/>
      </c>
      <c r="M74" t="str">
        <f>IF(A74="Backlog",COUNTIF($A$2:$A74,"Backlog"),"")</f>
        <v/>
      </c>
    </row>
    <row r="75" spans="1:13">
      <c r="A75" t="str">
        <f>IF(AND('Q12028'!B76&lt;&gt;"",'Q12028'!E76&lt;&gt;""),'Q12028'!E76,"")</f>
        <v/>
      </c>
      <c r="B75" t="str">
        <f>IF(AND('Q12028'!B76&lt;&gt;"",'Q12028'!E76&lt;&gt;""),'Q12028'!B76,"")</f>
        <v/>
      </c>
      <c r="C75" t="str">
        <f>IF(AND('Q12028'!B76&lt;&gt;"",'Q12028'!E76&lt;&gt;""),'Q12028'!C76,"")</f>
        <v/>
      </c>
      <c r="D75" t="str">
        <f>IF(AND('Q12028'!B76&lt;&gt;"",'Q12028'!E76&lt;&gt;""),'Q12028'!D76,"")</f>
        <v/>
      </c>
      <c r="E75" t="str">
        <f>IF(AND('Q12028'!B76&lt;&gt;"",'Q12028'!E76&lt;&gt;""),'Q12028'!H76,"")</f>
        <v/>
      </c>
      <c r="F75" t="str">
        <f>IF(AND('Q12028'!B76&lt;&gt;"",'Q12028'!E76&lt;&gt;""),'Q12028'!F76,"")</f>
        <v/>
      </c>
      <c r="G75" t="str">
        <f>IF(AND('Q12028'!B76&lt;&gt;"",'Q12028'!E76&lt;&gt;""),'Q12028'!G76,"")</f>
        <v/>
      </c>
      <c r="H75" t="str">
        <f>IF(AND('Q12028'!B76&lt;&gt;"",'Q12028'!E76&lt;&gt;""),"Q12028","")</f>
        <v/>
      </c>
      <c r="I75" t="str">
        <f>IF(A75="Q12028",COUNTIF($A$2:$A75,"Q12028"),"")</f>
        <v/>
      </c>
      <c r="J75" t="str">
        <f>IF(A75="Q22028",COUNTIF($A$2:$A75,"Q22028"),"")</f>
        <v/>
      </c>
      <c r="K75" t="str">
        <f>IF(A75="Q32028",COUNTIF($A$2:$A75,"Q32028"),"")</f>
        <v/>
      </c>
      <c r="L75" t="str">
        <f>IF(A75="Q42028",COUNTIF($A$2:$A75,"Q42028"),"")</f>
        <v/>
      </c>
      <c r="M75" t="str">
        <f>IF(A75="Backlog",COUNTIF($A$2:$A75,"Backlog"),"")</f>
        <v/>
      </c>
    </row>
    <row r="76" spans="1:13">
      <c r="A76" t="str">
        <f>IF(AND('Q12028'!B77&lt;&gt;"",'Q12028'!E77&lt;&gt;""),'Q12028'!E77,"")</f>
        <v/>
      </c>
      <c r="B76" t="str">
        <f>IF(AND('Q12028'!B77&lt;&gt;"",'Q12028'!E77&lt;&gt;""),'Q12028'!B77,"")</f>
        <v/>
      </c>
      <c r="C76" t="str">
        <f>IF(AND('Q12028'!B77&lt;&gt;"",'Q12028'!E77&lt;&gt;""),'Q12028'!C77,"")</f>
        <v/>
      </c>
      <c r="D76" t="str">
        <f>IF(AND('Q12028'!B77&lt;&gt;"",'Q12028'!E77&lt;&gt;""),'Q12028'!D77,"")</f>
        <v/>
      </c>
      <c r="E76" t="str">
        <f>IF(AND('Q12028'!B77&lt;&gt;"",'Q12028'!E77&lt;&gt;""),'Q12028'!H77,"")</f>
        <v/>
      </c>
      <c r="F76" t="str">
        <f>IF(AND('Q12028'!B77&lt;&gt;"",'Q12028'!E77&lt;&gt;""),'Q12028'!F77,"")</f>
        <v/>
      </c>
      <c r="G76" t="str">
        <f>IF(AND('Q12028'!B77&lt;&gt;"",'Q12028'!E77&lt;&gt;""),'Q12028'!G77,"")</f>
        <v/>
      </c>
      <c r="H76" t="str">
        <f>IF(AND('Q12028'!B77&lt;&gt;"",'Q12028'!E77&lt;&gt;""),"Q12028","")</f>
        <v/>
      </c>
      <c r="I76" t="str">
        <f>IF(A76="Q12028",COUNTIF($A$2:$A76,"Q12028"),"")</f>
        <v/>
      </c>
      <c r="J76" t="str">
        <f>IF(A76="Q22028",COUNTIF($A$2:$A76,"Q22028"),"")</f>
        <v/>
      </c>
      <c r="K76" t="str">
        <f>IF(A76="Q32028",COUNTIF($A$2:$A76,"Q32028"),"")</f>
        <v/>
      </c>
      <c r="L76" t="str">
        <f>IF(A76="Q42028",COUNTIF($A$2:$A76,"Q42028"),"")</f>
        <v/>
      </c>
      <c r="M76" t="str">
        <f>IF(A76="Backlog",COUNTIF($A$2:$A76,"Backlog"),"")</f>
        <v/>
      </c>
    </row>
    <row r="77" spans="1:13">
      <c r="A77" t="str">
        <f>IF(AND('Q12028'!B78&lt;&gt;"",'Q12028'!E78&lt;&gt;""),'Q12028'!E78,"")</f>
        <v/>
      </c>
      <c r="B77" t="str">
        <f>IF(AND('Q12028'!B78&lt;&gt;"",'Q12028'!E78&lt;&gt;""),'Q12028'!B78,"")</f>
        <v/>
      </c>
      <c r="C77" t="str">
        <f>IF(AND('Q12028'!B78&lt;&gt;"",'Q12028'!E78&lt;&gt;""),'Q12028'!C78,"")</f>
        <v/>
      </c>
      <c r="D77" t="str">
        <f>IF(AND('Q12028'!B78&lt;&gt;"",'Q12028'!E78&lt;&gt;""),'Q12028'!D78,"")</f>
        <v/>
      </c>
      <c r="E77" t="str">
        <f>IF(AND('Q12028'!B78&lt;&gt;"",'Q12028'!E78&lt;&gt;""),'Q12028'!H78,"")</f>
        <v/>
      </c>
      <c r="F77" t="str">
        <f>IF(AND('Q12028'!B78&lt;&gt;"",'Q12028'!E78&lt;&gt;""),'Q12028'!F78,"")</f>
        <v/>
      </c>
      <c r="G77" t="str">
        <f>IF(AND('Q12028'!B78&lt;&gt;"",'Q12028'!E78&lt;&gt;""),'Q12028'!G78,"")</f>
        <v/>
      </c>
      <c r="H77" t="str">
        <f>IF(AND('Q12028'!B78&lt;&gt;"",'Q12028'!E78&lt;&gt;""),"Q12028","")</f>
        <v/>
      </c>
      <c r="I77" t="str">
        <f>IF(A77="Q12028",COUNTIF($A$2:$A77,"Q12028"),"")</f>
        <v/>
      </c>
      <c r="J77" t="str">
        <f>IF(A77="Q22028",COUNTIF($A$2:$A77,"Q22028"),"")</f>
        <v/>
      </c>
      <c r="K77" t="str">
        <f>IF(A77="Q32028",COUNTIF($A$2:$A77,"Q32028"),"")</f>
        <v/>
      </c>
      <c r="L77" t="str">
        <f>IF(A77="Q42028",COUNTIF($A$2:$A77,"Q42028"),"")</f>
        <v/>
      </c>
      <c r="M77" t="str">
        <f>IF(A77="Backlog",COUNTIF($A$2:$A77,"Backlog"),"")</f>
        <v/>
      </c>
    </row>
    <row r="78" spans="1:13">
      <c r="A78" t="str">
        <f>IF(AND('Q12028'!B79&lt;&gt;"",'Q12028'!E79&lt;&gt;""),'Q12028'!E79,"")</f>
        <v/>
      </c>
      <c r="B78" t="str">
        <f>IF(AND('Q12028'!B79&lt;&gt;"",'Q12028'!E79&lt;&gt;""),'Q12028'!B79,"")</f>
        <v/>
      </c>
      <c r="C78" t="str">
        <f>IF(AND('Q12028'!B79&lt;&gt;"",'Q12028'!E79&lt;&gt;""),'Q12028'!C79,"")</f>
        <v/>
      </c>
      <c r="D78" t="str">
        <f>IF(AND('Q12028'!B79&lt;&gt;"",'Q12028'!E79&lt;&gt;""),'Q12028'!D79,"")</f>
        <v/>
      </c>
      <c r="E78" t="str">
        <f>IF(AND('Q12028'!B79&lt;&gt;"",'Q12028'!E79&lt;&gt;""),'Q12028'!H79,"")</f>
        <v/>
      </c>
      <c r="F78" t="str">
        <f>IF(AND('Q12028'!B79&lt;&gt;"",'Q12028'!E79&lt;&gt;""),'Q12028'!F79,"")</f>
        <v/>
      </c>
      <c r="G78" t="str">
        <f>IF(AND('Q12028'!B79&lt;&gt;"",'Q12028'!E79&lt;&gt;""),'Q12028'!G79,"")</f>
        <v/>
      </c>
      <c r="H78" t="str">
        <f>IF(AND('Q12028'!B79&lt;&gt;"",'Q12028'!E79&lt;&gt;""),"Q12028","")</f>
        <v/>
      </c>
      <c r="I78" t="str">
        <f>IF(A78="Q12028",COUNTIF($A$2:$A78,"Q12028"),"")</f>
        <v/>
      </c>
      <c r="J78" t="str">
        <f>IF(A78="Q22028",COUNTIF($A$2:$A78,"Q22028"),"")</f>
        <v/>
      </c>
      <c r="K78" t="str">
        <f>IF(A78="Q32028",COUNTIF($A$2:$A78,"Q32028"),"")</f>
        <v/>
      </c>
      <c r="L78" t="str">
        <f>IF(A78="Q42028",COUNTIF($A$2:$A78,"Q42028"),"")</f>
        <v/>
      </c>
      <c r="M78" t="str">
        <f>IF(A78="Backlog",COUNTIF($A$2:$A78,"Backlog"),"")</f>
        <v/>
      </c>
    </row>
    <row r="79" spans="1:13">
      <c r="A79" t="str">
        <f>IF(AND('Q12028'!B80&lt;&gt;"",'Q12028'!E80&lt;&gt;""),'Q12028'!E80,"")</f>
        <v/>
      </c>
      <c r="B79" t="str">
        <f>IF(AND('Q12028'!B80&lt;&gt;"",'Q12028'!E80&lt;&gt;""),'Q12028'!B80,"")</f>
        <v/>
      </c>
      <c r="C79" t="str">
        <f>IF(AND('Q12028'!B80&lt;&gt;"",'Q12028'!E80&lt;&gt;""),'Q12028'!C80,"")</f>
        <v/>
      </c>
      <c r="D79" t="str">
        <f>IF(AND('Q12028'!B80&lt;&gt;"",'Q12028'!E80&lt;&gt;""),'Q12028'!D80,"")</f>
        <v/>
      </c>
      <c r="E79" t="str">
        <f>IF(AND('Q12028'!B80&lt;&gt;"",'Q12028'!E80&lt;&gt;""),'Q12028'!H80,"")</f>
        <v/>
      </c>
      <c r="F79" t="str">
        <f>IF(AND('Q12028'!B80&lt;&gt;"",'Q12028'!E80&lt;&gt;""),'Q12028'!F80,"")</f>
        <v/>
      </c>
      <c r="G79" t="str">
        <f>IF(AND('Q12028'!B80&lt;&gt;"",'Q12028'!E80&lt;&gt;""),'Q12028'!G80,"")</f>
        <v/>
      </c>
      <c r="H79" t="str">
        <f>IF(AND('Q12028'!B80&lt;&gt;"",'Q12028'!E80&lt;&gt;""),"Q12028","")</f>
        <v/>
      </c>
      <c r="I79" t="str">
        <f>IF(A79="Q12028",COUNTIF($A$2:$A79,"Q12028"),"")</f>
        <v/>
      </c>
      <c r="J79" t="str">
        <f>IF(A79="Q22028",COUNTIF($A$2:$A79,"Q22028"),"")</f>
        <v/>
      </c>
      <c r="K79" t="str">
        <f>IF(A79="Q32028",COUNTIF($A$2:$A79,"Q32028"),"")</f>
        <v/>
      </c>
      <c r="L79" t="str">
        <f>IF(A79="Q42028",COUNTIF($A$2:$A79,"Q42028"),"")</f>
        <v/>
      </c>
      <c r="M79" t="str">
        <f>IF(A79="Backlog",COUNTIF($A$2:$A79,"Backlog"),"")</f>
        <v/>
      </c>
    </row>
    <row r="80" spans="1:13">
      <c r="A80" t="str">
        <f>IF(AND('Q12028'!B81&lt;&gt;"",'Q12028'!E81&lt;&gt;""),'Q12028'!E81,"")</f>
        <v/>
      </c>
      <c r="B80" t="str">
        <f>IF(AND('Q12028'!B81&lt;&gt;"",'Q12028'!E81&lt;&gt;""),'Q12028'!B81,"")</f>
        <v/>
      </c>
      <c r="C80" t="str">
        <f>IF(AND('Q12028'!B81&lt;&gt;"",'Q12028'!E81&lt;&gt;""),'Q12028'!C81,"")</f>
        <v/>
      </c>
      <c r="D80" t="str">
        <f>IF(AND('Q12028'!B81&lt;&gt;"",'Q12028'!E81&lt;&gt;""),'Q12028'!D81,"")</f>
        <v/>
      </c>
      <c r="E80" t="str">
        <f>IF(AND('Q12028'!B81&lt;&gt;"",'Q12028'!E81&lt;&gt;""),'Q12028'!H81,"")</f>
        <v/>
      </c>
      <c r="F80" t="str">
        <f>IF(AND('Q12028'!B81&lt;&gt;"",'Q12028'!E81&lt;&gt;""),'Q12028'!F81,"")</f>
        <v/>
      </c>
      <c r="G80" t="str">
        <f>IF(AND('Q12028'!B81&lt;&gt;"",'Q12028'!E81&lt;&gt;""),'Q12028'!G81,"")</f>
        <v/>
      </c>
      <c r="H80" t="str">
        <f>IF(AND('Q12028'!B81&lt;&gt;"",'Q12028'!E81&lt;&gt;""),"Q12028","")</f>
        <v/>
      </c>
      <c r="I80" t="str">
        <f>IF(A80="Q12028",COUNTIF($A$2:$A80,"Q12028"),"")</f>
        <v/>
      </c>
      <c r="J80" t="str">
        <f>IF(A80="Q22028",COUNTIF($A$2:$A80,"Q22028"),"")</f>
        <v/>
      </c>
      <c r="K80" t="str">
        <f>IF(A80="Q32028",COUNTIF($A$2:$A80,"Q32028"),"")</f>
        <v/>
      </c>
      <c r="L80" t="str">
        <f>IF(A80="Q42028",COUNTIF($A$2:$A80,"Q42028"),"")</f>
        <v/>
      </c>
      <c r="M80" t="str">
        <f>IF(A80="Backlog",COUNTIF($A$2:$A80,"Backlog"),"")</f>
        <v/>
      </c>
    </row>
    <row r="81" spans="1:13">
      <c r="A81" t="str">
        <f>IF(AND('Q12028'!B82&lt;&gt;"",'Q12028'!E82&lt;&gt;""),'Q12028'!E82,"")</f>
        <v/>
      </c>
      <c r="B81" t="str">
        <f>IF(AND('Q12028'!B82&lt;&gt;"",'Q12028'!E82&lt;&gt;""),'Q12028'!B82,"")</f>
        <v/>
      </c>
      <c r="C81" t="str">
        <f>IF(AND('Q12028'!B82&lt;&gt;"",'Q12028'!E82&lt;&gt;""),'Q12028'!C82,"")</f>
        <v/>
      </c>
      <c r="D81" t="str">
        <f>IF(AND('Q12028'!B82&lt;&gt;"",'Q12028'!E82&lt;&gt;""),'Q12028'!D82,"")</f>
        <v/>
      </c>
      <c r="E81" t="str">
        <f>IF(AND('Q12028'!B82&lt;&gt;"",'Q12028'!E82&lt;&gt;""),'Q12028'!H82,"")</f>
        <v/>
      </c>
      <c r="F81" t="str">
        <f>IF(AND('Q12028'!B82&lt;&gt;"",'Q12028'!E82&lt;&gt;""),'Q12028'!F82,"")</f>
        <v/>
      </c>
      <c r="G81" t="str">
        <f>IF(AND('Q12028'!B82&lt;&gt;"",'Q12028'!E82&lt;&gt;""),'Q12028'!G82,"")</f>
        <v/>
      </c>
      <c r="H81" t="str">
        <f>IF(AND('Q12028'!B82&lt;&gt;"",'Q12028'!E82&lt;&gt;""),"Q12028","")</f>
        <v/>
      </c>
      <c r="I81" t="str">
        <f>IF(A81="Q12028",COUNTIF($A$2:$A81,"Q12028"),"")</f>
        <v/>
      </c>
      <c r="J81" t="str">
        <f>IF(A81="Q22028",COUNTIF($A$2:$A81,"Q22028"),"")</f>
        <v/>
      </c>
      <c r="K81" t="str">
        <f>IF(A81="Q32028",COUNTIF($A$2:$A81,"Q32028"),"")</f>
        <v/>
      </c>
      <c r="L81" t="str">
        <f>IF(A81="Q42028",COUNTIF($A$2:$A81,"Q42028"),"")</f>
        <v/>
      </c>
      <c r="M81" t="str">
        <f>IF(A81="Backlog",COUNTIF($A$2:$A81,"Backlog"),"")</f>
        <v/>
      </c>
    </row>
    <row r="82" spans="1:13">
      <c r="A82" t="str">
        <f>IF(AND('Q22028'!B3&lt;&gt;"",'Q22028'!E3&lt;&gt;""),'Q22028'!E3,"")</f>
        <v/>
      </c>
      <c r="B82" t="str">
        <f>IF(AND('Q22028'!B3&lt;&gt;"",'Q22028'!E3&lt;&gt;""),'Q22028'!B3,"")</f>
        <v/>
      </c>
      <c r="C82" t="str">
        <f>IF(AND('Q22028'!B3&lt;&gt;"",'Q22028'!E3&lt;&gt;""),'Q22028'!C3,"")</f>
        <v/>
      </c>
      <c r="D82" t="str">
        <f>IF(AND('Q22028'!B3&lt;&gt;"",'Q22028'!E3&lt;&gt;""),'Q22028'!D3,"")</f>
        <v/>
      </c>
      <c r="E82" t="str">
        <f>IF(AND('Q22028'!B3&lt;&gt;"",'Q22028'!E3&lt;&gt;""),'Q22028'!H3,"")</f>
        <v/>
      </c>
      <c r="F82" t="str">
        <f>IF(AND('Q22028'!B3&lt;&gt;"",'Q22028'!E3&lt;&gt;""),'Q22028'!F3,"")</f>
        <v/>
      </c>
      <c r="G82" t="str">
        <f>IF(AND('Q22028'!B3&lt;&gt;"",'Q22028'!E3&lt;&gt;""),'Q22028'!G3,"")</f>
        <v/>
      </c>
      <c r="H82" t="str">
        <f>IF(AND('Q22028'!B3&lt;&gt;"",'Q22028'!E3&lt;&gt;""),"Q22028","")</f>
        <v/>
      </c>
      <c r="I82" t="str">
        <f>IF(A82="Q12028",COUNTIF($A$2:$A82,"Q12028"),"")</f>
        <v/>
      </c>
      <c r="J82" t="str">
        <f>IF(A82="Q22028",COUNTIF($A$2:$A82,"Q22028"),"")</f>
        <v/>
      </c>
      <c r="K82" t="str">
        <f>IF(A82="Q32028",COUNTIF($A$2:$A82,"Q32028"),"")</f>
        <v/>
      </c>
      <c r="L82" t="str">
        <f>IF(A82="Q42028",COUNTIF($A$2:$A82,"Q42028"),"")</f>
        <v/>
      </c>
      <c r="M82" t="str">
        <f>IF(A82="Backlog",COUNTIF($A$2:$A82,"Backlog"),"")</f>
        <v/>
      </c>
    </row>
    <row r="83" spans="1:13">
      <c r="A83" t="str">
        <f>IF(AND('Q22028'!B4&lt;&gt;"",'Q22028'!E4&lt;&gt;""),'Q22028'!E4,"")</f>
        <v/>
      </c>
      <c r="B83" t="str">
        <f>IF(AND('Q22028'!B4&lt;&gt;"",'Q22028'!E4&lt;&gt;""),'Q22028'!B4,"")</f>
        <v/>
      </c>
      <c r="C83" t="str">
        <f>IF(AND('Q22028'!B4&lt;&gt;"",'Q22028'!E4&lt;&gt;""),'Q22028'!C4,"")</f>
        <v/>
      </c>
      <c r="D83" t="str">
        <f>IF(AND('Q22028'!B4&lt;&gt;"",'Q22028'!E4&lt;&gt;""),'Q22028'!D4,"")</f>
        <v/>
      </c>
      <c r="E83" t="str">
        <f>IF(AND('Q22028'!B4&lt;&gt;"",'Q22028'!E4&lt;&gt;""),'Q22028'!H4,"")</f>
        <v/>
      </c>
      <c r="F83" t="str">
        <f>IF(AND('Q22028'!B4&lt;&gt;"",'Q22028'!E4&lt;&gt;""),'Q22028'!F4,"")</f>
        <v/>
      </c>
      <c r="G83" t="str">
        <f>IF(AND('Q22028'!B4&lt;&gt;"",'Q22028'!E4&lt;&gt;""),'Q22028'!G4,"")</f>
        <v/>
      </c>
      <c r="H83" t="str">
        <f>IF(AND('Q22028'!B4&lt;&gt;"",'Q22028'!E4&lt;&gt;""),"Q22028","")</f>
        <v/>
      </c>
      <c r="I83" t="str">
        <f>IF(A83="Q12028",COUNTIF($A$2:$A83,"Q12028"),"")</f>
        <v/>
      </c>
      <c r="J83" t="str">
        <f>IF(A83="Q22028",COUNTIF($A$2:$A83,"Q22028"),"")</f>
        <v/>
      </c>
      <c r="K83" t="str">
        <f>IF(A83="Q32028",COUNTIF($A$2:$A83,"Q32028"),"")</f>
        <v/>
      </c>
      <c r="L83" t="str">
        <f>IF(A83="Q42028",COUNTIF($A$2:$A83,"Q42028"),"")</f>
        <v/>
      </c>
      <c r="M83" t="str">
        <f>IF(A83="Backlog",COUNTIF($A$2:$A83,"Backlog"),"")</f>
        <v/>
      </c>
    </row>
    <row r="84" spans="1:13">
      <c r="A84" t="str">
        <f>IF(AND('Q22028'!B5&lt;&gt;"",'Q22028'!E5&lt;&gt;""),'Q22028'!E5,"")</f>
        <v/>
      </c>
      <c r="B84" t="str">
        <f>IF(AND('Q22028'!B5&lt;&gt;"",'Q22028'!E5&lt;&gt;""),'Q22028'!B5,"")</f>
        <v/>
      </c>
      <c r="C84" t="str">
        <f>IF(AND('Q22028'!B5&lt;&gt;"",'Q22028'!E5&lt;&gt;""),'Q22028'!C5,"")</f>
        <v/>
      </c>
      <c r="D84" t="str">
        <f>IF(AND('Q22028'!B5&lt;&gt;"",'Q22028'!E5&lt;&gt;""),'Q22028'!D5,"")</f>
        <v/>
      </c>
      <c r="E84" t="str">
        <f>IF(AND('Q22028'!B5&lt;&gt;"",'Q22028'!E5&lt;&gt;""),'Q22028'!H5,"")</f>
        <v/>
      </c>
      <c r="F84" t="str">
        <f>IF(AND('Q22028'!B5&lt;&gt;"",'Q22028'!E5&lt;&gt;""),'Q22028'!F5,"")</f>
        <v/>
      </c>
      <c r="G84" t="str">
        <f>IF(AND('Q22028'!B5&lt;&gt;"",'Q22028'!E5&lt;&gt;""),'Q22028'!G5,"")</f>
        <v/>
      </c>
      <c r="H84" t="str">
        <f>IF(AND('Q22028'!B5&lt;&gt;"",'Q22028'!E5&lt;&gt;""),"Q22028","")</f>
        <v/>
      </c>
      <c r="I84" t="str">
        <f>IF(A84="Q12028",COUNTIF($A$2:$A84,"Q12028"),"")</f>
        <v/>
      </c>
      <c r="J84" t="str">
        <f>IF(A84="Q22028",COUNTIF($A$2:$A84,"Q22028"),"")</f>
        <v/>
      </c>
      <c r="K84" t="str">
        <f>IF(A84="Q32028",COUNTIF($A$2:$A84,"Q32028"),"")</f>
        <v/>
      </c>
      <c r="L84" t="str">
        <f>IF(A84="Q42028",COUNTIF($A$2:$A84,"Q42028"),"")</f>
        <v/>
      </c>
      <c r="M84" t="str">
        <f>IF(A84="Backlog",COUNTIF($A$2:$A84,"Backlog"),"")</f>
        <v/>
      </c>
    </row>
    <row r="85" spans="1:13">
      <c r="A85" t="str">
        <f>IF(AND('Q22028'!B6&lt;&gt;"",'Q22028'!E6&lt;&gt;""),'Q22028'!E6,"")</f>
        <v/>
      </c>
      <c r="B85" t="str">
        <f>IF(AND('Q22028'!B6&lt;&gt;"",'Q22028'!E6&lt;&gt;""),'Q22028'!B6,"")</f>
        <v/>
      </c>
      <c r="C85" t="str">
        <f>IF(AND('Q22028'!B6&lt;&gt;"",'Q22028'!E6&lt;&gt;""),'Q22028'!C6,"")</f>
        <v/>
      </c>
      <c r="D85" t="str">
        <f>IF(AND('Q22028'!B6&lt;&gt;"",'Q22028'!E6&lt;&gt;""),'Q22028'!D6,"")</f>
        <v/>
      </c>
      <c r="E85" t="str">
        <f>IF(AND('Q22028'!B6&lt;&gt;"",'Q22028'!E6&lt;&gt;""),'Q22028'!H6,"")</f>
        <v/>
      </c>
      <c r="F85" t="str">
        <f>IF(AND('Q22028'!B6&lt;&gt;"",'Q22028'!E6&lt;&gt;""),'Q22028'!F6,"")</f>
        <v/>
      </c>
      <c r="G85" t="str">
        <f>IF(AND('Q22028'!B6&lt;&gt;"",'Q22028'!E6&lt;&gt;""),'Q22028'!G6,"")</f>
        <v/>
      </c>
      <c r="H85" t="str">
        <f>IF(AND('Q22028'!B6&lt;&gt;"",'Q22028'!E6&lt;&gt;""),"Q22028","")</f>
        <v/>
      </c>
      <c r="I85" t="str">
        <f>IF(A85="Q12028",COUNTIF($A$2:$A85,"Q12028"),"")</f>
        <v/>
      </c>
      <c r="J85" t="str">
        <f>IF(A85="Q22028",COUNTIF($A$2:$A85,"Q22028"),"")</f>
        <v/>
      </c>
      <c r="K85" t="str">
        <f>IF(A85="Q32028",COUNTIF($A$2:$A85,"Q32028"),"")</f>
        <v/>
      </c>
      <c r="L85" t="str">
        <f>IF(A85="Q42028",COUNTIF($A$2:$A85,"Q42028"),"")</f>
        <v/>
      </c>
      <c r="M85" t="str">
        <f>IF(A85="Backlog",COUNTIF($A$2:$A85,"Backlog"),"")</f>
        <v/>
      </c>
    </row>
    <row r="86" spans="1:13">
      <c r="A86" t="str">
        <f>IF(AND('Q22028'!B7&lt;&gt;"",'Q22028'!E7&lt;&gt;""),'Q22028'!E7,"")</f>
        <v/>
      </c>
      <c r="B86" t="str">
        <f>IF(AND('Q22028'!B7&lt;&gt;"",'Q22028'!E7&lt;&gt;""),'Q22028'!B7,"")</f>
        <v/>
      </c>
      <c r="C86" t="str">
        <f>IF(AND('Q22028'!B7&lt;&gt;"",'Q22028'!E7&lt;&gt;""),'Q22028'!C7,"")</f>
        <v/>
      </c>
      <c r="D86" t="str">
        <f>IF(AND('Q22028'!B7&lt;&gt;"",'Q22028'!E7&lt;&gt;""),'Q22028'!D7,"")</f>
        <v/>
      </c>
      <c r="E86" t="str">
        <f>IF(AND('Q22028'!B7&lt;&gt;"",'Q22028'!E7&lt;&gt;""),'Q22028'!H7,"")</f>
        <v/>
      </c>
      <c r="F86" t="str">
        <f>IF(AND('Q22028'!B7&lt;&gt;"",'Q22028'!E7&lt;&gt;""),'Q22028'!F7,"")</f>
        <v/>
      </c>
      <c r="G86" t="str">
        <f>IF(AND('Q22028'!B7&lt;&gt;"",'Q22028'!E7&lt;&gt;""),'Q22028'!G7,"")</f>
        <v/>
      </c>
      <c r="H86" t="str">
        <f>IF(AND('Q22028'!B7&lt;&gt;"",'Q22028'!E7&lt;&gt;""),"Q22028","")</f>
        <v/>
      </c>
      <c r="I86" t="str">
        <f>IF(A86="Q12028",COUNTIF($A$2:$A86,"Q12028"),"")</f>
        <v/>
      </c>
      <c r="J86" t="str">
        <f>IF(A86="Q22028",COUNTIF($A$2:$A86,"Q22028"),"")</f>
        <v/>
      </c>
      <c r="K86" t="str">
        <f>IF(A86="Q32028",COUNTIF($A$2:$A86,"Q32028"),"")</f>
        <v/>
      </c>
      <c r="L86" t="str">
        <f>IF(A86="Q42028",COUNTIF($A$2:$A86,"Q42028"),"")</f>
        <v/>
      </c>
      <c r="M86" t="str">
        <f>IF(A86="Backlog",COUNTIF($A$2:$A86,"Backlog"),"")</f>
        <v/>
      </c>
    </row>
    <row r="87" spans="1:13">
      <c r="A87" t="str">
        <f>IF(AND('Q22028'!B8&lt;&gt;"",'Q22028'!E8&lt;&gt;""),'Q22028'!E8,"")</f>
        <v/>
      </c>
      <c r="B87" t="str">
        <f>IF(AND('Q22028'!B8&lt;&gt;"",'Q22028'!E8&lt;&gt;""),'Q22028'!B8,"")</f>
        <v/>
      </c>
      <c r="C87" t="str">
        <f>IF(AND('Q22028'!B8&lt;&gt;"",'Q22028'!E8&lt;&gt;""),'Q22028'!C8,"")</f>
        <v/>
      </c>
      <c r="D87" t="str">
        <f>IF(AND('Q22028'!B8&lt;&gt;"",'Q22028'!E8&lt;&gt;""),'Q22028'!D8,"")</f>
        <v/>
      </c>
      <c r="E87" t="str">
        <f>IF(AND('Q22028'!B8&lt;&gt;"",'Q22028'!E8&lt;&gt;""),'Q22028'!H8,"")</f>
        <v/>
      </c>
      <c r="F87" t="str">
        <f>IF(AND('Q22028'!B8&lt;&gt;"",'Q22028'!E8&lt;&gt;""),'Q22028'!F8,"")</f>
        <v/>
      </c>
      <c r="G87" t="str">
        <f>IF(AND('Q22028'!B8&lt;&gt;"",'Q22028'!E8&lt;&gt;""),'Q22028'!G8,"")</f>
        <v/>
      </c>
      <c r="H87" t="str">
        <f>IF(AND('Q22028'!B8&lt;&gt;"",'Q22028'!E8&lt;&gt;""),"Q22028","")</f>
        <v/>
      </c>
      <c r="I87" t="str">
        <f>IF(A87="Q12028",COUNTIF($A$2:$A87,"Q12028"),"")</f>
        <v/>
      </c>
      <c r="J87" t="str">
        <f>IF(A87="Q22028",COUNTIF($A$2:$A87,"Q22028"),"")</f>
        <v/>
      </c>
      <c r="K87" t="str">
        <f>IF(A87="Q32028",COUNTIF($A$2:$A87,"Q32028"),"")</f>
        <v/>
      </c>
      <c r="L87" t="str">
        <f>IF(A87="Q42028",COUNTIF($A$2:$A87,"Q42028"),"")</f>
        <v/>
      </c>
      <c r="M87" t="str">
        <f>IF(A87="Backlog",COUNTIF($A$2:$A87,"Backlog"),"")</f>
        <v/>
      </c>
    </row>
    <row r="88" spans="1:13">
      <c r="A88" t="str">
        <f>IF(AND('Q22028'!B9&lt;&gt;"",'Q22028'!E9&lt;&gt;""),'Q22028'!E9,"")</f>
        <v/>
      </c>
      <c r="B88" t="str">
        <f>IF(AND('Q22028'!B9&lt;&gt;"",'Q22028'!E9&lt;&gt;""),'Q22028'!B9,"")</f>
        <v/>
      </c>
      <c r="C88" t="str">
        <f>IF(AND('Q22028'!B9&lt;&gt;"",'Q22028'!E9&lt;&gt;""),'Q22028'!C9,"")</f>
        <v/>
      </c>
      <c r="D88" t="str">
        <f>IF(AND('Q22028'!B9&lt;&gt;"",'Q22028'!E9&lt;&gt;""),'Q22028'!D9,"")</f>
        <v/>
      </c>
      <c r="E88" t="str">
        <f>IF(AND('Q22028'!B9&lt;&gt;"",'Q22028'!E9&lt;&gt;""),'Q22028'!H9,"")</f>
        <v/>
      </c>
      <c r="F88" t="str">
        <f>IF(AND('Q22028'!B9&lt;&gt;"",'Q22028'!E9&lt;&gt;""),'Q22028'!F9,"")</f>
        <v/>
      </c>
      <c r="G88" t="str">
        <f>IF(AND('Q22028'!B9&lt;&gt;"",'Q22028'!E9&lt;&gt;""),'Q22028'!G9,"")</f>
        <v/>
      </c>
      <c r="H88" t="str">
        <f>IF(AND('Q22028'!B9&lt;&gt;"",'Q22028'!E9&lt;&gt;""),"Q22028","")</f>
        <v/>
      </c>
      <c r="I88" t="str">
        <f>IF(A88="Q12028",COUNTIF($A$2:$A88,"Q12028"),"")</f>
        <v/>
      </c>
      <c r="J88" t="str">
        <f>IF(A88="Q22028",COUNTIF($A$2:$A88,"Q22028"),"")</f>
        <v/>
      </c>
      <c r="K88" t="str">
        <f>IF(A88="Q32028",COUNTIF($A$2:$A88,"Q32028"),"")</f>
        <v/>
      </c>
      <c r="L88" t="str">
        <f>IF(A88="Q42028",COUNTIF($A$2:$A88,"Q42028"),"")</f>
        <v/>
      </c>
      <c r="M88" t="str">
        <f>IF(A88="Backlog",COUNTIF($A$2:$A88,"Backlog"),"")</f>
        <v/>
      </c>
    </row>
    <row r="89" spans="1:13">
      <c r="A89" t="str">
        <f>IF(AND('Q22028'!B10&lt;&gt;"",'Q22028'!E10&lt;&gt;""),'Q22028'!E10,"")</f>
        <v/>
      </c>
      <c r="B89" t="str">
        <f>IF(AND('Q22028'!B10&lt;&gt;"",'Q22028'!E10&lt;&gt;""),'Q22028'!B10,"")</f>
        <v/>
      </c>
      <c r="C89" t="str">
        <f>IF(AND('Q22028'!B10&lt;&gt;"",'Q22028'!E10&lt;&gt;""),'Q22028'!C10,"")</f>
        <v/>
      </c>
      <c r="D89" t="str">
        <f>IF(AND('Q22028'!B10&lt;&gt;"",'Q22028'!E10&lt;&gt;""),'Q22028'!D10,"")</f>
        <v/>
      </c>
      <c r="E89" t="str">
        <f>IF(AND('Q22028'!B10&lt;&gt;"",'Q22028'!E10&lt;&gt;""),'Q22028'!H10,"")</f>
        <v/>
      </c>
      <c r="F89" t="str">
        <f>IF(AND('Q22028'!B10&lt;&gt;"",'Q22028'!E10&lt;&gt;""),'Q22028'!F10,"")</f>
        <v/>
      </c>
      <c r="G89" t="str">
        <f>IF(AND('Q22028'!B10&lt;&gt;"",'Q22028'!E10&lt;&gt;""),'Q22028'!G10,"")</f>
        <v/>
      </c>
      <c r="H89" t="str">
        <f>IF(AND('Q22028'!B10&lt;&gt;"",'Q22028'!E10&lt;&gt;""),"Q22028","")</f>
        <v/>
      </c>
      <c r="I89" t="str">
        <f>IF(A89="Q12028",COUNTIF($A$2:$A89,"Q12028"),"")</f>
        <v/>
      </c>
      <c r="J89" t="str">
        <f>IF(A89="Q22028",COUNTIF($A$2:$A89,"Q22028"),"")</f>
        <v/>
      </c>
      <c r="K89" t="str">
        <f>IF(A89="Q32028",COUNTIF($A$2:$A89,"Q32028"),"")</f>
        <v/>
      </c>
      <c r="L89" t="str">
        <f>IF(A89="Q42028",COUNTIF($A$2:$A89,"Q42028"),"")</f>
        <v/>
      </c>
      <c r="M89" t="str">
        <f>IF(A89="Backlog",COUNTIF($A$2:$A89,"Backlog"),"")</f>
        <v/>
      </c>
    </row>
    <row r="90" spans="1:13">
      <c r="A90" t="str">
        <f>IF(AND('Q22028'!B11&lt;&gt;"",'Q22028'!E11&lt;&gt;""),'Q22028'!E11,"")</f>
        <v/>
      </c>
      <c r="B90" t="str">
        <f>IF(AND('Q22028'!B11&lt;&gt;"",'Q22028'!E11&lt;&gt;""),'Q22028'!B11,"")</f>
        <v/>
      </c>
      <c r="C90" t="str">
        <f>IF(AND('Q22028'!B11&lt;&gt;"",'Q22028'!E11&lt;&gt;""),'Q22028'!C11,"")</f>
        <v/>
      </c>
      <c r="D90" t="str">
        <f>IF(AND('Q22028'!B11&lt;&gt;"",'Q22028'!E11&lt;&gt;""),'Q22028'!D11,"")</f>
        <v/>
      </c>
      <c r="E90" t="str">
        <f>IF(AND('Q22028'!B11&lt;&gt;"",'Q22028'!E11&lt;&gt;""),'Q22028'!H11,"")</f>
        <v/>
      </c>
      <c r="F90" t="str">
        <f>IF(AND('Q22028'!B11&lt;&gt;"",'Q22028'!E11&lt;&gt;""),'Q22028'!F11,"")</f>
        <v/>
      </c>
      <c r="G90" t="str">
        <f>IF(AND('Q22028'!B11&lt;&gt;"",'Q22028'!E11&lt;&gt;""),'Q22028'!G11,"")</f>
        <v/>
      </c>
      <c r="H90" t="str">
        <f>IF(AND('Q22028'!B11&lt;&gt;"",'Q22028'!E11&lt;&gt;""),"Q22028","")</f>
        <v/>
      </c>
      <c r="I90" t="str">
        <f>IF(A90="Q12028",COUNTIF($A$2:$A90,"Q12028"),"")</f>
        <v/>
      </c>
      <c r="J90" t="str">
        <f>IF(A90="Q22028",COUNTIF($A$2:$A90,"Q22028"),"")</f>
        <v/>
      </c>
      <c r="K90" t="str">
        <f>IF(A90="Q32028",COUNTIF($A$2:$A90,"Q32028"),"")</f>
        <v/>
      </c>
      <c r="L90" t="str">
        <f>IF(A90="Q42028",COUNTIF($A$2:$A90,"Q42028"),"")</f>
        <v/>
      </c>
      <c r="M90" t="str">
        <f>IF(A90="Backlog",COUNTIF($A$2:$A90,"Backlog"),"")</f>
        <v/>
      </c>
    </row>
    <row r="91" spans="1:13">
      <c r="A91" t="str">
        <f>IF(AND('Q22028'!B12&lt;&gt;"",'Q22028'!E12&lt;&gt;""),'Q22028'!E12,"")</f>
        <v/>
      </c>
      <c r="B91" t="str">
        <f>IF(AND('Q22028'!B12&lt;&gt;"",'Q22028'!E12&lt;&gt;""),'Q22028'!B12,"")</f>
        <v/>
      </c>
      <c r="C91" t="str">
        <f>IF(AND('Q22028'!B12&lt;&gt;"",'Q22028'!E12&lt;&gt;""),'Q22028'!C12,"")</f>
        <v/>
      </c>
      <c r="D91" t="str">
        <f>IF(AND('Q22028'!B12&lt;&gt;"",'Q22028'!E12&lt;&gt;""),'Q22028'!D12,"")</f>
        <v/>
      </c>
      <c r="E91" t="str">
        <f>IF(AND('Q22028'!B12&lt;&gt;"",'Q22028'!E12&lt;&gt;""),'Q22028'!H12,"")</f>
        <v/>
      </c>
      <c r="F91" t="str">
        <f>IF(AND('Q22028'!B12&lt;&gt;"",'Q22028'!E12&lt;&gt;""),'Q22028'!F12,"")</f>
        <v/>
      </c>
      <c r="G91" t="str">
        <f>IF(AND('Q22028'!B12&lt;&gt;"",'Q22028'!E12&lt;&gt;""),'Q22028'!G12,"")</f>
        <v/>
      </c>
      <c r="H91" t="str">
        <f>IF(AND('Q22028'!B12&lt;&gt;"",'Q22028'!E12&lt;&gt;""),"Q22028","")</f>
        <v/>
      </c>
      <c r="I91" t="str">
        <f>IF(A91="Q12028",COUNTIF($A$2:$A91,"Q12028"),"")</f>
        <v/>
      </c>
      <c r="J91" t="str">
        <f>IF(A91="Q22028",COUNTIF($A$2:$A91,"Q22028"),"")</f>
        <v/>
      </c>
      <c r="K91" t="str">
        <f>IF(A91="Q32028",COUNTIF($A$2:$A91,"Q32028"),"")</f>
        <v/>
      </c>
      <c r="L91" t="str">
        <f>IF(A91="Q42028",COUNTIF($A$2:$A91,"Q42028"),"")</f>
        <v/>
      </c>
      <c r="M91" t="str">
        <f>IF(A91="Backlog",COUNTIF($A$2:$A91,"Backlog"),"")</f>
        <v/>
      </c>
    </row>
    <row r="92" spans="1:13">
      <c r="A92" t="str">
        <f>IF(AND('Q22028'!B13&lt;&gt;"",'Q22028'!E13&lt;&gt;""),'Q22028'!E13,"")</f>
        <v/>
      </c>
      <c r="B92" t="str">
        <f>IF(AND('Q22028'!B13&lt;&gt;"",'Q22028'!E13&lt;&gt;""),'Q22028'!B13,"")</f>
        <v/>
      </c>
      <c r="C92" t="str">
        <f>IF(AND('Q22028'!B13&lt;&gt;"",'Q22028'!E13&lt;&gt;""),'Q22028'!C13,"")</f>
        <v/>
      </c>
      <c r="D92" t="str">
        <f>IF(AND('Q22028'!B13&lt;&gt;"",'Q22028'!E13&lt;&gt;""),'Q22028'!D13,"")</f>
        <v/>
      </c>
      <c r="E92" t="str">
        <f>IF(AND('Q22028'!B13&lt;&gt;"",'Q22028'!E13&lt;&gt;""),'Q22028'!H13,"")</f>
        <v/>
      </c>
      <c r="F92" t="str">
        <f>IF(AND('Q22028'!B13&lt;&gt;"",'Q22028'!E13&lt;&gt;""),'Q22028'!F13,"")</f>
        <v/>
      </c>
      <c r="G92" t="str">
        <f>IF(AND('Q22028'!B13&lt;&gt;"",'Q22028'!E13&lt;&gt;""),'Q22028'!G13,"")</f>
        <v/>
      </c>
      <c r="H92" t="str">
        <f>IF(AND('Q22028'!B13&lt;&gt;"",'Q22028'!E13&lt;&gt;""),"Q22028","")</f>
        <v/>
      </c>
      <c r="I92" t="str">
        <f>IF(A92="Q12028",COUNTIF($A$2:$A92,"Q12028"),"")</f>
        <v/>
      </c>
      <c r="J92" t="str">
        <f>IF(A92="Q22028",COUNTIF($A$2:$A92,"Q22028"),"")</f>
        <v/>
      </c>
      <c r="K92" t="str">
        <f>IF(A92="Q32028",COUNTIF($A$2:$A92,"Q32028"),"")</f>
        <v/>
      </c>
      <c r="L92" t="str">
        <f>IF(A92="Q42028",COUNTIF($A$2:$A92,"Q42028"),"")</f>
        <v/>
      </c>
      <c r="M92" t="str">
        <f>IF(A92="Backlog",COUNTIF($A$2:$A92,"Backlog"),"")</f>
        <v/>
      </c>
    </row>
    <row r="93" spans="1:13">
      <c r="A93" t="str">
        <f>IF(AND('Q22028'!B14&lt;&gt;"",'Q22028'!E14&lt;&gt;""),'Q22028'!E14,"")</f>
        <v/>
      </c>
      <c r="B93" t="str">
        <f>IF(AND('Q22028'!B14&lt;&gt;"",'Q22028'!E14&lt;&gt;""),'Q22028'!B14,"")</f>
        <v/>
      </c>
      <c r="C93" t="str">
        <f>IF(AND('Q22028'!B14&lt;&gt;"",'Q22028'!E14&lt;&gt;""),'Q22028'!C14,"")</f>
        <v/>
      </c>
      <c r="D93" t="str">
        <f>IF(AND('Q22028'!B14&lt;&gt;"",'Q22028'!E14&lt;&gt;""),'Q22028'!D14,"")</f>
        <v/>
      </c>
      <c r="E93" t="str">
        <f>IF(AND('Q22028'!B14&lt;&gt;"",'Q22028'!E14&lt;&gt;""),'Q22028'!H14,"")</f>
        <v/>
      </c>
      <c r="F93" t="str">
        <f>IF(AND('Q22028'!B14&lt;&gt;"",'Q22028'!E14&lt;&gt;""),'Q22028'!F14,"")</f>
        <v/>
      </c>
      <c r="G93" t="str">
        <f>IF(AND('Q22028'!B14&lt;&gt;"",'Q22028'!E14&lt;&gt;""),'Q22028'!G14,"")</f>
        <v/>
      </c>
      <c r="H93" t="str">
        <f>IF(AND('Q22028'!B14&lt;&gt;"",'Q22028'!E14&lt;&gt;""),"Q22028","")</f>
        <v/>
      </c>
      <c r="I93" t="str">
        <f>IF(A93="Q12028",COUNTIF($A$2:$A93,"Q12028"),"")</f>
        <v/>
      </c>
      <c r="J93" t="str">
        <f>IF(A93="Q22028",COUNTIF($A$2:$A93,"Q22028"),"")</f>
        <v/>
      </c>
      <c r="K93" t="str">
        <f>IF(A93="Q32028",COUNTIF($A$2:$A93,"Q32028"),"")</f>
        <v/>
      </c>
      <c r="L93" t="str">
        <f>IF(A93="Q42028",COUNTIF($A$2:$A93,"Q42028"),"")</f>
        <v/>
      </c>
      <c r="M93" t="str">
        <f>IF(A93="Backlog",COUNTIF($A$2:$A93,"Backlog"),"")</f>
        <v/>
      </c>
    </row>
    <row r="94" spans="1:13">
      <c r="A94" t="str">
        <f>IF(AND('Q22028'!B15&lt;&gt;"",'Q22028'!E15&lt;&gt;""),'Q22028'!E15,"")</f>
        <v/>
      </c>
      <c r="B94" t="str">
        <f>IF(AND('Q22028'!B15&lt;&gt;"",'Q22028'!E15&lt;&gt;""),'Q22028'!B15,"")</f>
        <v/>
      </c>
      <c r="C94" t="str">
        <f>IF(AND('Q22028'!B15&lt;&gt;"",'Q22028'!E15&lt;&gt;""),'Q22028'!C15,"")</f>
        <v/>
      </c>
      <c r="D94" t="str">
        <f>IF(AND('Q22028'!B15&lt;&gt;"",'Q22028'!E15&lt;&gt;""),'Q22028'!D15,"")</f>
        <v/>
      </c>
      <c r="E94" t="str">
        <f>IF(AND('Q22028'!B15&lt;&gt;"",'Q22028'!E15&lt;&gt;""),'Q22028'!H15,"")</f>
        <v/>
      </c>
      <c r="F94" t="str">
        <f>IF(AND('Q22028'!B15&lt;&gt;"",'Q22028'!E15&lt;&gt;""),'Q22028'!F15,"")</f>
        <v/>
      </c>
      <c r="G94" t="str">
        <f>IF(AND('Q22028'!B15&lt;&gt;"",'Q22028'!E15&lt;&gt;""),'Q22028'!G15,"")</f>
        <v/>
      </c>
      <c r="H94" t="str">
        <f>IF(AND('Q22028'!B15&lt;&gt;"",'Q22028'!E15&lt;&gt;""),"Q22028","")</f>
        <v/>
      </c>
      <c r="I94" t="str">
        <f>IF(A94="Q12028",COUNTIF($A$2:$A94,"Q12028"),"")</f>
        <v/>
      </c>
      <c r="J94" t="str">
        <f>IF(A94="Q22028",COUNTIF($A$2:$A94,"Q22028"),"")</f>
        <v/>
      </c>
      <c r="K94" t="str">
        <f>IF(A94="Q32028",COUNTIF($A$2:$A94,"Q32028"),"")</f>
        <v/>
      </c>
      <c r="L94" t="str">
        <f>IF(A94="Q42028",COUNTIF($A$2:$A94,"Q42028"),"")</f>
        <v/>
      </c>
      <c r="M94" t="str">
        <f>IF(A94="Backlog",COUNTIF($A$2:$A94,"Backlog"),"")</f>
        <v/>
      </c>
    </row>
    <row r="95" spans="1:13">
      <c r="A95" t="str">
        <f>IF(AND('Q22028'!B16&lt;&gt;"",'Q22028'!E16&lt;&gt;""),'Q22028'!E16,"")</f>
        <v/>
      </c>
      <c r="B95" t="str">
        <f>IF(AND('Q22028'!B16&lt;&gt;"",'Q22028'!E16&lt;&gt;""),'Q22028'!B16,"")</f>
        <v/>
      </c>
      <c r="C95" t="str">
        <f>IF(AND('Q22028'!B16&lt;&gt;"",'Q22028'!E16&lt;&gt;""),'Q22028'!C16,"")</f>
        <v/>
      </c>
      <c r="D95" t="str">
        <f>IF(AND('Q22028'!B16&lt;&gt;"",'Q22028'!E16&lt;&gt;""),'Q22028'!D16,"")</f>
        <v/>
      </c>
      <c r="E95" t="str">
        <f>IF(AND('Q22028'!B16&lt;&gt;"",'Q22028'!E16&lt;&gt;""),'Q22028'!H16,"")</f>
        <v/>
      </c>
      <c r="F95" t="str">
        <f>IF(AND('Q22028'!B16&lt;&gt;"",'Q22028'!E16&lt;&gt;""),'Q22028'!F16,"")</f>
        <v/>
      </c>
      <c r="G95" t="str">
        <f>IF(AND('Q22028'!B16&lt;&gt;"",'Q22028'!E16&lt;&gt;""),'Q22028'!G16,"")</f>
        <v/>
      </c>
      <c r="H95" t="str">
        <f>IF(AND('Q22028'!B16&lt;&gt;"",'Q22028'!E16&lt;&gt;""),"Q22028","")</f>
        <v/>
      </c>
      <c r="I95" t="str">
        <f>IF(A95="Q12028",COUNTIF($A$2:$A95,"Q12028"),"")</f>
        <v/>
      </c>
      <c r="J95" t="str">
        <f>IF(A95="Q22028",COUNTIF($A$2:$A95,"Q22028"),"")</f>
        <v/>
      </c>
      <c r="K95" t="str">
        <f>IF(A95="Q32028",COUNTIF($A$2:$A95,"Q32028"),"")</f>
        <v/>
      </c>
      <c r="L95" t="str">
        <f>IF(A95="Q42028",COUNTIF($A$2:$A95,"Q42028"),"")</f>
        <v/>
      </c>
      <c r="M95" t="str">
        <f>IF(A95="Backlog",COUNTIF($A$2:$A95,"Backlog"),"")</f>
        <v/>
      </c>
    </row>
    <row r="96" spans="1:13">
      <c r="A96" t="str">
        <f>IF(AND('Q22028'!B17&lt;&gt;"",'Q22028'!E17&lt;&gt;""),'Q22028'!E17,"")</f>
        <v/>
      </c>
      <c r="B96" t="str">
        <f>IF(AND('Q22028'!B17&lt;&gt;"",'Q22028'!E17&lt;&gt;""),'Q22028'!B17,"")</f>
        <v/>
      </c>
      <c r="C96" t="str">
        <f>IF(AND('Q22028'!B17&lt;&gt;"",'Q22028'!E17&lt;&gt;""),'Q22028'!C17,"")</f>
        <v/>
      </c>
      <c r="D96" t="str">
        <f>IF(AND('Q22028'!B17&lt;&gt;"",'Q22028'!E17&lt;&gt;""),'Q22028'!D17,"")</f>
        <v/>
      </c>
      <c r="E96" t="str">
        <f>IF(AND('Q22028'!B17&lt;&gt;"",'Q22028'!E17&lt;&gt;""),'Q22028'!H17,"")</f>
        <v/>
      </c>
      <c r="F96" t="str">
        <f>IF(AND('Q22028'!B17&lt;&gt;"",'Q22028'!E17&lt;&gt;""),'Q22028'!F17,"")</f>
        <v/>
      </c>
      <c r="G96" t="str">
        <f>IF(AND('Q22028'!B17&lt;&gt;"",'Q22028'!E17&lt;&gt;""),'Q22028'!G17,"")</f>
        <v/>
      </c>
      <c r="H96" t="str">
        <f>IF(AND('Q22028'!B17&lt;&gt;"",'Q22028'!E17&lt;&gt;""),"Q22028","")</f>
        <v/>
      </c>
      <c r="I96" t="str">
        <f>IF(A96="Q12028",COUNTIF($A$2:$A96,"Q12028"),"")</f>
        <v/>
      </c>
      <c r="J96" t="str">
        <f>IF(A96="Q22028",COUNTIF($A$2:$A96,"Q22028"),"")</f>
        <v/>
      </c>
      <c r="K96" t="str">
        <f>IF(A96="Q32028",COUNTIF($A$2:$A96,"Q32028"),"")</f>
        <v/>
      </c>
      <c r="L96" t="str">
        <f>IF(A96="Q42028",COUNTIF($A$2:$A96,"Q42028"),"")</f>
        <v/>
      </c>
      <c r="M96" t="str">
        <f>IF(A96="Backlog",COUNTIF($A$2:$A96,"Backlog"),"")</f>
        <v/>
      </c>
    </row>
    <row r="97" spans="1:13">
      <c r="A97" t="str">
        <f>IF(AND('Q22028'!B18&lt;&gt;"",'Q22028'!E18&lt;&gt;""),'Q22028'!E18,"")</f>
        <v/>
      </c>
      <c r="B97" t="str">
        <f>IF(AND('Q22028'!B18&lt;&gt;"",'Q22028'!E18&lt;&gt;""),'Q22028'!B18,"")</f>
        <v/>
      </c>
      <c r="C97" t="str">
        <f>IF(AND('Q22028'!B18&lt;&gt;"",'Q22028'!E18&lt;&gt;""),'Q22028'!C18,"")</f>
        <v/>
      </c>
      <c r="D97" t="str">
        <f>IF(AND('Q22028'!B18&lt;&gt;"",'Q22028'!E18&lt;&gt;""),'Q22028'!D18,"")</f>
        <v/>
      </c>
      <c r="E97" t="str">
        <f>IF(AND('Q22028'!B18&lt;&gt;"",'Q22028'!E18&lt;&gt;""),'Q22028'!H18,"")</f>
        <v/>
      </c>
      <c r="F97" t="str">
        <f>IF(AND('Q22028'!B18&lt;&gt;"",'Q22028'!E18&lt;&gt;""),'Q22028'!F18,"")</f>
        <v/>
      </c>
      <c r="G97" t="str">
        <f>IF(AND('Q22028'!B18&lt;&gt;"",'Q22028'!E18&lt;&gt;""),'Q22028'!G18,"")</f>
        <v/>
      </c>
      <c r="H97" t="str">
        <f>IF(AND('Q22028'!B18&lt;&gt;"",'Q22028'!E18&lt;&gt;""),"Q22028","")</f>
        <v/>
      </c>
      <c r="I97" t="str">
        <f>IF(A97="Q12028",COUNTIF($A$2:$A97,"Q12028"),"")</f>
        <v/>
      </c>
      <c r="J97" t="str">
        <f>IF(A97="Q22028",COUNTIF($A$2:$A97,"Q22028"),"")</f>
        <v/>
      </c>
      <c r="K97" t="str">
        <f>IF(A97="Q32028",COUNTIF($A$2:$A97,"Q32028"),"")</f>
        <v/>
      </c>
      <c r="L97" t="str">
        <f>IF(A97="Q42028",COUNTIF($A$2:$A97,"Q42028"),"")</f>
        <v/>
      </c>
      <c r="M97" t="str">
        <f>IF(A97="Backlog",COUNTIF($A$2:$A97,"Backlog"),"")</f>
        <v/>
      </c>
    </row>
    <row r="98" spans="1:13">
      <c r="A98" t="str">
        <f>IF(AND('Q22028'!B19&lt;&gt;"",'Q22028'!E19&lt;&gt;""),'Q22028'!E19,"")</f>
        <v/>
      </c>
      <c r="B98" t="str">
        <f>IF(AND('Q22028'!B19&lt;&gt;"",'Q22028'!E19&lt;&gt;""),'Q22028'!B19,"")</f>
        <v/>
      </c>
      <c r="C98" t="str">
        <f>IF(AND('Q22028'!B19&lt;&gt;"",'Q22028'!E19&lt;&gt;""),'Q22028'!C19,"")</f>
        <v/>
      </c>
      <c r="D98" t="str">
        <f>IF(AND('Q22028'!B19&lt;&gt;"",'Q22028'!E19&lt;&gt;""),'Q22028'!D19,"")</f>
        <v/>
      </c>
      <c r="E98" t="str">
        <f>IF(AND('Q22028'!B19&lt;&gt;"",'Q22028'!E19&lt;&gt;""),'Q22028'!H19,"")</f>
        <v/>
      </c>
      <c r="F98" t="str">
        <f>IF(AND('Q22028'!B19&lt;&gt;"",'Q22028'!E19&lt;&gt;""),'Q22028'!F19,"")</f>
        <v/>
      </c>
      <c r="G98" t="str">
        <f>IF(AND('Q22028'!B19&lt;&gt;"",'Q22028'!E19&lt;&gt;""),'Q22028'!G19,"")</f>
        <v/>
      </c>
      <c r="H98" t="str">
        <f>IF(AND('Q22028'!B19&lt;&gt;"",'Q22028'!E19&lt;&gt;""),"Q22028","")</f>
        <v/>
      </c>
      <c r="I98" t="str">
        <f>IF(A98="Q12028",COUNTIF($A$2:$A98,"Q12028"),"")</f>
        <v/>
      </c>
      <c r="J98" t="str">
        <f>IF(A98="Q22028",COUNTIF($A$2:$A98,"Q22028"),"")</f>
        <v/>
      </c>
      <c r="K98" t="str">
        <f>IF(A98="Q32028",COUNTIF($A$2:$A98,"Q32028"),"")</f>
        <v/>
      </c>
      <c r="L98" t="str">
        <f>IF(A98="Q42028",COUNTIF($A$2:$A98,"Q42028"),"")</f>
        <v/>
      </c>
      <c r="M98" t="str">
        <f>IF(A98="Backlog",COUNTIF($A$2:$A98,"Backlog"),"")</f>
        <v/>
      </c>
    </row>
    <row r="99" spans="1:13">
      <c r="A99" t="str">
        <f>IF(AND('Q22028'!B20&lt;&gt;"",'Q22028'!E20&lt;&gt;""),'Q22028'!E20,"")</f>
        <v/>
      </c>
      <c r="B99" t="str">
        <f>IF(AND('Q22028'!B20&lt;&gt;"",'Q22028'!E20&lt;&gt;""),'Q22028'!B20,"")</f>
        <v/>
      </c>
      <c r="C99" t="str">
        <f>IF(AND('Q22028'!B20&lt;&gt;"",'Q22028'!E20&lt;&gt;""),'Q22028'!C20,"")</f>
        <v/>
      </c>
      <c r="D99" t="str">
        <f>IF(AND('Q22028'!B20&lt;&gt;"",'Q22028'!E20&lt;&gt;""),'Q22028'!D20,"")</f>
        <v/>
      </c>
      <c r="E99" t="str">
        <f>IF(AND('Q22028'!B20&lt;&gt;"",'Q22028'!E20&lt;&gt;""),'Q22028'!H20,"")</f>
        <v/>
      </c>
      <c r="F99" t="str">
        <f>IF(AND('Q22028'!B20&lt;&gt;"",'Q22028'!E20&lt;&gt;""),'Q22028'!F20,"")</f>
        <v/>
      </c>
      <c r="G99" t="str">
        <f>IF(AND('Q22028'!B20&lt;&gt;"",'Q22028'!E20&lt;&gt;""),'Q22028'!G20,"")</f>
        <v/>
      </c>
      <c r="H99" t="str">
        <f>IF(AND('Q22028'!B20&lt;&gt;"",'Q22028'!E20&lt;&gt;""),"Q22028","")</f>
        <v/>
      </c>
      <c r="I99" t="str">
        <f>IF(A99="Q12028",COUNTIF($A$2:$A99,"Q12028"),"")</f>
        <v/>
      </c>
      <c r="J99" t="str">
        <f>IF(A99="Q22028",COUNTIF($A$2:$A99,"Q22028"),"")</f>
        <v/>
      </c>
      <c r="K99" t="str">
        <f>IF(A99="Q32028",COUNTIF($A$2:$A99,"Q32028"),"")</f>
        <v/>
      </c>
      <c r="L99" t="str">
        <f>IF(A99="Q42028",COUNTIF($A$2:$A99,"Q42028"),"")</f>
        <v/>
      </c>
      <c r="M99" t="str">
        <f>IF(A99="Backlog",COUNTIF($A$2:$A99,"Backlog"),"")</f>
        <v/>
      </c>
    </row>
    <row r="100" spans="1:13">
      <c r="A100" t="str">
        <f>IF(AND('Q22028'!B21&lt;&gt;"",'Q22028'!E21&lt;&gt;""),'Q22028'!E21,"")</f>
        <v/>
      </c>
      <c r="B100" t="str">
        <f>IF(AND('Q22028'!B21&lt;&gt;"",'Q22028'!E21&lt;&gt;""),'Q22028'!B21,"")</f>
        <v/>
      </c>
      <c r="C100" t="str">
        <f>IF(AND('Q22028'!B21&lt;&gt;"",'Q22028'!E21&lt;&gt;""),'Q22028'!C21,"")</f>
        <v/>
      </c>
      <c r="D100" t="str">
        <f>IF(AND('Q22028'!B21&lt;&gt;"",'Q22028'!E21&lt;&gt;""),'Q22028'!D21,"")</f>
        <v/>
      </c>
      <c r="E100" t="str">
        <f>IF(AND('Q22028'!B21&lt;&gt;"",'Q22028'!E21&lt;&gt;""),'Q22028'!H21,"")</f>
        <v/>
      </c>
      <c r="F100" t="str">
        <f>IF(AND('Q22028'!B21&lt;&gt;"",'Q22028'!E21&lt;&gt;""),'Q22028'!F21,"")</f>
        <v/>
      </c>
      <c r="G100" t="str">
        <f>IF(AND('Q22028'!B21&lt;&gt;"",'Q22028'!E21&lt;&gt;""),'Q22028'!G21,"")</f>
        <v/>
      </c>
      <c r="H100" t="str">
        <f>IF(AND('Q22028'!B21&lt;&gt;"",'Q22028'!E21&lt;&gt;""),"Q22028","")</f>
        <v/>
      </c>
      <c r="I100" t="str">
        <f>IF(A100="Q12028",COUNTIF($A$2:$A100,"Q12028"),"")</f>
        <v/>
      </c>
      <c r="J100" t="str">
        <f>IF(A100="Q22028",COUNTIF($A$2:$A100,"Q22028"),"")</f>
        <v/>
      </c>
      <c r="K100" t="str">
        <f>IF(A100="Q32028",COUNTIF($A$2:$A100,"Q32028"),"")</f>
        <v/>
      </c>
      <c r="L100" t="str">
        <f>IF(A100="Q42028",COUNTIF($A$2:$A100,"Q42028"),"")</f>
        <v/>
      </c>
      <c r="M100" t="str">
        <f>IF(A100="Backlog",COUNTIF($A$2:$A100,"Backlog"),"")</f>
        <v/>
      </c>
    </row>
    <row r="101" spans="1:13">
      <c r="A101" t="str">
        <f>IF(AND('Q22028'!B22&lt;&gt;"",'Q22028'!E22&lt;&gt;""),'Q22028'!E22,"")</f>
        <v/>
      </c>
      <c r="B101" t="str">
        <f>IF(AND('Q22028'!B22&lt;&gt;"",'Q22028'!E22&lt;&gt;""),'Q22028'!B22,"")</f>
        <v/>
      </c>
      <c r="C101" t="str">
        <f>IF(AND('Q22028'!B22&lt;&gt;"",'Q22028'!E22&lt;&gt;""),'Q22028'!C22,"")</f>
        <v/>
      </c>
      <c r="D101" t="str">
        <f>IF(AND('Q22028'!B22&lt;&gt;"",'Q22028'!E22&lt;&gt;""),'Q22028'!D22,"")</f>
        <v/>
      </c>
      <c r="E101" t="str">
        <f>IF(AND('Q22028'!B22&lt;&gt;"",'Q22028'!E22&lt;&gt;""),'Q22028'!H22,"")</f>
        <v/>
      </c>
      <c r="F101" t="str">
        <f>IF(AND('Q22028'!B22&lt;&gt;"",'Q22028'!E22&lt;&gt;""),'Q22028'!F22,"")</f>
        <v/>
      </c>
      <c r="G101" t="str">
        <f>IF(AND('Q22028'!B22&lt;&gt;"",'Q22028'!E22&lt;&gt;""),'Q22028'!G22,"")</f>
        <v/>
      </c>
      <c r="H101" t="str">
        <f>IF(AND('Q22028'!B22&lt;&gt;"",'Q22028'!E22&lt;&gt;""),"Q22028","")</f>
        <v/>
      </c>
      <c r="I101" t="str">
        <f>IF(A101="Q12028",COUNTIF($A$2:$A101,"Q12028"),"")</f>
        <v/>
      </c>
      <c r="J101" t="str">
        <f>IF(A101="Q22028",COUNTIF($A$2:$A101,"Q22028"),"")</f>
        <v/>
      </c>
      <c r="K101" t="str">
        <f>IF(A101="Q32028",COUNTIF($A$2:$A101,"Q32028"),"")</f>
        <v/>
      </c>
      <c r="L101" t="str">
        <f>IF(A101="Q42028",COUNTIF($A$2:$A101,"Q42028"),"")</f>
        <v/>
      </c>
      <c r="M101" t="str">
        <f>IF(A101="Backlog",COUNTIF($A$2:$A101,"Backlog"),"")</f>
        <v/>
      </c>
    </row>
    <row r="102" spans="1:13">
      <c r="A102" t="str">
        <f>IF(AND('Q22028'!B23&lt;&gt;"",'Q22028'!E23&lt;&gt;""),'Q22028'!E23,"")</f>
        <v/>
      </c>
      <c r="B102" t="str">
        <f>IF(AND('Q22028'!B23&lt;&gt;"",'Q22028'!E23&lt;&gt;""),'Q22028'!B23,"")</f>
        <v/>
      </c>
      <c r="C102" t="str">
        <f>IF(AND('Q22028'!B23&lt;&gt;"",'Q22028'!E23&lt;&gt;""),'Q22028'!C23,"")</f>
        <v/>
      </c>
      <c r="D102" t="str">
        <f>IF(AND('Q22028'!B23&lt;&gt;"",'Q22028'!E23&lt;&gt;""),'Q22028'!D23,"")</f>
        <v/>
      </c>
      <c r="E102" t="str">
        <f>IF(AND('Q22028'!B23&lt;&gt;"",'Q22028'!E23&lt;&gt;""),'Q22028'!H23,"")</f>
        <v/>
      </c>
      <c r="F102" t="str">
        <f>IF(AND('Q22028'!B23&lt;&gt;"",'Q22028'!E23&lt;&gt;""),'Q22028'!F23,"")</f>
        <v/>
      </c>
      <c r="G102" t="str">
        <f>IF(AND('Q22028'!B23&lt;&gt;"",'Q22028'!E23&lt;&gt;""),'Q22028'!G23,"")</f>
        <v/>
      </c>
      <c r="H102" t="str">
        <f>IF(AND('Q22028'!B23&lt;&gt;"",'Q22028'!E23&lt;&gt;""),"Q22028","")</f>
        <v/>
      </c>
      <c r="I102" t="str">
        <f>IF(A102="Q12028",COUNTIF($A$2:$A102,"Q12028"),"")</f>
        <v/>
      </c>
      <c r="J102" t="str">
        <f>IF(A102="Q22028",COUNTIF($A$2:$A102,"Q22028"),"")</f>
        <v/>
      </c>
      <c r="K102" t="str">
        <f>IF(A102="Q32028",COUNTIF($A$2:$A102,"Q32028"),"")</f>
        <v/>
      </c>
      <c r="L102" t="str">
        <f>IF(A102="Q42028",COUNTIF($A$2:$A102,"Q42028"),"")</f>
        <v/>
      </c>
      <c r="M102" t="str">
        <f>IF(A102="Backlog",COUNTIF($A$2:$A102,"Backlog"),"")</f>
        <v/>
      </c>
    </row>
    <row r="103" spans="1:13">
      <c r="A103" t="str">
        <f>IF(AND('Q22028'!B24&lt;&gt;"",'Q22028'!E24&lt;&gt;""),'Q22028'!E24,"")</f>
        <v/>
      </c>
      <c r="B103" t="str">
        <f>IF(AND('Q22028'!B24&lt;&gt;"",'Q22028'!E24&lt;&gt;""),'Q22028'!B24,"")</f>
        <v/>
      </c>
      <c r="C103" t="str">
        <f>IF(AND('Q22028'!B24&lt;&gt;"",'Q22028'!E24&lt;&gt;""),'Q22028'!C24,"")</f>
        <v/>
      </c>
      <c r="D103" t="str">
        <f>IF(AND('Q22028'!B24&lt;&gt;"",'Q22028'!E24&lt;&gt;""),'Q22028'!D24,"")</f>
        <v/>
      </c>
      <c r="E103" t="str">
        <f>IF(AND('Q22028'!B24&lt;&gt;"",'Q22028'!E24&lt;&gt;""),'Q22028'!H24,"")</f>
        <v/>
      </c>
      <c r="F103" t="str">
        <f>IF(AND('Q22028'!B24&lt;&gt;"",'Q22028'!E24&lt;&gt;""),'Q22028'!F24,"")</f>
        <v/>
      </c>
      <c r="G103" t="str">
        <f>IF(AND('Q22028'!B24&lt;&gt;"",'Q22028'!E24&lt;&gt;""),'Q22028'!G24,"")</f>
        <v/>
      </c>
      <c r="H103" t="str">
        <f>IF(AND('Q22028'!B24&lt;&gt;"",'Q22028'!E24&lt;&gt;""),"Q22028","")</f>
        <v/>
      </c>
      <c r="I103" t="str">
        <f>IF(A103="Q12028",COUNTIF($A$2:$A103,"Q12028"),"")</f>
        <v/>
      </c>
      <c r="J103" t="str">
        <f>IF(A103="Q22028",COUNTIF($A$2:$A103,"Q22028"),"")</f>
        <v/>
      </c>
      <c r="K103" t="str">
        <f>IF(A103="Q32028",COUNTIF($A$2:$A103,"Q32028"),"")</f>
        <v/>
      </c>
      <c r="L103" t="str">
        <f>IF(A103="Q42028",COUNTIF($A$2:$A103,"Q42028"),"")</f>
        <v/>
      </c>
      <c r="M103" t="str">
        <f>IF(A103="Backlog",COUNTIF($A$2:$A103,"Backlog"),"")</f>
        <v/>
      </c>
    </row>
    <row r="104" spans="1:13">
      <c r="A104" t="str">
        <f>IF(AND('Q22028'!B25&lt;&gt;"",'Q22028'!E25&lt;&gt;""),'Q22028'!E25,"")</f>
        <v/>
      </c>
      <c r="B104" t="str">
        <f>IF(AND('Q22028'!B25&lt;&gt;"",'Q22028'!E25&lt;&gt;""),'Q22028'!B25,"")</f>
        <v/>
      </c>
      <c r="C104" t="str">
        <f>IF(AND('Q22028'!B25&lt;&gt;"",'Q22028'!E25&lt;&gt;""),'Q22028'!C25,"")</f>
        <v/>
      </c>
      <c r="D104" t="str">
        <f>IF(AND('Q22028'!B25&lt;&gt;"",'Q22028'!E25&lt;&gt;""),'Q22028'!D25,"")</f>
        <v/>
      </c>
      <c r="E104" t="str">
        <f>IF(AND('Q22028'!B25&lt;&gt;"",'Q22028'!E25&lt;&gt;""),'Q22028'!H25,"")</f>
        <v/>
      </c>
      <c r="F104" t="str">
        <f>IF(AND('Q22028'!B25&lt;&gt;"",'Q22028'!E25&lt;&gt;""),'Q22028'!F25,"")</f>
        <v/>
      </c>
      <c r="G104" t="str">
        <f>IF(AND('Q22028'!B25&lt;&gt;"",'Q22028'!E25&lt;&gt;""),'Q22028'!G25,"")</f>
        <v/>
      </c>
      <c r="H104" t="str">
        <f>IF(AND('Q22028'!B25&lt;&gt;"",'Q22028'!E25&lt;&gt;""),"Q22028","")</f>
        <v/>
      </c>
      <c r="I104" t="str">
        <f>IF(A104="Q12028",COUNTIF($A$2:$A104,"Q12028"),"")</f>
        <v/>
      </c>
      <c r="J104" t="str">
        <f>IF(A104="Q22028",COUNTIF($A$2:$A104,"Q22028"),"")</f>
        <v/>
      </c>
      <c r="K104" t="str">
        <f>IF(A104="Q32028",COUNTIF($A$2:$A104,"Q32028"),"")</f>
        <v/>
      </c>
      <c r="L104" t="str">
        <f>IF(A104="Q42028",COUNTIF($A$2:$A104,"Q42028"),"")</f>
        <v/>
      </c>
      <c r="M104" t="str">
        <f>IF(A104="Backlog",COUNTIF($A$2:$A104,"Backlog"),"")</f>
        <v/>
      </c>
    </row>
    <row r="105" spans="1:13">
      <c r="A105" t="str">
        <f>IF(AND('Q22028'!B26&lt;&gt;"",'Q22028'!E26&lt;&gt;""),'Q22028'!E26,"")</f>
        <v/>
      </c>
      <c r="B105" t="str">
        <f>IF(AND('Q22028'!B26&lt;&gt;"",'Q22028'!E26&lt;&gt;""),'Q22028'!B26,"")</f>
        <v/>
      </c>
      <c r="C105" t="str">
        <f>IF(AND('Q22028'!B26&lt;&gt;"",'Q22028'!E26&lt;&gt;""),'Q22028'!C26,"")</f>
        <v/>
      </c>
      <c r="D105" t="str">
        <f>IF(AND('Q22028'!B26&lt;&gt;"",'Q22028'!E26&lt;&gt;""),'Q22028'!D26,"")</f>
        <v/>
      </c>
      <c r="E105" t="str">
        <f>IF(AND('Q22028'!B26&lt;&gt;"",'Q22028'!E26&lt;&gt;""),'Q22028'!H26,"")</f>
        <v/>
      </c>
      <c r="F105" t="str">
        <f>IF(AND('Q22028'!B26&lt;&gt;"",'Q22028'!E26&lt;&gt;""),'Q22028'!F26,"")</f>
        <v/>
      </c>
      <c r="G105" t="str">
        <f>IF(AND('Q22028'!B26&lt;&gt;"",'Q22028'!E26&lt;&gt;""),'Q22028'!G26,"")</f>
        <v/>
      </c>
      <c r="H105" t="str">
        <f>IF(AND('Q22028'!B26&lt;&gt;"",'Q22028'!E26&lt;&gt;""),"Q22028","")</f>
        <v/>
      </c>
      <c r="I105" t="str">
        <f>IF(A105="Q12028",COUNTIF($A$2:$A105,"Q12028"),"")</f>
        <v/>
      </c>
      <c r="J105" t="str">
        <f>IF(A105="Q22028",COUNTIF($A$2:$A105,"Q22028"),"")</f>
        <v/>
      </c>
      <c r="K105" t="str">
        <f>IF(A105="Q32028",COUNTIF($A$2:$A105,"Q32028"),"")</f>
        <v/>
      </c>
      <c r="L105" t="str">
        <f>IF(A105="Q42028",COUNTIF($A$2:$A105,"Q42028"),"")</f>
        <v/>
      </c>
      <c r="M105" t="str">
        <f>IF(A105="Backlog",COUNTIF($A$2:$A105,"Backlog"),"")</f>
        <v/>
      </c>
    </row>
    <row r="106" spans="1:13">
      <c r="A106" t="str">
        <f>IF(AND('Q22028'!B27&lt;&gt;"",'Q22028'!E27&lt;&gt;""),'Q22028'!E27,"")</f>
        <v/>
      </c>
      <c r="B106" t="str">
        <f>IF(AND('Q22028'!B27&lt;&gt;"",'Q22028'!E27&lt;&gt;""),'Q22028'!B27,"")</f>
        <v/>
      </c>
      <c r="C106" t="str">
        <f>IF(AND('Q22028'!B27&lt;&gt;"",'Q22028'!E27&lt;&gt;""),'Q22028'!C27,"")</f>
        <v/>
      </c>
      <c r="D106" t="str">
        <f>IF(AND('Q22028'!B27&lt;&gt;"",'Q22028'!E27&lt;&gt;""),'Q22028'!D27,"")</f>
        <v/>
      </c>
      <c r="E106" t="str">
        <f>IF(AND('Q22028'!B27&lt;&gt;"",'Q22028'!E27&lt;&gt;""),'Q22028'!H27,"")</f>
        <v/>
      </c>
      <c r="F106" t="str">
        <f>IF(AND('Q22028'!B27&lt;&gt;"",'Q22028'!E27&lt;&gt;""),'Q22028'!F27,"")</f>
        <v/>
      </c>
      <c r="G106" t="str">
        <f>IF(AND('Q22028'!B27&lt;&gt;"",'Q22028'!E27&lt;&gt;""),'Q22028'!G27,"")</f>
        <v/>
      </c>
      <c r="H106" t="str">
        <f>IF(AND('Q22028'!B27&lt;&gt;"",'Q22028'!E27&lt;&gt;""),"Q22028","")</f>
        <v/>
      </c>
      <c r="I106" t="str">
        <f>IF(A106="Q12028",COUNTIF($A$2:$A106,"Q12028"),"")</f>
        <v/>
      </c>
      <c r="J106" t="str">
        <f>IF(A106="Q22028",COUNTIF($A$2:$A106,"Q22028"),"")</f>
        <v/>
      </c>
      <c r="K106" t="str">
        <f>IF(A106="Q32028",COUNTIF($A$2:$A106,"Q32028"),"")</f>
        <v/>
      </c>
      <c r="L106" t="str">
        <f>IF(A106="Q42028",COUNTIF($A$2:$A106,"Q42028"),"")</f>
        <v/>
      </c>
      <c r="M106" t="str">
        <f>IF(A106="Backlog",COUNTIF($A$2:$A106,"Backlog"),"")</f>
        <v/>
      </c>
    </row>
    <row r="107" spans="1:13">
      <c r="A107" t="str">
        <f>IF(AND('Q22028'!B28&lt;&gt;"",'Q22028'!E28&lt;&gt;""),'Q22028'!E28,"")</f>
        <v/>
      </c>
      <c r="B107" t="str">
        <f>IF(AND('Q22028'!B28&lt;&gt;"",'Q22028'!E28&lt;&gt;""),'Q22028'!B28,"")</f>
        <v/>
      </c>
      <c r="C107" t="str">
        <f>IF(AND('Q22028'!B28&lt;&gt;"",'Q22028'!E28&lt;&gt;""),'Q22028'!C28,"")</f>
        <v/>
      </c>
      <c r="D107" t="str">
        <f>IF(AND('Q22028'!B28&lt;&gt;"",'Q22028'!E28&lt;&gt;""),'Q22028'!D28,"")</f>
        <v/>
      </c>
      <c r="E107" t="str">
        <f>IF(AND('Q22028'!B28&lt;&gt;"",'Q22028'!E28&lt;&gt;""),'Q22028'!H28,"")</f>
        <v/>
      </c>
      <c r="F107" t="str">
        <f>IF(AND('Q22028'!B28&lt;&gt;"",'Q22028'!E28&lt;&gt;""),'Q22028'!F28,"")</f>
        <v/>
      </c>
      <c r="G107" t="str">
        <f>IF(AND('Q22028'!B28&lt;&gt;"",'Q22028'!E28&lt;&gt;""),'Q22028'!G28,"")</f>
        <v/>
      </c>
      <c r="H107" t="str">
        <f>IF(AND('Q22028'!B28&lt;&gt;"",'Q22028'!E28&lt;&gt;""),"Q22028","")</f>
        <v/>
      </c>
      <c r="I107" t="str">
        <f>IF(A107="Q12028",COUNTIF($A$2:$A107,"Q12028"),"")</f>
        <v/>
      </c>
      <c r="J107" t="str">
        <f>IF(A107="Q22028",COUNTIF($A$2:$A107,"Q22028"),"")</f>
        <v/>
      </c>
      <c r="K107" t="str">
        <f>IF(A107="Q32028",COUNTIF($A$2:$A107,"Q32028"),"")</f>
        <v/>
      </c>
      <c r="L107" t="str">
        <f>IF(A107="Q42028",COUNTIF($A$2:$A107,"Q42028"),"")</f>
        <v/>
      </c>
      <c r="M107" t="str">
        <f>IF(A107="Backlog",COUNTIF($A$2:$A107,"Backlog"),"")</f>
        <v/>
      </c>
    </row>
    <row r="108" spans="1:13">
      <c r="A108" t="str">
        <f>IF(AND('Q22028'!B29&lt;&gt;"",'Q22028'!E29&lt;&gt;""),'Q22028'!E29,"")</f>
        <v/>
      </c>
      <c r="B108" t="str">
        <f>IF(AND('Q22028'!B29&lt;&gt;"",'Q22028'!E29&lt;&gt;""),'Q22028'!B29,"")</f>
        <v/>
      </c>
      <c r="C108" t="str">
        <f>IF(AND('Q22028'!B29&lt;&gt;"",'Q22028'!E29&lt;&gt;""),'Q22028'!C29,"")</f>
        <v/>
      </c>
      <c r="D108" t="str">
        <f>IF(AND('Q22028'!B29&lt;&gt;"",'Q22028'!E29&lt;&gt;""),'Q22028'!D29,"")</f>
        <v/>
      </c>
      <c r="E108" t="str">
        <f>IF(AND('Q22028'!B29&lt;&gt;"",'Q22028'!E29&lt;&gt;""),'Q22028'!H29,"")</f>
        <v/>
      </c>
      <c r="F108" t="str">
        <f>IF(AND('Q22028'!B29&lt;&gt;"",'Q22028'!E29&lt;&gt;""),'Q22028'!F29,"")</f>
        <v/>
      </c>
      <c r="G108" t="str">
        <f>IF(AND('Q22028'!B29&lt;&gt;"",'Q22028'!E29&lt;&gt;""),'Q22028'!G29,"")</f>
        <v/>
      </c>
      <c r="H108" t="str">
        <f>IF(AND('Q22028'!B29&lt;&gt;"",'Q22028'!E29&lt;&gt;""),"Q22028","")</f>
        <v/>
      </c>
      <c r="I108" t="str">
        <f>IF(A108="Q12028",COUNTIF($A$2:$A108,"Q12028"),"")</f>
        <v/>
      </c>
      <c r="J108" t="str">
        <f>IF(A108="Q22028",COUNTIF($A$2:$A108,"Q22028"),"")</f>
        <v/>
      </c>
      <c r="K108" t="str">
        <f>IF(A108="Q32028",COUNTIF($A$2:$A108,"Q32028"),"")</f>
        <v/>
      </c>
      <c r="L108" t="str">
        <f>IF(A108="Q42028",COUNTIF($A$2:$A108,"Q42028"),"")</f>
        <v/>
      </c>
      <c r="M108" t="str">
        <f>IF(A108="Backlog",COUNTIF($A$2:$A108,"Backlog"),"")</f>
        <v/>
      </c>
    </row>
    <row r="109" spans="1:13">
      <c r="A109" t="str">
        <f>IF(AND('Q22028'!B30&lt;&gt;"",'Q22028'!E30&lt;&gt;""),'Q22028'!E30,"")</f>
        <v/>
      </c>
      <c r="B109" t="str">
        <f>IF(AND('Q22028'!B30&lt;&gt;"",'Q22028'!E30&lt;&gt;""),'Q22028'!B30,"")</f>
        <v/>
      </c>
      <c r="C109" t="str">
        <f>IF(AND('Q22028'!B30&lt;&gt;"",'Q22028'!E30&lt;&gt;""),'Q22028'!C30,"")</f>
        <v/>
      </c>
      <c r="D109" t="str">
        <f>IF(AND('Q22028'!B30&lt;&gt;"",'Q22028'!E30&lt;&gt;""),'Q22028'!D30,"")</f>
        <v/>
      </c>
      <c r="E109" t="str">
        <f>IF(AND('Q22028'!B30&lt;&gt;"",'Q22028'!E30&lt;&gt;""),'Q22028'!H30,"")</f>
        <v/>
      </c>
      <c r="F109" t="str">
        <f>IF(AND('Q22028'!B30&lt;&gt;"",'Q22028'!E30&lt;&gt;""),'Q22028'!F30,"")</f>
        <v/>
      </c>
      <c r="G109" t="str">
        <f>IF(AND('Q22028'!B30&lt;&gt;"",'Q22028'!E30&lt;&gt;""),'Q22028'!G30,"")</f>
        <v/>
      </c>
      <c r="H109" t="str">
        <f>IF(AND('Q22028'!B30&lt;&gt;"",'Q22028'!E30&lt;&gt;""),"Q22028","")</f>
        <v/>
      </c>
      <c r="I109" t="str">
        <f>IF(A109="Q12028",COUNTIF($A$2:$A109,"Q12028"),"")</f>
        <v/>
      </c>
      <c r="J109" t="str">
        <f>IF(A109="Q22028",COUNTIF($A$2:$A109,"Q22028"),"")</f>
        <v/>
      </c>
      <c r="K109" t="str">
        <f>IF(A109="Q32028",COUNTIF($A$2:$A109,"Q32028"),"")</f>
        <v/>
      </c>
      <c r="L109" t="str">
        <f>IF(A109="Q42028",COUNTIF($A$2:$A109,"Q42028"),"")</f>
        <v/>
      </c>
      <c r="M109" t="str">
        <f>IF(A109="Backlog",COUNTIF($A$2:$A109,"Backlog"),"")</f>
        <v/>
      </c>
    </row>
    <row r="110" spans="1:13">
      <c r="A110" t="str">
        <f>IF(AND('Q22028'!B31&lt;&gt;"",'Q22028'!E31&lt;&gt;""),'Q22028'!E31,"")</f>
        <v/>
      </c>
      <c r="B110" t="str">
        <f>IF(AND('Q22028'!B31&lt;&gt;"",'Q22028'!E31&lt;&gt;""),'Q22028'!B31,"")</f>
        <v/>
      </c>
      <c r="C110" t="str">
        <f>IF(AND('Q22028'!B31&lt;&gt;"",'Q22028'!E31&lt;&gt;""),'Q22028'!C31,"")</f>
        <v/>
      </c>
      <c r="D110" t="str">
        <f>IF(AND('Q22028'!B31&lt;&gt;"",'Q22028'!E31&lt;&gt;""),'Q22028'!D31,"")</f>
        <v/>
      </c>
      <c r="E110" t="str">
        <f>IF(AND('Q22028'!B31&lt;&gt;"",'Q22028'!E31&lt;&gt;""),'Q22028'!H31,"")</f>
        <v/>
      </c>
      <c r="F110" t="str">
        <f>IF(AND('Q22028'!B31&lt;&gt;"",'Q22028'!E31&lt;&gt;""),'Q22028'!F31,"")</f>
        <v/>
      </c>
      <c r="G110" t="str">
        <f>IF(AND('Q22028'!B31&lt;&gt;"",'Q22028'!E31&lt;&gt;""),'Q22028'!G31,"")</f>
        <v/>
      </c>
      <c r="H110" t="str">
        <f>IF(AND('Q22028'!B31&lt;&gt;"",'Q22028'!E31&lt;&gt;""),"Q22028","")</f>
        <v/>
      </c>
      <c r="I110" t="str">
        <f>IF(A110="Q12028",COUNTIF($A$2:$A110,"Q12028"),"")</f>
        <v/>
      </c>
      <c r="J110" t="str">
        <f>IF(A110="Q22028",COUNTIF($A$2:$A110,"Q22028"),"")</f>
        <v/>
      </c>
      <c r="K110" t="str">
        <f>IF(A110="Q32028",COUNTIF($A$2:$A110,"Q32028"),"")</f>
        <v/>
      </c>
      <c r="L110" t="str">
        <f>IF(A110="Q42028",COUNTIF($A$2:$A110,"Q42028"),"")</f>
        <v/>
      </c>
      <c r="M110" t="str">
        <f>IF(A110="Backlog",COUNTIF($A$2:$A110,"Backlog"),"")</f>
        <v/>
      </c>
    </row>
    <row r="111" spans="1:13">
      <c r="A111" t="str">
        <f>IF(AND('Q22028'!B32&lt;&gt;"",'Q22028'!E32&lt;&gt;""),'Q22028'!E32,"")</f>
        <v/>
      </c>
      <c r="B111" t="str">
        <f>IF(AND('Q22028'!B32&lt;&gt;"",'Q22028'!E32&lt;&gt;""),'Q22028'!B32,"")</f>
        <v/>
      </c>
      <c r="C111" t="str">
        <f>IF(AND('Q22028'!B32&lt;&gt;"",'Q22028'!E32&lt;&gt;""),'Q22028'!C32,"")</f>
        <v/>
      </c>
      <c r="D111" t="str">
        <f>IF(AND('Q22028'!B32&lt;&gt;"",'Q22028'!E32&lt;&gt;""),'Q22028'!D32,"")</f>
        <v/>
      </c>
      <c r="E111" t="str">
        <f>IF(AND('Q22028'!B32&lt;&gt;"",'Q22028'!E32&lt;&gt;""),'Q22028'!H32,"")</f>
        <v/>
      </c>
      <c r="F111" t="str">
        <f>IF(AND('Q22028'!B32&lt;&gt;"",'Q22028'!E32&lt;&gt;""),'Q22028'!F32,"")</f>
        <v/>
      </c>
      <c r="G111" t="str">
        <f>IF(AND('Q22028'!B32&lt;&gt;"",'Q22028'!E32&lt;&gt;""),'Q22028'!G32,"")</f>
        <v/>
      </c>
      <c r="H111" t="str">
        <f>IF(AND('Q22028'!B32&lt;&gt;"",'Q22028'!E32&lt;&gt;""),"Q22028","")</f>
        <v/>
      </c>
      <c r="I111" t="str">
        <f>IF(A111="Q12028",COUNTIF($A$2:$A111,"Q12028"),"")</f>
        <v/>
      </c>
      <c r="J111" t="str">
        <f>IF(A111="Q22028",COUNTIF($A$2:$A111,"Q22028"),"")</f>
        <v/>
      </c>
      <c r="K111" t="str">
        <f>IF(A111="Q32028",COUNTIF($A$2:$A111,"Q32028"),"")</f>
        <v/>
      </c>
      <c r="L111" t="str">
        <f>IF(A111="Q42028",COUNTIF($A$2:$A111,"Q42028"),"")</f>
        <v/>
      </c>
      <c r="M111" t="str">
        <f>IF(A111="Backlog",COUNTIF($A$2:$A111,"Backlog"),"")</f>
        <v/>
      </c>
    </row>
    <row r="112" spans="1:13">
      <c r="A112" t="str">
        <f>IF(AND('Q22028'!B33&lt;&gt;"",'Q22028'!E33&lt;&gt;""),'Q22028'!E33,"")</f>
        <v/>
      </c>
      <c r="B112" t="str">
        <f>IF(AND('Q22028'!B33&lt;&gt;"",'Q22028'!E33&lt;&gt;""),'Q22028'!B33,"")</f>
        <v/>
      </c>
      <c r="C112" t="str">
        <f>IF(AND('Q22028'!B33&lt;&gt;"",'Q22028'!E33&lt;&gt;""),'Q22028'!C33,"")</f>
        <v/>
      </c>
      <c r="D112" t="str">
        <f>IF(AND('Q22028'!B33&lt;&gt;"",'Q22028'!E33&lt;&gt;""),'Q22028'!D33,"")</f>
        <v/>
      </c>
      <c r="E112" t="str">
        <f>IF(AND('Q22028'!B33&lt;&gt;"",'Q22028'!E33&lt;&gt;""),'Q22028'!H33,"")</f>
        <v/>
      </c>
      <c r="F112" t="str">
        <f>IF(AND('Q22028'!B33&lt;&gt;"",'Q22028'!E33&lt;&gt;""),'Q22028'!F33,"")</f>
        <v/>
      </c>
      <c r="G112" t="str">
        <f>IF(AND('Q22028'!B33&lt;&gt;"",'Q22028'!E33&lt;&gt;""),'Q22028'!G33,"")</f>
        <v/>
      </c>
      <c r="H112" t="str">
        <f>IF(AND('Q22028'!B33&lt;&gt;"",'Q22028'!E33&lt;&gt;""),"Q22028","")</f>
        <v/>
      </c>
      <c r="I112" t="str">
        <f>IF(A112="Q12028",COUNTIF($A$2:$A112,"Q12028"),"")</f>
        <v/>
      </c>
      <c r="J112" t="str">
        <f>IF(A112="Q22028",COUNTIF($A$2:$A112,"Q22028"),"")</f>
        <v/>
      </c>
      <c r="K112" t="str">
        <f>IF(A112="Q32028",COUNTIF($A$2:$A112,"Q32028"),"")</f>
        <v/>
      </c>
      <c r="L112" t="str">
        <f>IF(A112="Q42028",COUNTIF($A$2:$A112,"Q42028"),"")</f>
        <v/>
      </c>
      <c r="M112" t="str">
        <f>IF(A112="Backlog",COUNTIF($A$2:$A112,"Backlog"),"")</f>
        <v/>
      </c>
    </row>
    <row r="113" spans="1:13">
      <c r="A113" t="str">
        <f>IF(AND('Q22028'!B34&lt;&gt;"",'Q22028'!E34&lt;&gt;""),'Q22028'!E34,"")</f>
        <v/>
      </c>
      <c r="B113" t="str">
        <f>IF(AND('Q22028'!B34&lt;&gt;"",'Q22028'!E34&lt;&gt;""),'Q22028'!B34,"")</f>
        <v/>
      </c>
      <c r="C113" t="str">
        <f>IF(AND('Q22028'!B34&lt;&gt;"",'Q22028'!E34&lt;&gt;""),'Q22028'!C34,"")</f>
        <v/>
      </c>
      <c r="D113" t="str">
        <f>IF(AND('Q22028'!B34&lt;&gt;"",'Q22028'!E34&lt;&gt;""),'Q22028'!D34,"")</f>
        <v/>
      </c>
      <c r="E113" t="str">
        <f>IF(AND('Q22028'!B34&lt;&gt;"",'Q22028'!E34&lt;&gt;""),'Q22028'!H34,"")</f>
        <v/>
      </c>
      <c r="F113" t="str">
        <f>IF(AND('Q22028'!B34&lt;&gt;"",'Q22028'!E34&lt;&gt;""),'Q22028'!F34,"")</f>
        <v/>
      </c>
      <c r="G113" t="str">
        <f>IF(AND('Q22028'!B34&lt;&gt;"",'Q22028'!E34&lt;&gt;""),'Q22028'!G34,"")</f>
        <v/>
      </c>
      <c r="H113" t="str">
        <f>IF(AND('Q22028'!B34&lt;&gt;"",'Q22028'!E34&lt;&gt;""),"Q22028","")</f>
        <v/>
      </c>
      <c r="I113" t="str">
        <f>IF(A113="Q12028",COUNTIF($A$2:$A113,"Q12028"),"")</f>
        <v/>
      </c>
      <c r="J113" t="str">
        <f>IF(A113="Q22028",COUNTIF($A$2:$A113,"Q22028"),"")</f>
        <v/>
      </c>
      <c r="K113" t="str">
        <f>IF(A113="Q32028",COUNTIF($A$2:$A113,"Q32028"),"")</f>
        <v/>
      </c>
      <c r="L113" t="str">
        <f>IF(A113="Q42028",COUNTIF($A$2:$A113,"Q42028"),"")</f>
        <v/>
      </c>
      <c r="M113" t="str">
        <f>IF(A113="Backlog",COUNTIF($A$2:$A113,"Backlog"),"")</f>
        <v/>
      </c>
    </row>
    <row r="114" spans="1:13">
      <c r="A114" t="str">
        <f>IF(AND('Q22028'!B35&lt;&gt;"",'Q22028'!E35&lt;&gt;""),'Q22028'!E35,"")</f>
        <v/>
      </c>
      <c r="B114" t="str">
        <f>IF(AND('Q22028'!B35&lt;&gt;"",'Q22028'!E35&lt;&gt;""),'Q22028'!B35,"")</f>
        <v/>
      </c>
      <c r="C114" t="str">
        <f>IF(AND('Q22028'!B35&lt;&gt;"",'Q22028'!E35&lt;&gt;""),'Q22028'!C35,"")</f>
        <v/>
      </c>
      <c r="D114" t="str">
        <f>IF(AND('Q22028'!B35&lt;&gt;"",'Q22028'!E35&lt;&gt;""),'Q22028'!D35,"")</f>
        <v/>
      </c>
      <c r="E114" t="str">
        <f>IF(AND('Q22028'!B35&lt;&gt;"",'Q22028'!E35&lt;&gt;""),'Q22028'!H35,"")</f>
        <v/>
      </c>
      <c r="F114" t="str">
        <f>IF(AND('Q22028'!B35&lt;&gt;"",'Q22028'!E35&lt;&gt;""),'Q22028'!F35,"")</f>
        <v/>
      </c>
      <c r="G114" t="str">
        <f>IF(AND('Q22028'!B35&lt;&gt;"",'Q22028'!E35&lt;&gt;""),'Q22028'!G35,"")</f>
        <v/>
      </c>
      <c r="H114" t="str">
        <f>IF(AND('Q22028'!B35&lt;&gt;"",'Q22028'!E35&lt;&gt;""),"Q22028","")</f>
        <v/>
      </c>
      <c r="I114" t="str">
        <f>IF(A114="Q12028",COUNTIF($A$2:$A114,"Q12028"),"")</f>
        <v/>
      </c>
      <c r="J114" t="str">
        <f>IF(A114="Q22028",COUNTIF($A$2:$A114,"Q22028"),"")</f>
        <v/>
      </c>
      <c r="K114" t="str">
        <f>IF(A114="Q32028",COUNTIF($A$2:$A114,"Q32028"),"")</f>
        <v/>
      </c>
      <c r="L114" t="str">
        <f>IF(A114="Q42028",COUNTIF($A$2:$A114,"Q42028"),"")</f>
        <v/>
      </c>
      <c r="M114" t="str">
        <f>IF(A114="Backlog",COUNTIF($A$2:$A114,"Backlog"),"")</f>
        <v/>
      </c>
    </row>
    <row r="115" spans="1:13">
      <c r="A115" t="str">
        <f>IF(AND('Q22028'!B36&lt;&gt;"",'Q22028'!E36&lt;&gt;""),'Q22028'!E36,"")</f>
        <v/>
      </c>
      <c r="B115" t="str">
        <f>IF(AND('Q22028'!B36&lt;&gt;"",'Q22028'!E36&lt;&gt;""),'Q22028'!B36,"")</f>
        <v/>
      </c>
      <c r="C115" t="str">
        <f>IF(AND('Q22028'!B36&lt;&gt;"",'Q22028'!E36&lt;&gt;""),'Q22028'!C36,"")</f>
        <v/>
      </c>
      <c r="D115" t="str">
        <f>IF(AND('Q22028'!B36&lt;&gt;"",'Q22028'!E36&lt;&gt;""),'Q22028'!D36,"")</f>
        <v/>
      </c>
      <c r="E115" t="str">
        <f>IF(AND('Q22028'!B36&lt;&gt;"",'Q22028'!E36&lt;&gt;""),'Q22028'!H36,"")</f>
        <v/>
      </c>
      <c r="F115" t="str">
        <f>IF(AND('Q22028'!B36&lt;&gt;"",'Q22028'!E36&lt;&gt;""),'Q22028'!F36,"")</f>
        <v/>
      </c>
      <c r="G115" t="str">
        <f>IF(AND('Q22028'!B36&lt;&gt;"",'Q22028'!E36&lt;&gt;""),'Q22028'!G36,"")</f>
        <v/>
      </c>
      <c r="H115" t="str">
        <f>IF(AND('Q22028'!B36&lt;&gt;"",'Q22028'!E36&lt;&gt;""),"Q22028","")</f>
        <v/>
      </c>
      <c r="I115" t="str">
        <f>IF(A115="Q12028",COUNTIF($A$2:$A115,"Q12028"),"")</f>
        <v/>
      </c>
      <c r="J115" t="str">
        <f>IF(A115="Q22028",COUNTIF($A$2:$A115,"Q22028"),"")</f>
        <v/>
      </c>
      <c r="K115" t="str">
        <f>IF(A115="Q32028",COUNTIF($A$2:$A115,"Q32028"),"")</f>
        <v/>
      </c>
      <c r="L115" t="str">
        <f>IF(A115="Q42028",COUNTIF($A$2:$A115,"Q42028"),"")</f>
        <v/>
      </c>
      <c r="M115" t="str">
        <f>IF(A115="Backlog",COUNTIF($A$2:$A115,"Backlog"),"")</f>
        <v/>
      </c>
    </row>
    <row r="116" spans="1:13">
      <c r="A116" t="str">
        <f>IF(AND('Q22028'!B37&lt;&gt;"",'Q22028'!E37&lt;&gt;""),'Q22028'!E37,"")</f>
        <v/>
      </c>
      <c r="B116" t="str">
        <f>IF(AND('Q22028'!B37&lt;&gt;"",'Q22028'!E37&lt;&gt;""),'Q22028'!B37,"")</f>
        <v/>
      </c>
      <c r="C116" t="str">
        <f>IF(AND('Q22028'!B37&lt;&gt;"",'Q22028'!E37&lt;&gt;""),'Q22028'!C37,"")</f>
        <v/>
      </c>
      <c r="D116" t="str">
        <f>IF(AND('Q22028'!B37&lt;&gt;"",'Q22028'!E37&lt;&gt;""),'Q22028'!D37,"")</f>
        <v/>
      </c>
      <c r="E116" t="str">
        <f>IF(AND('Q22028'!B37&lt;&gt;"",'Q22028'!E37&lt;&gt;""),'Q22028'!H37,"")</f>
        <v/>
      </c>
      <c r="F116" t="str">
        <f>IF(AND('Q22028'!B37&lt;&gt;"",'Q22028'!E37&lt;&gt;""),'Q22028'!F37,"")</f>
        <v/>
      </c>
      <c r="G116" t="str">
        <f>IF(AND('Q22028'!B37&lt;&gt;"",'Q22028'!E37&lt;&gt;""),'Q22028'!G37,"")</f>
        <v/>
      </c>
      <c r="H116" t="str">
        <f>IF(AND('Q22028'!B37&lt;&gt;"",'Q22028'!E37&lt;&gt;""),"Q22028","")</f>
        <v/>
      </c>
      <c r="I116" t="str">
        <f>IF(A116="Q12028",COUNTIF($A$2:$A116,"Q12028"),"")</f>
        <v/>
      </c>
      <c r="J116" t="str">
        <f>IF(A116="Q22028",COUNTIF($A$2:$A116,"Q22028"),"")</f>
        <v/>
      </c>
      <c r="K116" t="str">
        <f>IF(A116="Q32028",COUNTIF($A$2:$A116,"Q32028"),"")</f>
        <v/>
      </c>
      <c r="L116" t="str">
        <f>IF(A116="Q42028",COUNTIF($A$2:$A116,"Q42028"),"")</f>
        <v/>
      </c>
      <c r="M116" t="str">
        <f>IF(A116="Backlog",COUNTIF($A$2:$A116,"Backlog"),"")</f>
        <v/>
      </c>
    </row>
    <row r="117" spans="1:13">
      <c r="A117" t="str">
        <f>IF(AND('Q22028'!B38&lt;&gt;"",'Q22028'!E38&lt;&gt;""),'Q22028'!E38,"")</f>
        <v/>
      </c>
      <c r="B117" t="str">
        <f>IF(AND('Q22028'!B38&lt;&gt;"",'Q22028'!E38&lt;&gt;""),'Q22028'!B38,"")</f>
        <v/>
      </c>
      <c r="C117" t="str">
        <f>IF(AND('Q22028'!B38&lt;&gt;"",'Q22028'!E38&lt;&gt;""),'Q22028'!C38,"")</f>
        <v/>
      </c>
      <c r="D117" t="str">
        <f>IF(AND('Q22028'!B38&lt;&gt;"",'Q22028'!E38&lt;&gt;""),'Q22028'!D38,"")</f>
        <v/>
      </c>
      <c r="E117" t="str">
        <f>IF(AND('Q22028'!B38&lt;&gt;"",'Q22028'!E38&lt;&gt;""),'Q22028'!H38,"")</f>
        <v/>
      </c>
      <c r="F117" t="str">
        <f>IF(AND('Q22028'!B38&lt;&gt;"",'Q22028'!E38&lt;&gt;""),'Q22028'!F38,"")</f>
        <v/>
      </c>
      <c r="G117" t="str">
        <f>IF(AND('Q22028'!B38&lt;&gt;"",'Q22028'!E38&lt;&gt;""),'Q22028'!G38,"")</f>
        <v/>
      </c>
      <c r="H117" t="str">
        <f>IF(AND('Q22028'!B38&lt;&gt;"",'Q22028'!E38&lt;&gt;""),"Q22028","")</f>
        <v/>
      </c>
      <c r="I117" t="str">
        <f>IF(A117="Q12028",COUNTIF($A$2:$A117,"Q12028"),"")</f>
        <v/>
      </c>
      <c r="J117" t="str">
        <f>IF(A117="Q22028",COUNTIF($A$2:$A117,"Q22028"),"")</f>
        <v/>
      </c>
      <c r="K117" t="str">
        <f>IF(A117="Q32028",COUNTIF($A$2:$A117,"Q32028"),"")</f>
        <v/>
      </c>
      <c r="L117" t="str">
        <f>IF(A117="Q42028",COUNTIF($A$2:$A117,"Q42028"),"")</f>
        <v/>
      </c>
      <c r="M117" t="str">
        <f>IF(A117="Backlog",COUNTIF($A$2:$A117,"Backlog"),"")</f>
        <v/>
      </c>
    </row>
    <row r="118" spans="1:13">
      <c r="A118" t="str">
        <f>IF(AND('Q22028'!B39&lt;&gt;"",'Q22028'!E39&lt;&gt;""),'Q22028'!E39,"")</f>
        <v/>
      </c>
      <c r="B118" t="str">
        <f>IF(AND('Q22028'!B39&lt;&gt;"",'Q22028'!E39&lt;&gt;""),'Q22028'!B39,"")</f>
        <v/>
      </c>
      <c r="C118" t="str">
        <f>IF(AND('Q22028'!B39&lt;&gt;"",'Q22028'!E39&lt;&gt;""),'Q22028'!C39,"")</f>
        <v/>
      </c>
      <c r="D118" t="str">
        <f>IF(AND('Q22028'!B39&lt;&gt;"",'Q22028'!E39&lt;&gt;""),'Q22028'!D39,"")</f>
        <v/>
      </c>
      <c r="E118" t="str">
        <f>IF(AND('Q22028'!B39&lt;&gt;"",'Q22028'!E39&lt;&gt;""),'Q22028'!H39,"")</f>
        <v/>
      </c>
      <c r="F118" t="str">
        <f>IF(AND('Q22028'!B39&lt;&gt;"",'Q22028'!E39&lt;&gt;""),'Q22028'!F39,"")</f>
        <v/>
      </c>
      <c r="G118" t="str">
        <f>IF(AND('Q22028'!B39&lt;&gt;"",'Q22028'!E39&lt;&gt;""),'Q22028'!G39,"")</f>
        <v/>
      </c>
      <c r="H118" t="str">
        <f>IF(AND('Q22028'!B39&lt;&gt;"",'Q22028'!E39&lt;&gt;""),"Q22028","")</f>
        <v/>
      </c>
      <c r="I118" t="str">
        <f>IF(A118="Q12028",COUNTIF($A$2:$A118,"Q12028"),"")</f>
        <v/>
      </c>
      <c r="J118" t="str">
        <f>IF(A118="Q22028",COUNTIF($A$2:$A118,"Q22028"),"")</f>
        <v/>
      </c>
      <c r="K118" t="str">
        <f>IF(A118="Q32028",COUNTIF($A$2:$A118,"Q32028"),"")</f>
        <v/>
      </c>
      <c r="L118" t="str">
        <f>IF(A118="Q42028",COUNTIF($A$2:$A118,"Q42028"),"")</f>
        <v/>
      </c>
      <c r="M118" t="str">
        <f>IF(A118="Backlog",COUNTIF($A$2:$A118,"Backlog"),"")</f>
        <v/>
      </c>
    </row>
    <row r="119" spans="1:13">
      <c r="A119" t="str">
        <f>IF(AND('Q22028'!B40&lt;&gt;"",'Q22028'!E40&lt;&gt;""),'Q22028'!E40,"")</f>
        <v/>
      </c>
      <c r="B119" t="str">
        <f>IF(AND('Q22028'!B40&lt;&gt;"",'Q22028'!E40&lt;&gt;""),'Q22028'!B40,"")</f>
        <v/>
      </c>
      <c r="C119" t="str">
        <f>IF(AND('Q22028'!B40&lt;&gt;"",'Q22028'!E40&lt;&gt;""),'Q22028'!C40,"")</f>
        <v/>
      </c>
      <c r="D119" t="str">
        <f>IF(AND('Q22028'!B40&lt;&gt;"",'Q22028'!E40&lt;&gt;""),'Q22028'!D40,"")</f>
        <v/>
      </c>
      <c r="E119" t="str">
        <f>IF(AND('Q22028'!B40&lt;&gt;"",'Q22028'!E40&lt;&gt;""),'Q22028'!H40,"")</f>
        <v/>
      </c>
      <c r="F119" t="str">
        <f>IF(AND('Q22028'!B40&lt;&gt;"",'Q22028'!E40&lt;&gt;""),'Q22028'!F40,"")</f>
        <v/>
      </c>
      <c r="G119" t="str">
        <f>IF(AND('Q22028'!B40&lt;&gt;"",'Q22028'!E40&lt;&gt;""),'Q22028'!G40,"")</f>
        <v/>
      </c>
      <c r="H119" t="str">
        <f>IF(AND('Q22028'!B40&lt;&gt;"",'Q22028'!E40&lt;&gt;""),"Q22028","")</f>
        <v/>
      </c>
      <c r="I119" t="str">
        <f>IF(A119="Q12028",COUNTIF($A$2:$A119,"Q12028"),"")</f>
        <v/>
      </c>
      <c r="J119" t="str">
        <f>IF(A119="Q22028",COUNTIF($A$2:$A119,"Q22028"),"")</f>
        <v/>
      </c>
      <c r="K119" t="str">
        <f>IF(A119="Q32028",COUNTIF($A$2:$A119,"Q32028"),"")</f>
        <v/>
      </c>
      <c r="L119" t="str">
        <f>IF(A119="Q42028",COUNTIF($A$2:$A119,"Q42028"),"")</f>
        <v/>
      </c>
      <c r="M119" t="str">
        <f>IF(A119="Backlog",COUNTIF($A$2:$A119,"Backlog"),"")</f>
        <v/>
      </c>
    </row>
    <row r="120" spans="1:13">
      <c r="A120" t="str">
        <f>IF(AND('Q22028'!B41&lt;&gt;"",'Q22028'!E41&lt;&gt;""),'Q22028'!E41,"")</f>
        <v/>
      </c>
      <c r="B120" t="str">
        <f>IF(AND('Q22028'!B41&lt;&gt;"",'Q22028'!E41&lt;&gt;""),'Q22028'!B41,"")</f>
        <v/>
      </c>
      <c r="C120" t="str">
        <f>IF(AND('Q22028'!B41&lt;&gt;"",'Q22028'!E41&lt;&gt;""),'Q22028'!C41,"")</f>
        <v/>
      </c>
      <c r="D120" t="str">
        <f>IF(AND('Q22028'!B41&lt;&gt;"",'Q22028'!E41&lt;&gt;""),'Q22028'!D41,"")</f>
        <v/>
      </c>
      <c r="E120" t="str">
        <f>IF(AND('Q22028'!B41&lt;&gt;"",'Q22028'!E41&lt;&gt;""),'Q22028'!H41,"")</f>
        <v/>
      </c>
      <c r="F120" t="str">
        <f>IF(AND('Q22028'!B41&lt;&gt;"",'Q22028'!E41&lt;&gt;""),'Q22028'!F41,"")</f>
        <v/>
      </c>
      <c r="G120" t="str">
        <f>IF(AND('Q22028'!B41&lt;&gt;"",'Q22028'!E41&lt;&gt;""),'Q22028'!G41,"")</f>
        <v/>
      </c>
      <c r="H120" t="str">
        <f>IF(AND('Q22028'!B41&lt;&gt;"",'Q22028'!E41&lt;&gt;""),"Q22028","")</f>
        <v/>
      </c>
      <c r="I120" t="str">
        <f>IF(A120="Q12028",COUNTIF($A$2:$A120,"Q12028"),"")</f>
        <v/>
      </c>
      <c r="J120" t="str">
        <f>IF(A120="Q22028",COUNTIF($A$2:$A120,"Q22028"),"")</f>
        <v/>
      </c>
      <c r="K120" t="str">
        <f>IF(A120="Q32028",COUNTIF($A$2:$A120,"Q32028"),"")</f>
        <v/>
      </c>
      <c r="L120" t="str">
        <f>IF(A120="Q42028",COUNTIF($A$2:$A120,"Q42028"),"")</f>
        <v/>
      </c>
      <c r="M120" t="str">
        <f>IF(A120="Backlog",COUNTIF($A$2:$A120,"Backlog"),"")</f>
        <v/>
      </c>
    </row>
    <row r="121" spans="1:13">
      <c r="A121" t="str">
        <f>IF(AND('Q22028'!B42&lt;&gt;"",'Q22028'!E42&lt;&gt;""),'Q22028'!E42,"")</f>
        <v/>
      </c>
      <c r="B121" t="str">
        <f>IF(AND('Q22028'!B42&lt;&gt;"",'Q22028'!E42&lt;&gt;""),'Q22028'!B42,"")</f>
        <v/>
      </c>
      <c r="C121" t="str">
        <f>IF(AND('Q22028'!B42&lt;&gt;"",'Q22028'!E42&lt;&gt;""),'Q22028'!C42,"")</f>
        <v/>
      </c>
      <c r="D121" t="str">
        <f>IF(AND('Q22028'!B42&lt;&gt;"",'Q22028'!E42&lt;&gt;""),'Q22028'!D42,"")</f>
        <v/>
      </c>
      <c r="E121" t="str">
        <f>IF(AND('Q22028'!B42&lt;&gt;"",'Q22028'!E42&lt;&gt;""),'Q22028'!H42,"")</f>
        <v/>
      </c>
      <c r="F121" t="str">
        <f>IF(AND('Q22028'!B42&lt;&gt;"",'Q22028'!E42&lt;&gt;""),'Q22028'!F42,"")</f>
        <v/>
      </c>
      <c r="G121" t="str">
        <f>IF(AND('Q22028'!B42&lt;&gt;"",'Q22028'!E42&lt;&gt;""),'Q22028'!G42,"")</f>
        <v/>
      </c>
      <c r="H121" t="str">
        <f>IF(AND('Q22028'!B42&lt;&gt;"",'Q22028'!E42&lt;&gt;""),"Q22028","")</f>
        <v/>
      </c>
      <c r="I121" t="str">
        <f>IF(A121="Q12028",COUNTIF($A$2:$A121,"Q12028"),"")</f>
        <v/>
      </c>
      <c r="J121" t="str">
        <f>IF(A121="Q22028",COUNTIF($A$2:$A121,"Q22028"),"")</f>
        <v/>
      </c>
      <c r="K121" t="str">
        <f>IF(A121="Q32028",COUNTIF($A$2:$A121,"Q32028"),"")</f>
        <v/>
      </c>
      <c r="L121" t="str">
        <f>IF(A121="Q42028",COUNTIF($A$2:$A121,"Q42028"),"")</f>
        <v/>
      </c>
      <c r="M121" t="str">
        <f>IF(A121="Backlog",COUNTIF($A$2:$A121,"Backlog"),"")</f>
        <v/>
      </c>
    </row>
    <row r="122" spans="1:13">
      <c r="A122" t="str">
        <f>IF(AND('Q22028'!B43&lt;&gt;"",'Q22028'!E43&lt;&gt;""),'Q22028'!E43,"")</f>
        <v/>
      </c>
      <c r="B122" t="str">
        <f>IF(AND('Q22028'!B43&lt;&gt;"",'Q22028'!E43&lt;&gt;""),'Q22028'!B43,"")</f>
        <v/>
      </c>
      <c r="C122" t="str">
        <f>IF(AND('Q22028'!B43&lt;&gt;"",'Q22028'!E43&lt;&gt;""),'Q22028'!C43,"")</f>
        <v/>
      </c>
      <c r="D122" t="str">
        <f>IF(AND('Q22028'!B43&lt;&gt;"",'Q22028'!E43&lt;&gt;""),'Q22028'!D43,"")</f>
        <v/>
      </c>
      <c r="E122" t="str">
        <f>IF(AND('Q22028'!B43&lt;&gt;"",'Q22028'!E43&lt;&gt;""),'Q22028'!H43,"")</f>
        <v/>
      </c>
      <c r="F122" t="str">
        <f>IF(AND('Q22028'!B43&lt;&gt;"",'Q22028'!E43&lt;&gt;""),'Q22028'!F43,"")</f>
        <v/>
      </c>
      <c r="G122" t="str">
        <f>IF(AND('Q22028'!B43&lt;&gt;"",'Q22028'!E43&lt;&gt;""),'Q22028'!G43,"")</f>
        <v/>
      </c>
      <c r="H122" t="str">
        <f>IF(AND('Q22028'!B43&lt;&gt;"",'Q22028'!E43&lt;&gt;""),"Q22028","")</f>
        <v/>
      </c>
      <c r="I122" t="str">
        <f>IF(A122="Q12028",COUNTIF($A$2:$A122,"Q12028"),"")</f>
        <v/>
      </c>
      <c r="J122" t="str">
        <f>IF(A122="Q22028",COUNTIF($A$2:$A122,"Q22028"),"")</f>
        <v/>
      </c>
      <c r="K122" t="str">
        <f>IF(A122="Q32028",COUNTIF($A$2:$A122,"Q32028"),"")</f>
        <v/>
      </c>
      <c r="L122" t="str">
        <f>IF(A122="Q42028",COUNTIF($A$2:$A122,"Q42028"),"")</f>
        <v/>
      </c>
      <c r="M122" t="str">
        <f>IF(A122="Backlog",COUNTIF($A$2:$A122,"Backlog"),"")</f>
        <v/>
      </c>
    </row>
    <row r="123" spans="1:13">
      <c r="A123" t="str">
        <f>IF(AND('Q22028'!B44&lt;&gt;"",'Q22028'!E44&lt;&gt;""),'Q22028'!E44,"")</f>
        <v/>
      </c>
      <c r="B123" t="str">
        <f>IF(AND('Q22028'!B44&lt;&gt;"",'Q22028'!E44&lt;&gt;""),'Q22028'!B44,"")</f>
        <v/>
      </c>
      <c r="C123" t="str">
        <f>IF(AND('Q22028'!B44&lt;&gt;"",'Q22028'!E44&lt;&gt;""),'Q22028'!C44,"")</f>
        <v/>
      </c>
      <c r="D123" t="str">
        <f>IF(AND('Q22028'!B44&lt;&gt;"",'Q22028'!E44&lt;&gt;""),'Q22028'!D44,"")</f>
        <v/>
      </c>
      <c r="E123" t="str">
        <f>IF(AND('Q22028'!B44&lt;&gt;"",'Q22028'!E44&lt;&gt;""),'Q22028'!H44,"")</f>
        <v/>
      </c>
      <c r="F123" t="str">
        <f>IF(AND('Q22028'!B44&lt;&gt;"",'Q22028'!E44&lt;&gt;""),'Q22028'!F44,"")</f>
        <v/>
      </c>
      <c r="G123" t="str">
        <f>IF(AND('Q22028'!B44&lt;&gt;"",'Q22028'!E44&lt;&gt;""),'Q22028'!G44,"")</f>
        <v/>
      </c>
      <c r="H123" t="str">
        <f>IF(AND('Q22028'!B44&lt;&gt;"",'Q22028'!E44&lt;&gt;""),"Q22028","")</f>
        <v/>
      </c>
      <c r="I123" t="str">
        <f>IF(A123="Q12028",COUNTIF($A$2:$A123,"Q12028"),"")</f>
        <v/>
      </c>
      <c r="J123" t="str">
        <f>IF(A123="Q22028",COUNTIF($A$2:$A123,"Q22028"),"")</f>
        <v/>
      </c>
      <c r="K123" t="str">
        <f>IF(A123="Q32028",COUNTIF($A$2:$A123,"Q32028"),"")</f>
        <v/>
      </c>
      <c r="L123" t="str">
        <f>IF(A123="Q42028",COUNTIF($A$2:$A123,"Q42028"),"")</f>
        <v/>
      </c>
      <c r="M123" t="str">
        <f>IF(A123="Backlog",COUNTIF($A$2:$A123,"Backlog"),"")</f>
        <v/>
      </c>
    </row>
    <row r="124" spans="1:13">
      <c r="A124" t="str">
        <f>IF(AND('Q22028'!B45&lt;&gt;"",'Q22028'!E45&lt;&gt;""),'Q22028'!E45,"")</f>
        <v/>
      </c>
      <c r="B124" t="str">
        <f>IF(AND('Q22028'!B45&lt;&gt;"",'Q22028'!E45&lt;&gt;""),'Q22028'!B45,"")</f>
        <v/>
      </c>
      <c r="C124" t="str">
        <f>IF(AND('Q22028'!B45&lt;&gt;"",'Q22028'!E45&lt;&gt;""),'Q22028'!C45,"")</f>
        <v/>
      </c>
      <c r="D124" t="str">
        <f>IF(AND('Q22028'!B45&lt;&gt;"",'Q22028'!E45&lt;&gt;""),'Q22028'!D45,"")</f>
        <v/>
      </c>
      <c r="E124" t="str">
        <f>IF(AND('Q22028'!B45&lt;&gt;"",'Q22028'!E45&lt;&gt;""),'Q22028'!H45,"")</f>
        <v/>
      </c>
      <c r="F124" t="str">
        <f>IF(AND('Q22028'!B45&lt;&gt;"",'Q22028'!E45&lt;&gt;""),'Q22028'!F45,"")</f>
        <v/>
      </c>
      <c r="G124" t="str">
        <f>IF(AND('Q22028'!B45&lt;&gt;"",'Q22028'!E45&lt;&gt;""),'Q22028'!G45,"")</f>
        <v/>
      </c>
      <c r="H124" t="str">
        <f>IF(AND('Q22028'!B45&lt;&gt;"",'Q22028'!E45&lt;&gt;""),"Q22028","")</f>
        <v/>
      </c>
      <c r="I124" t="str">
        <f>IF(A124="Q12028",COUNTIF($A$2:$A124,"Q12028"),"")</f>
        <v/>
      </c>
      <c r="J124" t="str">
        <f>IF(A124="Q22028",COUNTIF($A$2:$A124,"Q22028"),"")</f>
        <v/>
      </c>
      <c r="K124" t="str">
        <f>IF(A124="Q32028",COUNTIF($A$2:$A124,"Q32028"),"")</f>
        <v/>
      </c>
      <c r="L124" t="str">
        <f>IF(A124="Q42028",COUNTIF($A$2:$A124,"Q42028"),"")</f>
        <v/>
      </c>
      <c r="M124" t="str">
        <f>IF(A124="Backlog",COUNTIF($A$2:$A124,"Backlog"),"")</f>
        <v/>
      </c>
    </row>
    <row r="125" spans="1:13">
      <c r="A125" t="str">
        <f>IF(AND('Q22028'!B46&lt;&gt;"",'Q22028'!E46&lt;&gt;""),'Q22028'!E46,"")</f>
        <v/>
      </c>
      <c r="B125" t="str">
        <f>IF(AND('Q22028'!B46&lt;&gt;"",'Q22028'!E46&lt;&gt;""),'Q22028'!B46,"")</f>
        <v/>
      </c>
      <c r="C125" t="str">
        <f>IF(AND('Q22028'!B46&lt;&gt;"",'Q22028'!E46&lt;&gt;""),'Q22028'!C46,"")</f>
        <v/>
      </c>
      <c r="D125" t="str">
        <f>IF(AND('Q22028'!B46&lt;&gt;"",'Q22028'!E46&lt;&gt;""),'Q22028'!D46,"")</f>
        <v/>
      </c>
      <c r="E125" t="str">
        <f>IF(AND('Q22028'!B46&lt;&gt;"",'Q22028'!E46&lt;&gt;""),'Q22028'!H46,"")</f>
        <v/>
      </c>
      <c r="F125" t="str">
        <f>IF(AND('Q22028'!B46&lt;&gt;"",'Q22028'!E46&lt;&gt;""),'Q22028'!F46,"")</f>
        <v/>
      </c>
      <c r="G125" t="str">
        <f>IF(AND('Q22028'!B46&lt;&gt;"",'Q22028'!E46&lt;&gt;""),'Q22028'!G46,"")</f>
        <v/>
      </c>
      <c r="H125" t="str">
        <f>IF(AND('Q22028'!B46&lt;&gt;"",'Q22028'!E46&lt;&gt;""),"Q22028","")</f>
        <v/>
      </c>
      <c r="I125" t="str">
        <f>IF(A125="Q12028",COUNTIF($A$2:$A125,"Q12028"),"")</f>
        <v/>
      </c>
      <c r="J125" t="str">
        <f>IF(A125="Q22028",COUNTIF($A$2:$A125,"Q22028"),"")</f>
        <v/>
      </c>
      <c r="K125" t="str">
        <f>IF(A125="Q32028",COUNTIF($A$2:$A125,"Q32028"),"")</f>
        <v/>
      </c>
      <c r="L125" t="str">
        <f>IF(A125="Q42028",COUNTIF($A$2:$A125,"Q42028"),"")</f>
        <v/>
      </c>
      <c r="M125" t="str">
        <f>IF(A125="Backlog",COUNTIF($A$2:$A125,"Backlog"),"")</f>
        <v/>
      </c>
    </row>
    <row r="126" spans="1:13">
      <c r="A126" t="str">
        <f>IF(AND('Q22028'!B47&lt;&gt;"",'Q22028'!E47&lt;&gt;""),'Q22028'!E47,"")</f>
        <v/>
      </c>
      <c r="B126" t="str">
        <f>IF(AND('Q22028'!B47&lt;&gt;"",'Q22028'!E47&lt;&gt;""),'Q22028'!B47,"")</f>
        <v/>
      </c>
      <c r="C126" t="str">
        <f>IF(AND('Q22028'!B47&lt;&gt;"",'Q22028'!E47&lt;&gt;""),'Q22028'!C47,"")</f>
        <v/>
      </c>
      <c r="D126" t="str">
        <f>IF(AND('Q22028'!B47&lt;&gt;"",'Q22028'!E47&lt;&gt;""),'Q22028'!D47,"")</f>
        <v/>
      </c>
      <c r="E126" t="str">
        <f>IF(AND('Q22028'!B47&lt;&gt;"",'Q22028'!E47&lt;&gt;""),'Q22028'!H47,"")</f>
        <v/>
      </c>
      <c r="F126" t="str">
        <f>IF(AND('Q22028'!B47&lt;&gt;"",'Q22028'!E47&lt;&gt;""),'Q22028'!F47,"")</f>
        <v/>
      </c>
      <c r="G126" t="str">
        <f>IF(AND('Q22028'!B47&lt;&gt;"",'Q22028'!E47&lt;&gt;""),'Q22028'!G47,"")</f>
        <v/>
      </c>
      <c r="H126" t="str">
        <f>IF(AND('Q22028'!B47&lt;&gt;"",'Q22028'!E47&lt;&gt;""),"Q22028","")</f>
        <v/>
      </c>
      <c r="I126" t="str">
        <f>IF(A126="Q12028",COUNTIF($A$2:$A126,"Q12028"),"")</f>
        <v/>
      </c>
      <c r="J126" t="str">
        <f>IF(A126="Q22028",COUNTIF($A$2:$A126,"Q22028"),"")</f>
        <v/>
      </c>
      <c r="K126" t="str">
        <f>IF(A126="Q32028",COUNTIF($A$2:$A126,"Q32028"),"")</f>
        <v/>
      </c>
      <c r="L126" t="str">
        <f>IF(A126="Q42028",COUNTIF($A$2:$A126,"Q42028"),"")</f>
        <v/>
      </c>
      <c r="M126" t="str">
        <f>IF(A126="Backlog",COUNTIF($A$2:$A126,"Backlog"),"")</f>
        <v/>
      </c>
    </row>
    <row r="127" spans="1:13">
      <c r="A127" t="str">
        <f>IF(AND('Q22028'!B48&lt;&gt;"",'Q22028'!E48&lt;&gt;""),'Q22028'!E48,"")</f>
        <v/>
      </c>
      <c r="B127" t="str">
        <f>IF(AND('Q22028'!B48&lt;&gt;"",'Q22028'!E48&lt;&gt;""),'Q22028'!B48,"")</f>
        <v/>
      </c>
      <c r="C127" t="str">
        <f>IF(AND('Q22028'!B48&lt;&gt;"",'Q22028'!E48&lt;&gt;""),'Q22028'!C48,"")</f>
        <v/>
      </c>
      <c r="D127" t="str">
        <f>IF(AND('Q22028'!B48&lt;&gt;"",'Q22028'!E48&lt;&gt;""),'Q22028'!D48,"")</f>
        <v/>
      </c>
      <c r="E127" t="str">
        <f>IF(AND('Q22028'!B48&lt;&gt;"",'Q22028'!E48&lt;&gt;""),'Q22028'!H48,"")</f>
        <v/>
      </c>
      <c r="F127" t="str">
        <f>IF(AND('Q22028'!B48&lt;&gt;"",'Q22028'!E48&lt;&gt;""),'Q22028'!F48,"")</f>
        <v/>
      </c>
      <c r="G127" t="str">
        <f>IF(AND('Q22028'!B48&lt;&gt;"",'Q22028'!E48&lt;&gt;""),'Q22028'!G48,"")</f>
        <v/>
      </c>
      <c r="H127" t="str">
        <f>IF(AND('Q22028'!B48&lt;&gt;"",'Q22028'!E48&lt;&gt;""),"Q22028","")</f>
        <v/>
      </c>
      <c r="I127" t="str">
        <f>IF(A127="Q12028",COUNTIF($A$2:$A127,"Q12028"),"")</f>
        <v/>
      </c>
      <c r="J127" t="str">
        <f>IF(A127="Q22028",COUNTIF($A$2:$A127,"Q22028"),"")</f>
        <v/>
      </c>
      <c r="K127" t="str">
        <f>IF(A127="Q32028",COUNTIF($A$2:$A127,"Q32028"),"")</f>
        <v/>
      </c>
      <c r="L127" t="str">
        <f>IF(A127="Q42028",COUNTIF($A$2:$A127,"Q42028"),"")</f>
        <v/>
      </c>
      <c r="M127" t="str">
        <f>IF(A127="Backlog",COUNTIF($A$2:$A127,"Backlog"),"")</f>
        <v/>
      </c>
    </row>
    <row r="128" spans="1:13">
      <c r="A128" t="str">
        <f>IF(AND('Q22028'!B49&lt;&gt;"",'Q22028'!E49&lt;&gt;""),'Q22028'!E49,"")</f>
        <v/>
      </c>
      <c r="B128" t="str">
        <f>IF(AND('Q22028'!B49&lt;&gt;"",'Q22028'!E49&lt;&gt;""),'Q22028'!B49,"")</f>
        <v/>
      </c>
      <c r="C128" t="str">
        <f>IF(AND('Q22028'!B49&lt;&gt;"",'Q22028'!E49&lt;&gt;""),'Q22028'!C49,"")</f>
        <v/>
      </c>
      <c r="D128" t="str">
        <f>IF(AND('Q22028'!B49&lt;&gt;"",'Q22028'!E49&lt;&gt;""),'Q22028'!D49,"")</f>
        <v/>
      </c>
      <c r="E128" t="str">
        <f>IF(AND('Q22028'!B49&lt;&gt;"",'Q22028'!E49&lt;&gt;""),'Q22028'!H49,"")</f>
        <v/>
      </c>
      <c r="F128" t="str">
        <f>IF(AND('Q22028'!B49&lt;&gt;"",'Q22028'!E49&lt;&gt;""),'Q22028'!F49,"")</f>
        <v/>
      </c>
      <c r="G128" t="str">
        <f>IF(AND('Q22028'!B49&lt;&gt;"",'Q22028'!E49&lt;&gt;""),'Q22028'!G49,"")</f>
        <v/>
      </c>
      <c r="H128" t="str">
        <f>IF(AND('Q22028'!B49&lt;&gt;"",'Q22028'!E49&lt;&gt;""),"Q22028","")</f>
        <v/>
      </c>
      <c r="I128" t="str">
        <f>IF(A128="Q12028",COUNTIF($A$2:$A128,"Q12028"),"")</f>
        <v/>
      </c>
      <c r="J128" t="str">
        <f>IF(A128="Q22028",COUNTIF($A$2:$A128,"Q22028"),"")</f>
        <v/>
      </c>
      <c r="K128" t="str">
        <f>IF(A128="Q32028",COUNTIF($A$2:$A128,"Q32028"),"")</f>
        <v/>
      </c>
      <c r="L128" t="str">
        <f>IF(A128="Q42028",COUNTIF($A$2:$A128,"Q42028"),"")</f>
        <v/>
      </c>
      <c r="M128" t="str">
        <f>IF(A128="Backlog",COUNTIF($A$2:$A128,"Backlog"),"")</f>
        <v/>
      </c>
    </row>
    <row r="129" spans="1:13">
      <c r="A129" t="str">
        <f>IF(AND('Q22028'!B50&lt;&gt;"",'Q22028'!E50&lt;&gt;""),'Q22028'!E50,"")</f>
        <v/>
      </c>
      <c r="B129" t="str">
        <f>IF(AND('Q22028'!B50&lt;&gt;"",'Q22028'!E50&lt;&gt;""),'Q22028'!B50,"")</f>
        <v/>
      </c>
      <c r="C129" t="str">
        <f>IF(AND('Q22028'!B50&lt;&gt;"",'Q22028'!E50&lt;&gt;""),'Q22028'!C50,"")</f>
        <v/>
      </c>
      <c r="D129" t="str">
        <f>IF(AND('Q22028'!B50&lt;&gt;"",'Q22028'!E50&lt;&gt;""),'Q22028'!D50,"")</f>
        <v/>
      </c>
      <c r="E129" t="str">
        <f>IF(AND('Q22028'!B50&lt;&gt;"",'Q22028'!E50&lt;&gt;""),'Q22028'!H50,"")</f>
        <v/>
      </c>
      <c r="F129" t="str">
        <f>IF(AND('Q22028'!B50&lt;&gt;"",'Q22028'!E50&lt;&gt;""),'Q22028'!F50,"")</f>
        <v/>
      </c>
      <c r="G129" t="str">
        <f>IF(AND('Q22028'!B50&lt;&gt;"",'Q22028'!E50&lt;&gt;""),'Q22028'!G50,"")</f>
        <v/>
      </c>
      <c r="H129" t="str">
        <f>IF(AND('Q22028'!B50&lt;&gt;"",'Q22028'!E50&lt;&gt;""),"Q22028","")</f>
        <v/>
      </c>
      <c r="I129" t="str">
        <f>IF(A129="Q12028",COUNTIF($A$2:$A129,"Q12028"),"")</f>
        <v/>
      </c>
      <c r="J129" t="str">
        <f>IF(A129="Q22028",COUNTIF($A$2:$A129,"Q22028"),"")</f>
        <v/>
      </c>
      <c r="K129" t="str">
        <f>IF(A129="Q32028",COUNTIF($A$2:$A129,"Q32028"),"")</f>
        <v/>
      </c>
      <c r="L129" t="str">
        <f>IF(A129="Q42028",COUNTIF($A$2:$A129,"Q42028"),"")</f>
        <v/>
      </c>
      <c r="M129" t="str">
        <f>IF(A129="Backlog",COUNTIF($A$2:$A129,"Backlog"),"")</f>
        <v/>
      </c>
    </row>
    <row r="130" spans="1:13">
      <c r="A130" t="str">
        <f>IF(AND('Q22028'!B51&lt;&gt;"",'Q22028'!E51&lt;&gt;""),'Q22028'!E51,"")</f>
        <v/>
      </c>
      <c r="B130" t="str">
        <f>IF(AND('Q22028'!B51&lt;&gt;"",'Q22028'!E51&lt;&gt;""),'Q22028'!B51,"")</f>
        <v/>
      </c>
      <c r="C130" t="str">
        <f>IF(AND('Q22028'!B51&lt;&gt;"",'Q22028'!E51&lt;&gt;""),'Q22028'!C51,"")</f>
        <v/>
      </c>
      <c r="D130" t="str">
        <f>IF(AND('Q22028'!B51&lt;&gt;"",'Q22028'!E51&lt;&gt;""),'Q22028'!D51,"")</f>
        <v/>
      </c>
      <c r="E130" t="str">
        <f>IF(AND('Q22028'!B51&lt;&gt;"",'Q22028'!E51&lt;&gt;""),'Q22028'!H51,"")</f>
        <v/>
      </c>
      <c r="F130" t="str">
        <f>IF(AND('Q22028'!B51&lt;&gt;"",'Q22028'!E51&lt;&gt;""),'Q22028'!F51,"")</f>
        <v/>
      </c>
      <c r="G130" t="str">
        <f>IF(AND('Q22028'!B51&lt;&gt;"",'Q22028'!E51&lt;&gt;""),'Q22028'!G51,"")</f>
        <v/>
      </c>
      <c r="H130" t="str">
        <f>IF(AND('Q22028'!B51&lt;&gt;"",'Q22028'!E51&lt;&gt;""),"Q22028","")</f>
        <v/>
      </c>
      <c r="I130" t="str">
        <f>IF(A130="Q12028",COUNTIF($A$2:$A130,"Q12028"),"")</f>
        <v/>
      </c>
      <c r="J130" t="str">
        <f>IF(A130="Q22028",COUNTIF($A$2:$A130,"Q22028"),"")</f>
        <v/>
      </c>
      <c r="K130" t="str">
        <f>IF(A130="Q32028",COUNTIF($A$2:$A130,"Q32028"),"")</f>
        <v/>
      </c>
      <c r="L130" t="str">
        <f>IF(A130="Q42028",COUNTIF($A$2:$A130,"Q42028"),"")</f>
        <v/>
      </c>
      <c r="M130" t="str">
        <f>IF(A130="Backlog",COUNTIF($A$2:$A130,"Backlog"),"")</f>
        <v/>
      </c>
    </row>
    <row r="131" spans="1:13">
      <c r="A131" t="str">
        <f>IF(AND('Q22028'!B52&lt;&gt;"",'Q22028'!E52&lt;&gt;""),'Q22028'!E52,"")</f>
        <v/>
      </c>
      <c r="B131" t="str">
        <f>IF(AND('Q22028'!B52&lt;&gt;"",'Q22028'!E52&lt;&gt;""),'Q22028'!B52,"")</f>
        <v/>
      </c>
      <c r="C131" t="str">
        <f>IF(AND('Q22028'!B52&lt;&gt;"",'Q22028'!E52&lt;&gt;""),'Q22028'!C52,"")</f>
        <v/>
      </c>
      <c r="D131" t="str">
        <f>IF(AND('Q22028'!B52&lt;&gt;"",'Q22028'!E52&lt;&gt;""),'Q22028'!D52,"")</f>
        <v/>
      </c>
      <c r="E131" t="str">
        <f>IF(AND('Q22028'!B52&lt;&gt;"",'Q22028'!E52&lt;&gt;""),'Q22028'!H52,"")</f>
        <v/>
      </c>
      <c r="F131" t="str">
        <f>IF(AND('Q22028'!B52&lt;&gt;"",'Q22028'!E52&lt;&gt;""),'Q22028'!F52,"")</f>
        <v/>
      </c>
      <c r="G131" t="str">
        <f>IF(AND('Q22028'!B52&lt;&gt;"",'Q22028'!E52&lt;&gt;""),'Q22028'!G52,"")</f>
        <v/>
      </c>
      <c r="H131" t="str">
        <f>IF(AND('Q22028'!B52&lt;&gt;"",'Q22028'!E52&lt;&gt;""),"Q22028","")</f>
        <v/>
      </c>
      <c r="I131" t="str">
        <f>IF(A131="Q12028",COUNTIF($A$2:$A131,"Q12028"),"")</f>
        <v/>
      </c>
      <c r="J131" t="str">
        <f>IF(A131="Q22028",COUNTIF($A$2:$A131,"Q22028"),"")</f>
        <v/>
      </c>
      <c r="K131" t="str">
        <f>IF(A131="Q32028",COUNTIF($A$2:$A131,"Q32028"),"")</f>
        <v/>
      </c>
      <c r="L131" t="str">
        <f>IF(A131="Q42028",COUNTIF($A$2:$A131,"Q42028"),"")</f>
        <v/>
      </c>
      <c r="M131" t="str">
        <f>IF(A131="Backlog",COUNTIF($A$2:$A131,"Backlog"),"")</f>
        <v/>
      </c>
    </row>
    <row r="132" spans="1:13">
      <c r="A132" t="str">
        <f>IF(AND('Q22028'!B53&lt;&gt;"",'Q22028'!E53&lt;&gt;""),'Q22028'!E53,"")</f>
        <v/>
      </c>
      <c r="B132" t="str">
        <f>IF(AND('Q22028'!B53&lt;&gt;"",'Q22028'!E53&lt;&gt;""),'Q22028'!B53,"")</f>
        <v/>
      </c>
      <c r="C132" t="str">
        <f>IF(AND('Q22028'!B53&lt;&gt;"",'Q22028'!E53&lt;&gt;""),'Q22028'!C53,"")</f>
        <v/>
      </c>
      <c r="D132" t="str">
        <f>IF(AND('Q22028'!B53&lt;&gt;"",'Q22028'!E53&lt;&gt;""),'Q22028'!D53,"")</f>
        <v/>
      </c>
      <c r="E132" t="str">
        <f>IF(AND('Q22028'!B53&lt;&gt;"",'Q22028'!E53&lt;&gt;""),'Q22028'!H53,"")</f>
        <v/>
      </c>
      <c r="F132" t="str">
        <f>IF(AND('Q22028'!B53&lt;&gt;"",'Q22028'!E53&lt;&gt;""),'Q22028'!F53,"")</f>
        <v/>
      </c>
      <c r="G132" t="str">
        <f>IF(AND('Q22028'!B53&lt;&gt;"",'Q22028'!E53&lt;&gt;""),'Q22028'!G53,"")</f>
        <v/>
      </c>
      <c r="H132" t="str">
        <f>IF(AND('Q22028'!B53&lt;&gt;"",'Q22028'!E53&lt;&gt;""),"Q22028","")</f>
        <v/>
      </c>
      <c r="I132" t="str">
        <f>IF(A132="Q12028",COUNTIF($A$2:$A132,"Q12028"),"")</f>
        <v/>
      </c>
      <c r="J132" t="str">
        <f>IF(A132="Q22028",COUNTIF($A$2:$A132,"Q22028"),"")</f>
        <v/>
      </c>
      <c r="K132" t="str">
        <f>IF(A132="Q32028",COUNTIF($A$2:$A132,"Q32028"),"")</f>
        <v/>
      </c>
      <c r="L132" t="str">
        <f>IF(A132="Q42028",COUNTIF($A$2:$A132,"Q42028"),"")</f>
        <v/>
      </c>
      <c r="M132" t="str">
        <f>IF(A132="Backlog",COUNTIF($A$2:$A132,"Backlog"),"")</f>
        <v/>
      </c>
    </row>
    <row r="133" spans="1:13">
      <c r="A133" t="str">
        <f>IF(AND('Q22028'!B54&lt;&gt;"",'Q22028'!E54&lt;&gt;""),'Q22028'!E54,"")</f>
        <v/>
      </c>
      <c r="B133" t="str">
        <f>IF(AND('Q22028'!B54&lt;&gt;"",'Q22028'!E54&lt;&gt;""),'Q22028'!B54,"")</f>
        <v/>
      </c>
      <c r="C133" t="str">
        <f>IF(AND('Q22028'!B54&lt;&gt;"",'Q22028'!E54&lt;&gt;""),'Q22028'!C54,"")</f>
        <v/>
      </c>
      <c r="D133" t="str">
        <f>IF(AND('Q22028'!B54&lt;&gt;"",'Q22028'!E54&lt;&gt;""),'Q22028'!D54,"")</f>
        <v/>
      </c>
      <c r="E133" t="str">
        <f>IF(AND('Q22028'!B54&lt;&gt;"",'Q22028'!E54&lt;&gt;""),'Q22028'!H54,"")</f>
        <v/>
      </c>
      <c r="F133" t="str">
        <f>IF(AND('Q22028'!B54&lt;&gt;"",'Q22028'!E54&lt;&gt;""),'Q22028'!F54,"")</f>
        <v/>
      </c>
      <c r="G133" t="str">
        <f>IF(AND('Q22028'!B54&lt;&gt;"",'Q22028'!E54&lt;&gt;""),'Q22028'!G54,"")</f>
        <v/>
      </c>
      <c r="H133" t="str">
        <f>IF(AND('Q22028'!B54&lt;&gt;"",'Q22028'!E54&lt;&gt;""),"Q22028","")</f>
        <v/>
      </c>
      <c r="I133" t="str">
        <f>IF(A133="Q12028",COUNTIF($A$2:$A133,"Q12028"),"")</f>
        <v/>
      </c>
      <c r="J133" t="str">
        <f>IF(A133="Q22028",COUNTIF($A$2:$A133,"Q22028"),"")</f>
        <v/>
      </c>
      <c r="K133" t="str">
        <f>IF(A133="Q32028",COUNTIF($A$2:$A133,"Q32028"),"")</f>
        <v/>
      </c>
      <c r="L133" t="str">
        <f>IF(A133="Q42028",COUNTIF($A$2:$A133,"Q42028"),"")</f>
        <v/>
      </c>
      <c r="M133" t="str">
        <f>IF(A133="Backlog",COUNTIF($A$2:$A133,"Backlog"),"")</f>
        <v/>
      </c>
    </row>
    <row r="134" spans="1:13">
      <c r="A134" t="str">
        <f>IF(AND('Q22028'!B55&lt;&gt;"",'Q22028'!E55&lt;&gt;""),'Q22028'!E55,"")</f>
        <v/>
      </c>
      <c r="B134" t="str">
        <f>IF(AND('Q22028'!B55&lt;&gt;"",'Q22028'!E55&lt;&gt;""),'Q22028'!B55,"")</f>
        <v/>
      </c>
      <c r="C134" t="str">
        <f>IF(AND('Q22028'!B55&lt;&gt;"",'Q22028'!E55&lt;&gt;""),'Q22028'!C55,"")</f>
        <v/>
      </c>
      <c r="D134" t="str">
        <f>IF(AND('Q22028'!B55&lt;&gt;"",'Q22028'!E55&lt;&gt;""),'Q22028'!D55,"")</f>
        <v/>
      </c>
      <c r="E134" t="str">
        <f>IF(AND('Q22028'!B55&lt;&gt;"",'Q22028'!E55&lt;&gt;""),'Q22028'!H55,"")</f>
        <v/>
      </c>
      <c r="F134" t="str">
        <f>IF(AND('Q22028'!B55&lt;&gt;"",'Q22028'!E55&lt;&gt;""),'Q22028'!F55,"")</f>
        <v/>
      </c>
      <c r="G134" t="str">
        <f>IF(AND('Q22028'!B55&lt;&gt;"",'Q22028'!E55&lt;&gt;""),'Q22028'!G55,"")</f>
        <v/>
      </c>
      <c r="H134" t="str">
        <f>IF(AND('Q22028'!B55&lt;&gt;"",'Q22028'!E55&lt;&gt;""),"Q22028","")</f>
        <v/>
      </c>
      <c r="I134" t="str">
        <f>IF(A134="Q12028",COUNTIF($A$2:$A134,"Q12028"),"")</f>
        <v/>
      </c>
      <c r="J134" t="str">
        <f>IF(A134="Q22028",COUNTIF($A$2:$A134,"Q22028"),"")</f>
        <v/>
      </c>
      <c r="K134" t="str">
        <f>IF(A134="Q32028",COUNTIF($A$2:$A134,"Q32028"),"")</f>
        <v/>
      </c>
      <c r="L134" t="str">
        <f>IF(A134="Q42028",COUNTIF($A$2:$A134,"Q42028"),"")</f>
        <v/>
      </c>
      <c r="M134" t="str">
        <f>IF(A134="Backlog",COUNTIF($A$2:$A134,"Backlog"),"")</f>
        <v/>
      </c>
    </row>
    <row r="135" spans="1:13">
      <c r="A135" t="str">
        <f>IF(AND('Q22028'!B56&lt;&gt;"",'Q22028'!E56&lt;&gt;""),'Q22028'!E56,"")</f>
        <v/>
      </c>
      <c r="B135" t="str">
        <f>IF(AND('Q22028'!B56&lt;&gt;"",'Q22028'!E56&lt;&gt;""),'Q22028'!B56,"")</f>
        <v/>
      </c>
      <c r="C135" t="str">
        <f>IF(AND('Q22028'!B56&lt;&gt;"",'Q22028'!E56&lt;&gt;""),'Q22028'!C56,"")</f>
        <v/>
      </c>
      <c r="D135" t="str">
        <f>IF(AND('Q22028'!B56&lt;&gt;"",'Q22028'!E56&lt;&gt;""),'Q22028'!D56,"")</f>
        <v/>
      </c>
      <c r="E135" t="str">
        <f>IF(AND('Q22028'!B56&lt;&gt;"",'Q22028'!E56&lt;&gt;""),'Q22028'!H56,"")</f>
        <v/>
      </c>
      <c r="F135" t="str">
        <f>IF(AND('Q22028'!B56&lt;&gt;"",'Q22028'!E56&lt;&gt;""),'Q22028'!F56,"")</f>
        <v/>
      </c>
      <c r="G135" t="str">
        <f>IF(AND('Q22028'!B56&lt;&gt;"",'Q22028'!E56&lt;&gt;""),'Q22028'!G56,"")</f>
        <v/>
      </c>
      <c r="H135" t="str">
        <f>IF(AND('Q22028'!B56&lt;&gt;"",'Q22028'!E56&lt;&gt;""),"Q22028","")</f>
        <v/>
      </c>
      <c r="I135" t="str">
        <f>IF(A135="Q12028",COUNTIF($A$2:$A135,"Q12028"),"")</f>
        <v/>
      </c>
      <c r="J135" t="str">
        <f>IF(A135="Q22028",COUNTIF($A$2:$A135,"Q22028"),"")</f>
        <v/>
      </c>
      <c r="K135" t="str">
        <f>IF(A135="Q32028",COUNTIF($A$2:$A135,"Q32028"),"")</f>
        <v/>
      </c>
      <c r="L135" t="str">
        <f>IF(A135="Q42028",COUNTIF($A$2:$A135,"Q42028"),"")</f>
        <v/>
      </c>
      <c r="M135" t="str">
        <f>IF(A135="Backlog",COUNTIF($A$2:$A135,"Backlog"),"")</f>
        <v/>
      </c>
    </row>
    <row r="136" spans="1:13">
      <c r="A136" t="str">
        <f>IF(AND('Q22028'!B57&lt;&gt;"",'Q22028'!E57&lt;&gt;""),'Q22028'!E57,"")</f>
        <v/>
      </c>
      <c r="B136" t="str">
        <f>IF(AND('Q22028'!B57&lt;&gt;"",'Q22028'!E57&lt;&gt;""),'Q22028'!B57,"")</f>
        <v/>
      </c>
      <c r="C136" t="str">
        <f>IF(AND('Q22028'!B57&lt;&gt;"",'Q22028'!E57&lt;&gt;""),'Q22028'!C57,"")</f>
        <v/>
      </c>
      <c r="D136" t="str">
        <f>IF(AND('Q22028'!B57&lt;&gt;"",'Q22028'!E57&lt;&gt;""),'Q22028'!D57,"")</f>
        <v/>
      </c>
      <c r="E136" t="str">
        <f>IF(AND('Q22028'!B57&lt;&gt;"",'Q22028'!E57&lt;&gt;""),'Q22028'!H57,"")</f>
        <v/>
      </c>
      <c r="F136" t="str">
        <f>IF(AND('Q22028'!B57&lt;&gt;"",'Q22028'!E57&lt;&gt;""),'Q22028'!F57,"")</f>
        <v/>
      </c>
      <c r="G136" t="str">
        <f>IF(AND('Q22028'!B57&lt;&gt;"",'Q22028'!E57&lt;&gt;""),'Q22028'!G57,"")</f>
        <v/>
      </c>
      <c r="H136" t="str">
        <f>IF(AND('Q22028'!B57&lt;&gt;"",'Q22028'!E57&lt;&gt;""),"Q22028","")</f>
        <v/>
      </c>
      <c r="I136" t="str">
        <f>IF(A136="Q12028",COUNTIF($A$2:$A136,"Q12028"),"")</f>
        <v/>
      </c>
      <c r="J136" t="str">
        <f>IF(A136="Q22028",COUNTIF($A$2:$A136,"Q22028"),"")</f>
        <v/>
      </c>
      <c r="K136" t="str">
        <f>IF(A136="Q32028",COUNTIF($A$2:$A136,"Q32028"),"")</f>
        <v/>
      </c>
      <c r="L136" t="str">
        <f>IF(A136="Q42028",COUNTIF($A$2:$A136,"Q42028"),"")</f>
        <v/>
      </c>
      <c r="M136" t="str">
        <f>IF(A136="Backlog",COUNTIF($A$2:$A136,"Backlog"),"")</f>
        <v/>
      </c>
    </row>
    <row r="137" spans="1:13">
      <c r="A137" t="str">
        <f>IF(AND('Q22028'!B58&lt;&gt;"",'Q22028'!E58&lt;&gt;""),'Q22028'!E58,"")</f>
        <v/>
      </c>
      <c r="B137" t="str">
        <f>IF(AND('Q22028'!B58&lt;&gt;"",'Q22028'!E58&lt;&gt;""),'Q22028'!B58,"")</f>
        <v/>
      </c>
      <c r="C137" t="str">
        <f>IF(AND('Q22028'!B58&lt;&gt;"",'Q22028'!E58&lt;&gt;""),'Q22028'!C58,"")</f>
        <v/>
      </c>
      <c r="D137" t="str">
        <f>IF(AND('Q22028'!B58&lt;&gt;"",'Q22028'!E58&lt;&gt;""),'Q22028'!D58,"")</f>
        <v/>
      </c>
      <c r="E137" t="str">
        <f>IF(AND('Q22028'!B58&lt;&gt;"",'Q22028'!E58&lt;&gt;""),'Q22028'!H58,"")</f>
        <v/>
      </c>
      <c r="F137" t="str">
        <f>IF(AND('Q22028'!B58&lt;&gt;"",'Q22028'!E58&lt;&gt;""),'Q22028'!F58,"")</f>
        <v/>
      </c>
      <c r="G137" t="str">
        <f>IF(AND('Q22028'!B58&lt;&gt;"",'Q22028'!E58&lt;&gt;""),'Q22028'!G58,"")</f>
        <v/>
      </c>
      <c r="H137" t="str">
        <f>IF(AND('Q22028'!B58&lt;&gt;"",'Q22028'!E58&lt;&gt;""),"Q22028","")</f>
        <v/>
      </c>
      <c r="I137" t="str">
        <f>IF(A137="Q12028",COUNTIF($A$2:$A137,"Q12028"),"")</f>
        <v/>
      </c>
      <c r="J137" t="str">
        <f>IF(A137="Q22028",COUNTIF($A$2:$A137,"Q22028"),"")</f>
        <v/>
      </c>
      <c r="K137" t="str">
        <f>IF(A137="Q32028",COUNTIF($A$2:$A137,"Q32028"),"")</f>
        <v/>
      </c>
      <c r="L137" t="str">
        <f>IF(A137="Q42028",COUNTIF($A$2:$A137,"Q42028"),"")</f>
        <v/>
      </c>
      <c r="M137" t="str">
        <f>IF(A137="Backlog",COUNTIF($A$2:$A137,"Backlog"),"")</f>
        <v/>
      </c>
    </row>
    <row r="138" spans="1:13">
      <c r="A138" t="str">
        <f>IF(AND('Q22028'!B59&lt;&gt;"",'Q22028'!E59&lt;&gt;""),'Q22028'!E59,"")</f>
        <v/>
      </c>
      <c r="B138" t="str">
        <f>IF(AND('Q22028'!B59&lt;&gt;"",'Q22028'!E59&lt;&gt;""),'Q22028'!B59,"")</f>
        <v/>
      </c>
      <c r="C138" t="str">
        <f>IF(AND('Q22028'!B59&lt;&gt;"",'Q22028'!E59&lt;&gt;""),'Q22028'!C59,"")</f>
        <v/>
      </c>
      <c r="D138" t="str">
        <f>IF(AND('Q22028'!B59&lt;&gt;"",'Q22028'!E59&lt;&gt;""),'Q22028'!D59,"")</f>
        <v/>
      </c>
      <c r="E138" t="str">
        <f>IF(AND('Q22028'!B59&lt;&gt;"",'Q22028'!E59&lt;&gt;""),'Q22028'!H59,"")</f>
        <v/>
      </c>
      <c r="F138" t="str">
        <f>IF(AND('Q22028'!B59&lt;&gt;"",'Q22028'!E59&lt;&gt;""),'Q22028'!F59,"")</f>
        <v/>
      </c>
      <c r="G138" t="str">
        <f>IF(AND('Q22028'!B59&lt;&gt;"",'Q22028'!E59&lt;&gt;""),'Q22028'!G59,"")</f>
        <v/>
      </c>
      <c r="H138" t="str">
        <f>IF(AND('Q22028'!B59&lt;&gt;"",'Q22028'!E59&lt;&gt;""),"Q22028","")</f>
        <v/>
      </c>
      <c r="I138" t="str">
        <f>IF(A138="Q12028",COUNTIF($A$2:$A138,"Q12028"),"")</f>
        <v/>
      </c>
      <c r="J138" t="str">
        <f>IF(A138="Q22028",COUNTIF($A$2:$A138,"Q22028"),"")</f>
        <v/>
      </c>
      <c r="K138" t="str">
        <f>IF(A138="Q32028",COUNTIF($A$2:$A138,"Q32028"),"")</f>
        <v/>
      </c>
      <c r="L138" t="str">
        <f>IF(A138="Q42028",COUNTIF($A$2:$A138,"Q42028"),"")</f>
        <v/>
      </c>
      <c r="M138" t="str">
        <f>IF(A138="Backlog",COUNTIF($A$2:$A138,"Backlog"),"")</f>
        <v/>
      </c>
    </row>
    <row r="139" spans="1:13">
      <c r="A139" t="str">
        <f>IF(AND('Q22028'!B60&lt;&gt;"",'Q22028'!E60&lt;&gt;""),'Q22028'!E60,"")</f>
        <v/>
      </c>
      <c r="B139" t="str">
        <f>IF(AND('Q22028'!B60&lt;&gt;"",'Q22028'!E60&lt;&gt;""),'Q22028'!B60,"")</f>
        <v/>
      </c>
      <c r="C139" t="str">
        <f>IF(AND('Q22028'!B60&lt;&gt;"",'Q22028'!E60&lt;&gt;""),'Q22028'!C60,"")</f>
        <v/>
      </c>
      <c r="D139" t="str">
        <f>IF(AND('Q22028'!B60&lt;&gt;"",'Q22028'!E60&lt;&gt;""),'Q22028'!D60,"")</f>
        <v/>
      </c>
      <c r="E139" t="str">
        <f>IF(AND('Q22028'!B60&lt;&gt;"",'Q22028'!E60&lt;&gt;""),'Q22028'!H60,"")</f>
        <v/>
      </c>
      <c r="F139" t="str">
        <f>IF(AND('Q22028'!B60&lt;&gt;"",'Q22028'!E60&lt;&gt;""),'Q22028'!F60,"")</f>
        <v/>
      </c>
      <c r="G139" t="str">
        <f>IF(AND('Q22028'!B60&lt;&gt;"",'Q22028'!E60&lt;&gt;""),'Q22028'!G60,"")</f>
        <v/>
      </c>
      <c r="H139" t="str">
        <f>IF(AND('Q22028'!B60&lt;&gt;"",'Q22028'!E60&lt;&gt;""),"Q22028","")</f>
        <v/>
      </c>
      <c r="I139" t="str">
        <f>IF(A139="Q12028",COUNTIF($A$2:$A139,"Q12028"),"")</f>
        <v/>
      </c>
      <c r="J139" t="str">
        <f>IF(A139="Q22028",COUNTIF($A$2:$A139,"Q22028"),"")</f>
        <v/>
      </c>
      <c r="K139" t="str">
        <f>IF(A139="Q32028",COUNTIF($A$2:$A139,"Q32028"),"")</f>
        <v/>
      </c>
      <c r="L139" t="str">
        <f>IF(A139="Q42028",COUNTIF($A$2:$A139,"Q42028"),"")</f>
        <v/>
      </c>
      <c r="M139" t="str">
        <f>IF(A139="Backlog",COUNTIF($A$2:$A139,"Backlog"),"")</f>
        <v/>
      </c>
    </row>
    <row r="140" spans="1:13">
      <c r="A140" t="str">
        <f>IF(AND('Q22028'!B61&lt;&gt;"",'Q22028'!E61&lt;&gt;""),'Q22028'!E61,"")</f>
        <v/>
      </c>
      <c r="B140" t="str">
        <f>IF(AND('Q22028'!B61&lt;&gt;"",'Q22028'!E61&lt;&gt;""),'Q22028'!B61,"")</f>
        <v/>
      </c>
      <c r="C140" t="str">
        <f>IF(AND('Q22028'!B61&lt;&gt;"",'Q22028'!E61&lt;&gt;""),'Q22028'!C61,"")</f>
        <v/>
      </c>
      <c r="D140" t="str">
        <f>IF(AND('Q22028'!B61&lt;&gt;"",'Q22028'!E61&lt;&gt;""),'Q22028'!D61,"")</f>
        <v/>
      </c>
      <c r="E140" t="str">
        <f>IF(AND('Q22028'!B61&lt;&gt;"",'Q22028'!E61&lt;&gt;""),'Q22028'!H61,"")</f>
        <v/>
      </c>
      <c r="F140" t="str">
        <f>IF(AND('Q22028'!B61&lt;&gt;"",'Q22028'!E61&lt;&gt;""),'Q22028'!F61,"")</f>
        <v/>
      </c>
      <c r="G140" t="str">
        <f>IF(AND('Q22028'!B61&lt;&gt;"",'Q22028'!E61&lt;&gt;""),'Q22028'!G61,"")</f>
        <v/>
      </c>
      <c r="H140" t="str">
        <f>IF(AND('Q22028'!B61&lt;&gt;"",'Q22028'!E61&lt;&gt;""),"Q22028","")</f>
        <v/>
      </c>
      <c r="I140" t="str">
        <f>IF(A140="Q12028",COUNTIF($A$2:$A140,"Q12028"),"")</f>
        <v/>
      </c>
      <c r="J140" t="str">
        <f>IF(A140="Q22028",COUNTIF($A$2:$A140,"Q22028"),"")</f>
        <v/>
      </c>
      <c r="K140" t="str">
        <f>IF(A140="Q32028",COUNTIF($A$2:$A140,"Q32028"),"")</f>
        <v/>
      </c>
      <c r="L140" t="str">
        <f>IF(A140="Q42028",COUNTIF($A$2:$A140,"Q42028"),"")</f>
        <v/>
      </c>
      <c r="M140" t="str">
        <f>IF(A140="Backlog",COUNTIF($A$2:$A140,"Backlog"),"")</f>
        <v/>
      </c>
    </row>
    <row r="141" spans="1:13">
      <c r="A141" t="str">
        <f>IF(AND('Q22028'!B62&lt;&gt;"",'Q22028'!E62&lt;&gt;""),'Q22028'!E62,"")</f>
        <v/>
      </c>
      <c r="B141" t="str">
        <f>IF(AND('Q22028'!B62&lt;&gt;"",'Q22028'!E62&lt;&gt;""),'Q22028'!B62,"")</f>
        <v/>
      </c>
      <c r="C141" t="str">
        <f>IF(AND('Q22028'!B62&lt;&gt;"",'Q22028'!E62&lt;&gt;""),'Q22028'!C62,"")</f>
        <v/>
      </c>
      <c r="D141" t="str">
        <f>IF(AND('Q22028'!B62&lt;&gt;"",'Q22028'!E62&lt;&gt;""),'Q22028'!D62,"")</f>
        <v/>
      </c>
      <c r="E141" t="str">
        <f>IF(AND('Q22028'!B62&lt;&gt;"",'Q22028'!E62&lt;&gt;""),'Q22028'!H62,"")</f>
        <v/>
      </c>
      <c r="F141" t="str">
        <f>IF(AND('Q22028'!B62&lt;&gt;"",'Q22028'!E62&lt;&gt;""),'Q22028'!F62,"")</f>
        <v/>
      </c>
      <c r="G141" t="str">
        <f>IF(AND('Q22028'!B62&lt;&gt;"",'Q22028'!E62&lt;&gt;""),'Q22028'!G62,"")</f>
        <v/>
      </c>
      <c r="H141" t="str">
        <f>IF(AND('Q22028'!B62&lt;&gt;"",'Q22028'!E62&lt;&gt;""),"Q22028","")</f>
        <v/>
      </c>
      <c r="I141" t="str">
        <f>IF(A141="Q12028",COUNTIF($A$2:$A141,"Q12028"),"")</f>
        <v/>
      </c>
      <c r="J141" t="str">
        <f>IF(A141="Q22028",COUNTIF($A$2:$A141,"Q22028"),"")</f>
        <v/>
      </c>
      <c r="K141" t="str">
        <f>IF(A141="Q32028",COUNTIF($A$2:$A141,"Q32028"),"")</f>
        <v/>
      </c>
      <c r="L141" t="str">
        <f>IF(A141="Q42028",COUNTIF($A$2:$A141,"Q42028"),"")</f>
        <v/>
      </c>
      <c r="M141" t="str">
        <f>IF(A141="Backlog",COUNTIF($A$2:$A141,"Backlog"),"")</f>
        <v/>
      </c>
    </row>
    <row r="142" spans="1:13">
      <c r="A142" t="str">
        <f>IF(AND('Q22028'!B63&lt;&gt;"",'Q22028'!E63&lt;&gt;""),'Q22028'!E63,"")</f>
        <v/>
      </c>
      <c r="B142" t="str">
        <f>IF(AND('Q22028'!B63&lt;&gt;"",'Q22028'!E63&lt;&gt;""),'Q22028'!B63,"")</f>
        <v/>
      </c>
      <c r="C142" t="str">
        <f>IF(AND('Q22028'!B63&lt;&gt;"",'Q22028'!E63&lt;&gt;""),'Q22028'!C63,"")</f>
        <v/>
      </c>
      <c r="D142" t="str">
        <f>IF(AND('Q22028'!B63&lt;&gt;"",'Q22028'!E63&lt;&gt;""),'Q22028'!D63,"")</f>
        <v/>
      </c>
      <c r="E142" t="str">
        <f>IF(AND('Q22028'!B63&lt;&gt;"",'Q22028'!E63&lt;&gt;""),'Q22028'!H63,"")</f>
        <v/>
      </c>
      <c r="F142" t="str">
        <f>IF(AND('Q22028'!B63&lt;&gt;"",'Q22028'!E63&lt;&gt;""),'Q22028'!F63,"")</f>
        <v/>
      </c>
      <c r="G142" t="str">
        <f>IF(AND('Q22028'!B63&lt;&gt;"",'Q22028'!E63&lt;&gt;""),'Q22028'!G63,"")</f>
        <v/>
      </c>
      <c r="H142" t="str">
        <f>IF(AND('Q22028'!B63&lt;&gt;"",'Q22028'!E63&lt;&gt;""),"Q22028","")</f>
        <v/>
      </c>
      <c r="I142" t="str">
        <f>IF(A142="Q12028",COUNTIF($A$2:$A142,"Q12028"),"")</f>
        <v/>
      </c>
      <c r="J142" t="str">
        <f>IF(A142="Q22028",COUNTIF($A$2:$A142,"Q22028"),"")</f>
        <v/>
      </c>
      <c r="K142" t="str">
        <f>IF(A142="Q32028",COUNTIF($A$2:$A142,"Q32028"),"")</f>
        <v/>
      </c>
      <c r="L142" t="str">
        <f>IF(A142="Q42028",COUNTIF($A$2:$A142,"Q42028"),"")</f>
        <v/>
      </c>
      <c r="M142" t="str">
        <f>IF(A142="Backlog",COUNTIF($A$2:$A142,"Backlog"),"")</f>
        <v/>
      </c>
    </row>
    <row r="143" spans="1:13">
      <c r="A143" t="str">
        <f>IF(AND('Q22028'!B64&lt;&gt;"",'Q22028'!E64&lt;&gt;""),'Q22028'!E64,"")</f>
        <v/>
      </c>
      <c r="B143" t="str">
        <f>IF(AND('Q22028'!B64&lt;&gt;"",'Q22028'!E64&lt;&gt;""),'Q22028'!B64,"")</f>
        <v/>
      </c>
      <c r="C143" t="str">
        <f>IF(AND('Q22028'!B64&lt;&gt;"",'Q22028'!E64&lt;&gt;""),'Q22028'!C64,"")</f>
        <v/>
      </c>
      <c r="D143" t="str">
        <f>IF(AND('Q22028'!B64&lt;&gt;"",'Q22028'!E64&lt;&gt;""),'Q22028'!D64,"")</f>
        <v/>
      </c>
      <c r="E143" t="str">
        <f>IF(AND('Q22028'!B64&lt;&gt;"",'Q22028'!E64&lt;&gt;""),'Q22028'!H64,"")</f>
        <v/>
      </c>
      <c r="F143" t="str">
        <f>IF(AND('Q22028'!B64&lt;&gt;"",'Q22028'!E64&lt;&gt;""),'Q22028'!F64,"")</f>
        <v/>
      </c>
      <c r="G143" t="str">
        <f>IF(AND('Q22028'!B64&lt;&gt;"",'Q22028'!E64&lt;&gt;""),'Q22028'!G64,"")</f>
        <v/>
      </c>
      <c r="H143" t="str">
        <f>IF(AND('Q22028'!B64&lt;&gt;"",'Q22028'!E64&lt;&gt;""),"Q22028","")</f>
        <v/>
      </c>
      <c r="I143" t="str">
        <f>IF(A143="Q12028",COUNTIF($A$2:$A143,"Q12028"),"")</f>
        <v/>
      </c>
      <c r="J143" t="str">
        <f>IF(A143="Q22028",COUNTIF($A$2:$A143,"Q22028"),"")</f>
        <v/>
      </c>
      <c r="K143" t="str">
        <f>IF(A143="Q32028",COUNTIF($A$2:$A143,"Q32028"),"")</f>
        <v/>
      </c>
      <c r="L143" t="str">
        <f>IF(A143="Q42028",COUNTIF($A$2:$A143,"Q42028"),"")</f>
        <v/>
      </c>
      <c r="M143" t="str">
        <f>IF(A143="Backlog",COUNTIF($A$2:$A143,"Backlog"),"")</f>
        <v/>
      </c>
    </row>
    <row r="144" spans="1:13">
      <c r="A144" t="str">
        <f>IF(AND('Q22028'!B65&lt;&gt;"",'Q22028'!E65&lt;&gt;""),'Q22028'!E65,"")</f>
        <v/>
      </c>
      <c r="B144" t="str">
        <f>IF(AND('Q22028'!B65&lt;&gt;"",'Q22028'!E65&lt;&gt;""),'Q22028'!B65,"")</f>
        <v/>
      </c>
      <c r="C144" t="str">
        <f>IF(AND('Q22028'!B65&lt;&gt;"",'Q22028'!E65&lt;&gt;""),'Q22028'!C65,"")</f>
        <v/>
      </c>
      <c r="D144" t="str">
        <f>IF(AND('Q22028'!B65&lt;&gt;"",'Q22028'!E65&lt;&gt;""),'Q22028'!D65,"")</f>
        <v/>
      </c>
      <c r="E144" t="str">
        <f>IF(AND('Q22028'!B65&lt;&gt;"",'Q22028'!E65&lt;&gt;""),'Q22028'!H65,"")</f>
        <v/>
      </c>
      <c r="F144" t="str">
        <f>IF(AND('Q22028'!B65&lt;&gt;"",'Q22028'!E65&lt;&gt;""),'Q22028'!F65,"")</f>
        <v/>
      </c>
      <c r="G144" t="str">
        <f>IF(AND('Q22028'!B65&lt;&gt;"",'Q22028'!E65&lt;&gt;""),'Q22028'!G65,"")</f>
        <v/>
      </c>
      <c r="H144" t="str">
        <f>IF(AND('Q22028'!B65&lt;&gt;"",'Q22028'!E65&lt;&gt;""),"Q22028","")</f>
        <v/>
      </c>
      <c r="I144" t="str">
        <f>IF(A144="Q12028",COUNTIF($A$2:$A144,"Q12028"),"")</f>
        <v/>
      </c>
      <c r="J144" t="str">
        <f>IF(A144="Q22028",COUNTIF($A$2:$A144,"Q22028"),"")</f>
        <v/>
      </c>
      <c r="K144" t="str">
        <f>IF(A144="Q32028",COUNTIF($A$2:$A144,"Q32028"),"")</f>
        <v/>
      </c>
      <c r="L144" t="str">
        <f>IF(A144="Q42028",COUNTIF($A$2:$A144,"Q42028"),"")</f>
        <v/>
      </c>
      <c r="M144" t="str">
        <f>IF(A144="Backlog",COUNTIF($A$2:$A144,"Backlog"),"")</f>
        <v/>
      </c>
    </row>
    <row r="145" spans="1:13">
      <c r="A145" t="str">
        <f>IF(AND('Q22028'!B66&lt;&gt;"",'Q22028'!E66&lt;&gt;""),'Q22028'!E66,"")</f>
        <v/>
      </c>
      <c r="B145" t="str">
        <f>IF(AND('Q22028'!B66&lt;&gt;"",'Q22028'!E66&lt;&gt;""),'Q22028'!B66,"")</f>
        <v/>
      </c>
      <c r="C145" t="str">
        <f>IF(AND('Q22028'!B66&lt;&gt;"",'Q22028'!E66&lt;&gt;""),'Q22028'!C66,"")</f>
        <v/>
      </c>
      <c r="D145" t="str">
        <f>IF(AND('Q22028'!B66&lt;&gt;"",'Q22028'!E66&lt;&gt;""),'Q22028'!D66,"")</f>
        <v/>
      </c>
      <c r="E145" t="str">
        <f>IF(AND('Q22028'!B66&lt;&gt;"",'Q22028'!E66&lt;&gt;""),'Q22028'!H66,"")</f>
        <v/>
      </c>
      <c r="F145" t="str">
        <f>IF(AND('Q22028'!B66&lt;&gt;"",'Q22028'!E66&lt;&gt;""),'Q22028'!F66,"")</f>
        <v/>
      </c>
      <c r="G145" t="str">
        <f>IF(AND('Q22028'!B66&lt;&gt;"",'Q22028'!E66&lt;&gt;""),'Q22028'!G66,"")</f>
        <v/>
      </c>
      <c r="H145" t="str">
        <f>IF(AND('Q22028'!B66&lt;&gt;"",'Q22028'!E66&lt;&gt;""),"Q22028","")</f>
        <v/>
      </c>
      <c r="I145" t="str">
        <f>IF(A145="Q12028",COUNTIF($A$2:$A145,"Q12028"),"")</f>
        <v/>
      </c>
      <c r="J145" t="str">
        <f>IF(A145="Q22028",COUNTIF($A$2:$A145,"Q22028"),"")</f>
        <v/>
      </c>
      <c r="K145" t="str">
        <f>IF(A145="Q32028",COUNTIF($A$2:$A145,"Q32028"),"")</f>
        <v/>
      </c>
      <c r="L145" t="str">
        <f>IF(A145="Q42028",COUNTIF($A$2:$A145,"Q42028"),"")</f>
        <v/>
      </c>
      <c r="M145" t="str">
        <f>IF(A145="Backlog",COUNTIF($A$2:$A145,"Backlog"),"")</f>
        <v/>
      </c>
    </row>
    <row r="146" spans="1:13">
      <c r="A146" t="str">
        <f>IF(AND('Q22028'!B67&lt;&gt;"",'Q22028'!E67&lt;&gt;""),'Q22028'!E67,"")</f>
        <v/>
      </c>
      <c r="B146" t="str">
        <f>IF(AND('Q22028'!B67&lt;&gt;"",'Q22028'!E67&lt;&gt;""),'Q22028'!B67,"")</f>
        <v/>
      </c>
      <c r="C146" t="str">
        <f>IF(AND('Q22028'!B67&lt;&gt;"",'Q22028'!E67&lt;&gt;""),'Q22028'!C67,"")</f>
        <v/>
      </c>
      <c r="D146" t="str">
        <f>IF(AND('Q22028'!B67&lt;&gt;"",'Q22028'!E67&lt;&gt;""),'Q22028'!D67,"")</f>
        <v/>
      </c>
      <c r="E146" t="str">
        <f>IF(AND('Q22028'!B67&lt;&gt;"",'Q22028'!E67&lt;&gt;""),'Q22028'!H67,"")</f>
        <v/>
      </c>
      <c r="F146" t="str">
        <f>IF(AND('Q22028'!B67&lt;&gt;"",'Q22028'!E67&lt;&gt;""),'Q22028'!F67,"")</f>
        <v/>
      </c>
      <c r="G146" t="str">
        <f>IF(AND('Q22028'!B67&lt;&gt;"",'Q22028'!E67&lt;&gt;""),'Q22028'!G67,"")</f>
        <v/>
      </c>
      <c r="H146" t="str">
        <f>IF(AND('Q22028'!B67&lt;&gt;"",'Q22028'!E67&lt;&gt;""),"Q22028","")</f>
        <v/>
      </c>
      <c r="I146" t="str">
        <f>IF(A146="Q12028",COUNTIF($A$2:$A146,"Q12028"),"")</f>
        <v/>
      </c>
      <c r="J146" t="str">
        <f>IF(A146="Q22028",COUNTIF($A$2:$A146,"Q22028"),"")</f>
        <v/>
      </c>
      <c r="K146" t="str">
        <f>IF(A146="Q32028",COUNTIF($A$2:$A146,"Q32028"),"")</f>
        <v/>
      </c>
      <c r="L146" t="str">
        <f>IF(A146="Q42028",COUNTIF($A$2:$A146,"Q42028"),"")</f>
        <v/>
      </c>
      <c r="M146" t="str">
        <f>IF(A146="Backlog",COUNTIF($A$2:$A146,"Backlog"),"")</f>
        <v/>
      </c>
    </row>
    <row r="147" spans="1:13">
      <c r="A147" t="str">
        <f>IF(AND('Q22028'!B68&lt;&gt;"",'Q22028'!E68&lt;&gt;""),'Q22028'!E68,"")</f>
        <v/>
      </c>
      <c r="B147" t="str">
        <f>IF(AND('Q22028'!B68&lt;&gt;"",'Q22028'!E68&lt;&gt;""),'Q22028'!B68,"")</f>
        <v/>
      </c>
      <c r="C147" t="str">
        <f>IF(AND('Q22028'!B68&lt;&gt;"",'Q22028'!E68&lt;&gt;""),'Q22028'!C68,"")</f>
        <v/>
      </c>
      <c r="D147" t="str">
        <f>IF(AND('Q22028'!B68&lt;&gt;"",'Q22028'!E68&lt;&gt;""),'Q22028'!D68,"")</f>
        <v/>
      </c>
      <c r="E147" t="str">
        <f>IF(AND('Q22028'!B68&lt;&gt;"",'Q22028'!E68&lt;&gt;""),'Q22028'!H68,"")</f>
        <v/>
      </c>
      <c r="F147" t="str">
        <f>IF(AND('Q22028'!B68&lt;&gt;"",'Q22028'!E68&lt;&gt;""),'Q22028'!F68,"")</f>
        <v/>
      </c>
      <c r="G147" t="str">
        <f>IF(AND('Q22028'!B68&lt;&gt;"",'Q22028'!E68&lt;&gt;""),'Q22028'!G68,"")</f>
        <v/>
      </c>
      <c r="H147" t="str">
        <f>IF(AND('Q22028'!B68&lt;&gt;"",'Q22028'!E68&lt;&gt;""),"Q22028","")</f>
        <v/>
      </c>
      <c r="I147" t="str">
        <f>IF(A147="Q12028",COUNTIF($A$2:$A147,"Q12028"),"")</f>
        <v/>
      </c>
      <c r="J147" t="str">
        <f>IF(A147="Q22028",COUNTIF($A$2:$A147,"Q22028"),"")</f>
        <v/>
      </c>
      <c r="K147" t="str">
        <f>IF(A147="Q32028",COUNTIF($A$2:$A147,"Q32028"),"")</f>
        <v/>
      </c>
      <c r="L147" t="str">
        <f>IF(A147="Q42028",COUNTIF($A$2:$A147,"Q42028"),"")</f>
        <v/>
      </c>
      <c r="M147" t="str">
        <f>IF(A147="Backlog",COUNTIF($A$2:$A147,"Backlog"),"")</f>
        <v/>
      </c>
    </row>
    <row r="148" spans="1:13">
      <c r="A148" t="str">
        <f>IF(AND('Q22028'!B69&lt;&gt;"",'Q22028'!E69&lt;&gt;""),'Q22028'!E69,"")</f>
        <v/>
      </c>
      <c r="B148" t="str">
        <f>IF(AND('Q22028'!B69&lt;&gt;"",'Q22028'!E69&lt;&gt;""),'Q22028'!B69,"")</f>
        <v/>
      </c>
      <c r="C148" t="str">
        <f>IF(AND('Q22028'!B69&lt;&gt;"",'Q22028'!E69&lt;&gt;""),'Q22028'!C69,"")</f>
        <v/>
      </c>
      <c r="D148" t="str">
        <f>IF(AND('Q22028'!B69&lt;&gt;"",'Q22028'!E69&lt;&gt;""),'Q22028'!D69,"")</f>
        <v/>
      </c>
      <c r="E148" t="str">
        <f>IF(AND('Q22028'!B69&lt;&gt;"",'Q22028'!E69&lt;&gt;""),'Q22028'!H69,"")</f>
        <v/>
      </c>
      <c r="F148" t="str">
        <f>IF(AND('Q22028'!B69&lt;&gt;"",'Q22028'!E69&lt;&gt;""),'Q22028'!F69,"")</f>
        <v/>
      </c>
      <c r="G148" t="str">
        <f>IF(AND('Q22028'!B69&lt;&gt;"",'Q22028'!E69&lt;&gt;""),'Q22028'!G69,"")</f>
        <v/>
      </c>
      <c r="H148" t="str">
        <f>IF(AND('Q22028'!B69&lt;&gt;"",'Q22028'!E69&lt;&gt;""),"Q22028","")</f>
        <v/>
      </c>
      <c r="I148" t="str">
        <f>IF(A148="Q12028",COUNTIF($A$2:$A148,"Q12028"),"")</f>
        <v/>
      </c>
      <c r="J148" t="str">
        <f>IF(A148="Q22028",COUNTIF($A$2:$A148,"Q22028"),"")</f>
        <v/>
      </c>
      <c r="K148" t="str">
        <f>IF(A148="Q32028",COUNTIF($A$2:$A148,"Q32028"),"")</f>
        <v/>
      </c>
      <c r="L148" t="str">
        <f>IF(A148="Q42028",COUNTIF($A$2:$A148,"Q42028"),"")</f>
        <v/>
      </c>
      <c r="M148" t="str">
        <f>IF(A148="Backlog",COUNTIF($A$2:$A148,"Backlog"),"")</f>
        <v/>
      </c>
    </row>
    <row r="149" spans="1:13">
      <c r="A149" t="str">
        <f>IF(AND('Q22028'!B70&lt;&gt;"",'Q22028'!E70&lt;&gt;""),'Q22028'!E70,"")</f>
        <v/>
      </c>
      <c r="B149" t="str">
        <f>IF(AND('Q22028'!B70&lt;&gt;"",'Q22028'!E70&lt;&gt;""),'Q22028'!B70,"")</f>
        <v/>
      </c>
      <c r="C149" t="str">
        <f>IF(AND('Q22028'!B70&lt;&gt;"",'Q22028'!E70&lt;&gt;""),'Q22028'!C70,"")</f>
        <v/>
      </c>
      <c r="D149" t="str">
        <f>IF(AND('Q22028'!B70&lt;&gt;"",'Q22028'!E70&lt;&gt;""),'Q22028'!D70,"")</f>
        <v/>
      </c>
      <c r="E149" t="str">
        <f>IF(AND('Q22028'!B70&lt;&gt;"",'Q22028'!E70&lt;&gt;""),'Q22028'!H70,"")</f>
        <v/>
      </c>
      <c r="F149" t="str">
        <f>IF(AND('Q22028'!B70&lt;&gt;"",'Q22028'!E70&lt;&gt;""),'Q22028'!F70,"")</f>
        <v/>
      </c>
      <c r="G149" t="str">
        <f>IF(AND('Q22028'!B70&lt;&gt;"",'Q22028'!E70&lt;&gt;""),'Q22028'!G70,"")</f>
        <v/>
      </c>
      <c r="H149" t="str">
        <f>IF(AND('Q22028'!B70&lt;&gt;"",'Q22028'!E70&lt;&gt;""),"Q22028","")</f>
        <v/>
      </c>
      <c r="I149" t="str">
        <f>IF(A149="Q12028",COUNTIF($A$2:$A149,"Q12028"),"")</f>
        <v/>
      </c>
      <c r="J149" t="str">
        <f>IF(A149="Q22028",COUNTIF($A$2:$A149,"Q22028"),"")</f>
        <v/>
      </c>
      <c r="K149" t="str">
        <f>IF(A149="Q32028",COUNTIF($A$2:$A149,"Q32028"),"")</f>
        <v/>
      </c>
      <c r="L149" t="str">
        <f>IF(A149="Q42028",COUNTIF($A$2:$A149,"Q42028"),"")</f>
        <v/>
      </c>
      <c r="M149" t="str">
        <f>IF(A149="Backlog",COUNTIF($A$2:$A149,"Backlog"),"")</f>
        <v/>
      </c>
    </row>
    <row r="150" spans="1:13">
      <c r="A150" t="str">
        <f>IF(AND('Q22028'!B71&lt;&gt;"",'Q22028'!E71&lt;&gt;""),'Q22028'!E71,"")</f>
        <v/>
      </c>
      <c r="B150" t="str">
        <f>IF(AND('Q22028'!B71&lt;&gt;"",'Q22028'!E71&lt;&gt;""),'Q22028'!B71,"")</f>
        <v/>
      </c>
      <c r="C150" t="str">
        <f>IF(AND('Q22028'!B71&lt;&gt;"",'Q22028'!E71&lt;&gt;""),'Q22028'!C71,"")</f>
        <v/>
      </c>
      <c r="D150" t="str">
        <f>IF(AND('Q22028'!B71&lt;&gt;"",'Q22028'!E71&lt;&gt;""),'Q22028'!D71,"")</f>
        <v/>
      </c>
      <c r="E150" t="str">
        <f>IF(AND('Q22028'!B71&lt;&gt;"",'Q22028'!E71&lt;&gt;""),'Q22028'!H71,"")</f>
        <v/>
      </c>
      <c r="F150" t="str">
        <f>IF(AND('Q22028'!B71&lt;&gt;"",'Q22028'!E71&lt;&gt;""),'Q22028'!F71,"")</f>
        <v/>
      </c>
      <c r="G150" t="str">
        <f>IF(AND('Q22028'!B71&lt;&gt;"",'Q22028'!E71&lt;&gt;""),'Q22028'!G71,"")</f>
        <v/>
      </c>
      <c r="H150" t="str">
        <f>IF(AND('Q22028'!B71&lt;&gt;"",'Q22028'!E71&lt;&gt;""),"Q22028","")</f>
        <v/>
      </c>
      <c r="I150" t="str">
        <f>IF(A150="Q12028",COUNTIF($A$2:$A150,"Q12028"),"")</f>
        <v/>
      </c>
      <c r="J150" t="str">
        <f>IF(A150="Q22028",COUNTIF($A$2:$A150,"Q22028"),"")</f>
        <v/>
      </c>
      <c r="K150" t="str">
        <f>IF(A150="Q32028",COUNTIF($A$2:$A150,"Q32028"),"")</f>
        <v/>
      </c>
      <c r="L150" t="str">
        <f>IF(A150="Q42028",COUNTIF($A$2:$A150,"Q42028"),"")</f>
        <v/>
      </c>
      <c r="M150" t="str">
        <f>IF(A150="Backlog",COUNTIF($A$2:$A150,"Backlog"),"")</f>
        <v/>
      </c>
    </row>
    <row r="151" spans="1:13">
      <c r="A151" t="str">
        <f>IF(AND('Q22028'!B72&lt;&gt;"",'Q22028'!E72&lt;&gt;""),'Q22028'!E72,"")</f>
        <v/>
      </c>
      <c r="B151" t="str">
        <f>IF(AND('Q22028'!B72&lt;&gt;"",'Q22028'!E72&lt;&gt;""),'Q22028'!B72,"")</f>
        <v/>
      </c>
      <c r="C151" t="str">
        <f>IF(AND('Q22028'!B72&lt;&gt;"",'Q22028'!E72&lt;&gt;""),'Q22028'!C72,"")</f>
        <v/>
      </c>
      <c r="D151" t="str">
        <f>IF(AND('Q22028'!B72&lt;&gt;"",'Q22028'!E72&lt;&gt;""),'Q22028'!D72,"")</f>
        <v/>
      </c>
      <c r="E151" t="str">
        <f>IF(AND('Q22028'!B72&lt;&gt;"",'Q22028'!E72&lt;&gt;""),'Q22028'!H72,"")</f>
        <v/>
      </c>
      <c r="F151" t="str">
        <f>IF(AND('Q22028'!B72&lt;&gt;"",'Q22028'!E72&lt;&gt;""),'Q22028'!F72,"")</f>
        <v/>
      </c>
      <c r="G151" t="str">
        <f>IF(AND('Q22028'!B72&lt;&gt;"",'Q22028'!E72&lt;&gt;""),'Q22028'!G72,"")</f>
        <v/>
      </c>
      <c r="H151" t="str">
        <f>IF(AND('Q22028'!B72&lt;&gt;"",'Q22028'!E72&lt;&gt;""),"Q22028","")</f>
        <v/>
      </c>
      <c r="I151" t="str">
        <f>IF(A151="Q12028",COUNTIF($A$2:$A151,"Q12028"),"")</f>
        <v/>
      </c>
      <c r="J151" t="str">
        <f>IF(A151="Q22028",COUNTIF($A$2:$A151,"Q22028"),"")</f>
        <v/>
      </c>
      <c r="K151" t="str">
        <f>IF(A151="Q32028",COUNTIF($A$2:$A151,"Q32028"),"")</f>
        <v/>
      </c>
      <c r="L151" t="str">
        <f>IF(A151="Q42028",COUNTIF($A$2:$A151,"Q42028"),"")</f>
        <v/>
      </c>
      <c r="M151" t="str">
        <f>IF(A151="Backlog",COUNTIF($A$2:$A151,"Backlog"),"")</f>
        <v/>
      </c>
    </row>
    <row r="152" spans="1:13">
      <c r="A152" t="str">
        <f>IF(AND('Q22028'!B73&lt;&gt;"",'Q22028'!E73&lt;&gt;""),'Q22028'!E73,"")</f>
        <v/>
      </c>
      <c r="B152" t="str">
        <f>IF(AND('Q22028'!B73&lt;&gt;"",'Q22028'!E73&lt;&gt;""),'Q22028'!B73,"")</f>
        <v/>
      </c>
      <c r="C152" t="str">
        <f>IF(AND('Q22028'!B73&lt;&gt;"",'Q22028'!E73&lt;&gt;""),'Q22028'!C73,"")</f>
        <v/>
      </c>
      <c r="D152" t="str">
        <f>IF(AND('Q22028'!B73&lt;&gt;"",'Q22028'!E73&lt;&gt;""),'Q22028'!D73,"")</f>
        <v/>
      </c>
      <c r="E152" t="str">
        <f>IF(AND('Q22028'!B73&lt;&gt;"",'Q22028'!E73&lt;&gt;""),'Q22028'!H73,"")</f>
        <v/>
      </c>
      <c r="F152" t="str">
        <f>IF(AND('Q22028'!B73&lt;&gt;"",'Q22028'!E73&lt;&gt;""),'Q22028'!F73,"")</f>
        <v/>
      </c>
      <c r="G152" t="str">
        <f>IF(AND('Q22028'!B73&lt;&gt;"",'Q22028'!E73&lt;&gt;""),'Q22028'!G73,"")</f>
        <v/>
      </c>
      <c r="H152" t="str">
        <f>IF(AND('Q22028'!B73&lt;&gt;"",'Q22028'!E73&lt;&gt;""),"Q22028","")</f>
        <v/>
      </c>
      <c r="I152" t="str">
        <f>IF(A152="Q12028",COUNTIF($A$2:$A152,"Q12028"),"")</f>
        <v/>
      </c>
      <c r="J152" t="str">
        <f>IF(A152="Q22028",COUNTIF($A$2:$A152,"Q22028"),"")</f>
        <v/>
      </c>
      <c r="K152" t="str">
        <f>IF(A152="Q32028",COUNTIF($A$2:$A152,"Q32028"),"")</f>
        <v/>
      </c>
      <c r="L152" t="str">
        <f>IF(A152="Q42028",COUNTIF($A$2:$A152,"Q42028"),"")</f>
        <v/>
      </c>
      <c r="M152" t="str">
        <f>IF(A152="Backlog",COUNTIF($A$2:$A152,"Backlog"),"")</f>
        <v/>
      </c>
    </row>
    <row r="153" spans="1:13">
      <c r="A153" t="str">
        <f>IF(AND('Q22028'!B74&lt;&gt;"",'Q22028'!E74&lt;&gt;""),'Q22028'!E74,"")</f>
        <v/>
      </c>
      <c r="B153" t="str">
        <f>IF(AND('Q22028'!B74&lt;&gt;"",'Q22028'!E74&lt;&gt;""),'Q22028'!B74,"")</f>
        <v/>
      </c>
      <c r="C153" t="str">
        <f>IF(AND('Q22028'!B74&lt;&gt;"",'Q22028'!E74&lt;&gt;""),'Q22028'!C74,"")</f>
        <v/>
      </c>
      <c r="D153" t="str">
        <f>IF(AND('Q22028'!B74&lt;&gt;"",'Q22028'!E74&lt;&gt;""),'Q22028'!D74,"")</f>
        <v/>
      </c>
      <c r="E153" t="str">
        <f>IF(AND('Q22028'!B74&lt;&gt;"",'Q22028'!E74&lt;&gt;""),'Q22028'!H74,"")</f>
        <v/>
      </c>
      <c r="F153" t="str">
        <f>IF(AND('Q22028'!B74&lt;&gt;"",'Q22028'!E74&lt;&gt;""),'Q22028'!F74,"")</f>
        <v/>
      </c>
      <c r="G153" t="str">
        <f>IF(AND('Q22028'!B74&lt;&gt;"",'Q22028'!E74&lt;&gt;""),'Q22028'!G74,"")</f>
        <v/>
      </c>
      <c r="H153" t="str">
        <f>IF(AND('Q22028'!B74&lt;&gt;"",'Q22028'!E74&lt;&gt;""),"Q22028","")</f>
        <v/>
      </c>
      <c r="I153" t="str">
        <f>IF(A153="Q12028",COUNTIF($A$2:$A153,"Q12028"),"")</f>
        <v/>
      </c>
      <c r="J153" t="str">
        <f>IF(A153="Q22028",COUNTIF($A$2:$A153,"Q22028"),"")</f>
        <v/>
      </c>
      <c r="K153" t="str">
        <f>IF(A153="Q32028",COUNTIF($A$2:$A153,"Q32028"),"")</f>
        <v/>
      </c>
      <c r="L153" t="str">
        <f>IF(A153="Q42028",COUNTIF($A$2:$A153,"Q42028"),"")</f>
        <v/>
      </c>
      <c r="M153" t="str">
        <f>IF(A153="Backlog",COUNTIF($A$2:$A153,"Backlog"),"")</f>
        <v/>
      </c>
    </row>
    <row r="154" spans="1:13">
      <c r="A154" t="str">
        <f>IF(AND('Q22028'!B75&lt;&gt;"",'Q22028'!E75&lt;&gt;""),'Q22028'!E75,"")</f>
        <v/>
      </c>
      <c r="B154" t="str">
        <f>IF(AND('Q22028'!B75&lt;&gt;"",'Q22028'!E75&lt;&gt;""),'Q22028'!B75,"")</f>
        <v/>
      </c>
      <c r="C154" t="str">
        <f>IF(AND('Q22028'!B75&lt;&gt;"",'Q22028'!E75&lt;&gt;""),'Q22028'!C75,"")</f>
        <v/>
      </c>
      <c r="D154" t="str">
        <f>IF(AND('Q22028'!B75&lt;&gt;"",'Q22028'!E75&lt;&gt;""),'Q22028'!D75,"")</f>
        <v/>
      </c>
      <c r="E154" t="str">
        <f>IF(AND('Q22028'!B75&lt;&gt;"",'Q22028'!E75&lt;&gt;""),'Q22028'!H75,"")</f>
        <v/>
      </c>
      <c r="F154" t="str">
        <f>IF(AND('Q22028'!B75&lt;&gt;"",'Q22028'!E75&lt;&gt;""),'Q22028'!F75,"")</f>
        <v/>
      </c>
      <c r="G154" t="str">
        <f>IF(AND('Q22028'!B75&lt;&gt;"",'Q22028'!E75&lt;&gt;""),'Q22028'!G75,"")</f>
        <v/>
      </c>
      <c r="H154" t="str">
        <f>IF(AND('Q22028'!B75&lt;&gt;"",'Q22028'!E75&lt;&gt;""),"Q22028","")</f>
        <v/>
      </c>
      <c r="I154" t="str">
        <f>IF(A154="Q12028",COUNTIF($A$2:$A154,"Q12028"),"")</f>
        <v/>
      </c>
      <c r="J154" t="str">
        <f>IF(A154="Q22028",COUNTIF($A$2:$A154,"Q22028"),"")</f>
        <v/>
      </c>
      <c r="K154" t="str">
        <f>IF(A154="Q32028",COUNTIF($A$2:$A154,"Q32028"),"")</f>
        <v/>
      </c>
      <c r="L154" t="str">
        <f>IF(A154="Q42028",COUNTIF($A$2:$A154,"Q42028"),"")</f>
        <v/>
      </c>
      <c r="M154" t="str">
        <f>IF(A154="Backlog",COUNTIF($A$2:$A154,"Backlog"),"")</f>
        <v/>
      </c>
    </row>
    <row r="155" spans="1:13">
      <c r="A155" t="str">
        <f>IF(AND('Q22028'!B76&lt;&gt;"",'Q22028'!E76&lt;&gt;""),'Q22028'!E76,"")</f>
        <v/>
      </c>
      <c r="B155" t="str">
        <f>IF(AND('Q22028'!B76&lt;&gt;"",'Q22028'!E76&lt;&gt;""),'Q22028'!B76,"")</f>
        <v/>
      </c>
      <c r="C155" t="str">
        <f>IF(AND('Q22028'!B76&lt;&gt;"",'Q22028'!E76&lt;&gt;""),'Q22028'!C76,"")</f>
        <v/>
      </c>
      <c r="D155" t="str">
        <f>IF(AND('Q22028'!B76&lt;&gt;"",'Q22028'!E76&lt;&gt;""),'Q22028'!D76,"")</f>
        <v/>
      </c>
      <c r="E155" t="str">
        <f>IF(AND('Q22028'!B76&lt;&gt;"",'Q22028'!E76&lt;&gt;""),'Q22028'!H76,"")</f>
        <v/>
      </c>
      <c r="F155" t="str">
        <f>IF(AND('Q22028'!B76&lt;&gt;"",'Q22028'!E76&lt;&gt;""),'Q22028'!F76,"")</f>
        <v/>
      </c>
      <c r="G155" t="str">
        <f>IF(AND('Q22028'!B76&lt;&gt;"",'Q22028'!E76&lt;&gt;""),'Q22028'!G76,"")</f>
        <v/>
      </c>
      <c r="H155" t="str">
        <f>IF(AND('Q22028'!B76&lt;&gt;"",'Q22028'!E76&lt;&gt;""),"Q22028","")</f>
        <v/>
      </c>
      <c r="I155" t="str">
        <f>IF(A155="Q12028",COUNTIF($A$2:$A155,"Q12028"),"")</f>
        <v/>
      </c>
      <c r="J155" t="str">
        <f>IF(A155="Q22028",COUNTIF($A$2:$A155,"Q22028"),"")</f>
        <v/>
      </c>
      <c r="K155" t="str">
        <f>IF(A155="Q32028",COUNTIF($A$2:$A155,"Q32028"),"")</f>
        <v/>
      </c>
      <c r="L155" t="str">
        <f>IF(A155="Q42028",COUNTIF($A$2:$A155,"Q42028"),"")</f>
        <v/>
      </c>
      <c r="M155" t="str">
        <f>IF(A155="Backlog",COUNTIF($A$2:$A155,"Backlog"),"")</f>
        <v/>
      </c>
    </row>
    <row r="156" spans="1:13">
      <c r="A156" t="str">
        <f>IF(AND('Q22028'!B77&lt;&gt;"",'Q22028'!E77&lt;&gt;""),'Q22028'!E77,"")</f>
        <v/>
      </c>
      <c r="B156" t="str">
        <f>IF(AND('Q22028'!B77&lt;&gt;"",'Q22028'!E77&lt;&gt;""),'Q22028'!B77,"")</f>
        <v/>
      </c>
      <c r="C156" t="str">
        <f>IF(AND('Q22028'!B77&lt;&gt;"",'Q22028'!E77&lt;&gt;""),'Q22028'!C77,"")</f>
        <v/>
      </c>
      <c r="D156" t="str">
        <f>IF(AND('Q22028'!B77&lt;&gt;"",'Q22028'!E77&lt;&gt;""),'Q22028'!D77,"")</f>
        <v/>
      </c>
      <c r="E156" t="str">
        <f>IF(AND('Q22028'!B77&lt;&gt;"",'Q22028'!E77&lt;&gt;""),'Q22028'!H77,"")</f>
        <v/>
      </c>
      <c r="F156" t="str">
        <f>IF(AND('Q22028'!B77&lt;&gt;"",'Q22028'!E77&lt;&gt;""),'Q22028'!F77,"")</f>
        <v/>
      </c>
      <c r="G156" t="str">
        <f>IF(AND('Q22028'!B77&lt;&gt;"",'Q22028'!E77&lt;&gt;""),'Q22028'!G77,"")</f>
        <v/>
      </c>
      <c r="H156" t="str">
        <f>IF(AND('Q22028'!B77&lt;&gt;"",'Q22028'!E77&lt;&gt;""),"Q22028","")</f>
        <v/>
      </c>
      <c r="I156" t="str">
        <f>IF(A156="Q12028",COUNTIF($A$2:$A156,"Q12028"),"")</f>
        <v/>
      </c>
      <c r="J156" t="str">
        <f>IF(A156="Q22028",COUNTIF($A$2:$A156,"Q22028"),"")</f>
        <v/>
      </c>
      <c r="K156" t="str">
        <f>IF(A156="Q32028",COUNTIF($A$2:$A156,"Q32028"),"")</f>
        <v/>
      </c>
      <c r="L156" t="str">
        <f>IF(A156="Q42028",COUNTIF($A$2:$A156,"Q42028"),"")</f>
        <v/>
      </c>
      <c r="M156" t="str">
        <f>IF(A156="Backlog",COUNTIF($A$2:$A156,"Backlog"),"")</f>
        <v/>
      </c>
    </row>
    <row r="157" spans="1:13">
      <c r="A157" t="str">
        <f>IF(AND('Q22028'!B78&lt;&gt;"",'Q22028'!E78&lt;&gt;""),'Q22028'!E78,"")</f>
        <v/>
      </c>
      <c r="B157" t="str">
        <f>IF(AND('Q22028'!B78&lt;&gt;"",'Q22028'!E78&lt;&gt;""),'Q22028'!B78,"")</f>
        <v/>
      </c>
      <c r="C157" t="str">
        <f>IF(AND('Q22028'!B78&lt;&gt;"",'Q22028'!E78&lt;&gt;""),'Q22028'!C78,"")</f>
        <v/>
      </c>
      <c r="D157" t="str">
        <f>IF(AND('Q22028'!B78&lt;&gt;"",'Q22028'!E78&lt;&gt;""),'Q22028'!D78,"")</f>
        <v/>
      </c>
      <c r="E157" t="str">
        <f>IF(AND('Q22028'!B78&lt;&gt;"",'Q22028'!E78&lt;&gt;""),'Q22028'!H78,"")</f>
        <v/>
      </c>
      <c r="F157" t="str">
        <f>IF(AND('Q22028'!B78&lt;&gt;"",'Q22028'!E78&lt;&gt;""),'Q22028'!F78,"")</f>
        <v/>
      </c>
      <c r="G157" t="str">
        <f>IF(AND('Q22028'!B78&lt;&gt;"",'Q22028'!E78&lt;&gt;""),'Q22028'!G78,"")</f>
        <v/>
      </c>
      <c r="H157" t="str">
        <f>IF(AND('Q22028'!B78&lt;&gt;"",'Q22028'!E78&lt;&gt;""),"Q22028","")</f>
        <v/>
      </c>
      <c r="I157" t="str">
        <f>IF(A157="Q12028",COUNTIF($A$2:$A157,"Q12028"),"")</f>
        <v/>
      </c>
      <c r="J157" t="str">
        <f>IF(A157="Q22028",COUNTIF($A$2:$A157,"Q22028"),"")</f>
        <v/>
      </c>
      <c r="K157" t="str">
        <f>IF(A157="Q32028",COUNTIF($A$2:$A157,"Q32028"),"")</f>
        <v/>
      </c>
      <c r="L157" t="str">
        <f>IF(A157="Q42028",COUNTIF($A$2:$A157,"Q42028"),"")</f>
        <v/>
      </c>
      <c r="M157" t="str">
        <f>IF(A157="Backlog",COUNTIF($A$2:$A157,"Backlog"),"")</f>
        <v/>
      </c>
    </row>
    <row r="158" spans="1:13">
      <c r="A158" t="str">
        <f>IF(AND('Q22028'!B79&lt;&gt;"",'Q22028'!E79&lt;&gt;""),'Q22028'!E79,"")</f>
        <v/>
      </c>
      <c r="B158" t="str">
        <f>IF(AND('Q22028'!B79&lt;&gt;"",'Q22028'!E79&lt;&gt;""),'Q22028'!B79,"")</f>
        <v/>
      </c>
      <c r="C158" t="str">
        <f>IF(AND('Q22028'!B79&lt;&gt;"",'Q22028'!E79&lt;&gt;""),'Q22028'!C79,"")</f>
        <v/>
      </c>
      <c r="D158" t="str">
        <f>IF(AND('Q22028'!B79&lt;&gt;"",'Q22028'!E79&lt;&gt;""),'Q22028'!D79,"")</f>
        <v/>
      </c>
      <c r="E158" t="str">
        <f>IF(AND('Q22028'!B79&lt;&gt;"",'Q22028'!E79&lt;&gt;""),'Q22028'!H79,"")</f>
        <v/>
      </c>
      <c r="F158" t="str">
        <f>IF(AND('Q22028'!B79&lt;&gt;"",'Q22028'!E79&lt;&gt;""),'Q22028'!F79,"")</f>
        <v/>
      </c>
      <c r="G158" t="str">
        <f>IF(AND('Q22028'!B79&lt;&gt;"",'Q22028'!E79&lt;&gt;""),'Q22028'!G79,"")</f>
        <v/>
      </c>
      <c r="H158" t="str">
        <f>IF(AND('Q22028'!B79&lt;&gt;"",'Q22028'!E79&lt;&gt;""),"Q22028","")</f>
        <v/>
      </c>
      <c r="I158" t="str">
        <f>IF(A158="Q12028",COUNTIF($A$2:$A158,"Q12028"),"")</f>
        <v/>
      </c>
      <c r="J158" t="str">
        <f>IF(A158="Q22028",COUNTIF($A$2:$A158,"Q22028"),"")</f>
        <v/>
      </c>
      <c r="K158" t="str">
        <f>IF(A158="Q32028",COUNTIF($A$2:$A158,"Q32028"),"")</f>
        <v/>
      </c>
      <c r="L158" t="str">
        <f>IF(A158="Q42028",COUNTIF($A$2:$A158,"Q42028"),"")</f>
        <v/>
      </c>
      <c r="M158" t="str">
        <f>IF(A158="Backlog",COUNTIF($A$2:$A158,"Backlog"),"")</f>
        <v/>
      </c>
    </row>
    <row r="159" spans="1:13">
      <c r="A159" t="str">
        <f>IF(AND('Q22028'!B80&lt;&gt;"",'Q22028'!E80&lt;&gt;""),'Q22028'!E80,"")</f>
        <v/>
      </c>
      <c r="B159" t="str">
        <f>IF(AND('Q22028'!B80&lt;&gt;"",'Q22028'!E80&lt;&gt;""),'Q22028'!B80,"")</f>
        <v/>
      </c>
      <c r="C159" t="str">
        <f>IF(AND('Q22028'!B80&lt;&gt;"",'Q22028'!E80&lt;&gt;""),'Q22028'!C80,"")</f>
        <v/>
      </c>
      <c r="D159" t="str">
        <f>IF(AND('Q22028'!B80&lt;&gt;"",'Q22028'!E80&lt;&gt;""),'Q22028'!D80,"")</f>
        <v/>
      </c>
      <c r="E159" t="str">
        <f>IF(AND('Q22028'!B80&lt;&gt;"",'Q22028'!E80&lt;&gt;""),'Q22028'!H80,"")</f>
        <v/>
      </c>
      <c r="F159" t="str">
        <f>IF(AND('Q22028'!B80&lt;&gt;"",'Q22028'!E80&lt;&gt;""),'Q22028'!F80,"")</f>
        <v/>
      </c>
      <c r="G159" t="str">
        <f>IF(AND('Q22028'!B80&lt;&gt;"",'Q22028'!E80&lt;&gt;""),'Q22028'!G80,"")</f>
        <v/>
      </c>
      <c r="H159" t="str">
        <f>IF(AND('Q22028'!B80&lt;&gt;"",'Q22028'!E80&lt;&gt;""),"Q22028","")</f>
        <v/>
      </c>
      <c r="I159" t="str">
        <f>IF(A159="Q12028",COUNTIF($A$2:$A159,"Q12028"),"")</f>
        <v/>
      </c>
      <c r="J159" t="str">
        <f>IF(A159="Q22028",COUNTIF($A$2:$A159,"Q22028"),"")</f>
        <v/>
      </c>
      <c r="K159" t="str">
        <f>IF(A159="Q32028",COUNTIF($A$2:$A159,"Q32028"),"")</f>
        <v/>
      </c>
      <c r="L159" t="str">
        <f>IF(A159="Q42028",COUNTIF($A$2:$A159,"Q42028"),"")</f>
        <v/>
      </c>
      <c r="M159" t="str">
        <f>IF(A159="Backlog",COUNTIF($A$2:$A159,"Backlog"),"")</f>
        <v/>
      </c>
    </row>
    <row r="160" spans="1:13">
      <c r="A160" t="str">
        <f>IF(AND('Q22028'!B81&lt;&gt;"",'Q22028'!E81&lt;&gt;""),'Q22028'!E81,"")</f>
        <v/>
      </c>
      <c r="B160" t="str">
        <f>IF(AND('Q22028'!B81&lt;&gt;"",'Q22028'!E81&lt;&gt;""),'Q22028'!B81,"")</f>
        <v/>
      </c>
      <c r="C160" t="str">
        <f>IF(AND('Q22028'!B81&lt;&gt;"",'Q22028'!E81&lt;&gt;""),'Q22028'!C81,"")</f>
        <v/>
      </c>
      <c r="D160" t="str">
        <f>IF(AND('Q22028'!B81&lt;&gt;"",'Q22028'!E81&lt;&gt;""),'Q22028'!D81,"")</f>
        <v/>
      </c>
      <c r="E160" t="str">
        <f>IF(AND('Q22028'!B81&lt;&gt;"",'Q22028'!E81&lt;&gt;""),'Q22028'!H81,"")</f>
        <v/>
      </c>
      <c r="F160" t="str">
        <f>IF(AND('Q22028'!B81&lt;&gt;"",'Q22028'!E81&lt;&gt;""),'Q22028'!F81,"")</f>
        <v/>
      </c>
      <c r="G160" t="str">
        <f>IF(AND('Q22028'!B81&lt;&gt;"",'Q22028'!E81&lt;&gt;""),'Q22028'!G81,"")</f>
        <v/>
      </c>
      <c r="H160" t="str">
        <f>IF(AND('Q22028'!B81&lt;&gt;"",'Q22028'!E81&lt;&gt;""),"Q22028","")</f>
        <v/>
      </c>
      <c r="I160" t="str">
        <f>IF(A160="Q12028",COUNTIF($A$2:$A160,"Q12028"),"")</f>
        <v/>
      </c>
      <c r="J160" t="str">
        <f>IF(A160="Q22028",COUNTIF($A$2:$A160,"Q22028"),"")</f>
        <v/>
      </c>
      <c r="K160" t="str">
        <f>IF(A160="Q32028",COUNTIF($A$2:$A160,"Q32028"),"")</f>
        <v/>
      </c>
      <c r="L160" t="str">
        <f>IF(A160="Q42028",COUNTIF($A$2:$A160,"Q42028"),"")</f>
        <v/>
      </c>
      <c r="M160" t="str">
        <f>IF(A160="Backlog",COUNTIF($A$2:$A160,"Backlog"),"")</f>
        <v/>
      </c>
    </row>
    <row r="161" spans="1:13">
      <c r="A161" t="str">
        <f>IF(AND('Q22028'!B82&lt;&gt;"",'Q22028'!E82&lt;&gt;""),'Q22028'!E82,"")</f>
        <v/>
      </c>
      <c r="B161" t="str">
        <f>IF(AND('Q22028'!B82&lt;&gt;"",'Q22028'!E82&lt;&gt;""),'Q22028'!B82,"")</f>
        <v/>
      </c>
      <c r="C161" t="str">
        <f>IF(AND('Q22028'!B82&lt;&gt;"",'Q22028'!E82&lt;&gt;""),'Q22028'!C82,"")</f>
        <v/>
      </c>
      <c r="D161" t="str">
        <f>IF(AND('Q22028'!B82&lt;&gt;"",'Q22028'!E82&lt;&gt;""),'Q22028'!D82,"")</f>
        <v/>
      </c>
      <c r="E161" t="str">
        <f>IF(AND('Q22028'!B82&lt;&gt;"",'Q22028'!E82&lt;&gt;""),'Q22028'!H82,"")</f>
        <v/>
      </c>
      <c r="F161" t="str">
        <f>IF(AND('Q22028'!B82&lt;&gt;"",'Q22028'!E82&lt;&gt;""),'Q22028'!F82,"")</f>
        <v/>
      </c>
      <c r="G161" t="str">
        <f>IF(AND('Q22028'!B82&lt;&gt;"",'Q22028'!E82&lt;&gt;""),'Q22028'!G82,"")</f>
        <v/>
      </c>
      <c r="H161" t="str">
        <f>IF(AND('Q22028'!B82&lt;&gt;"",'Q22028'!E82&lt;&gt;""),"Q22028","")</f>
        <v/>
      </c>
      <c r="I161" t="str">
        <f>IF(A161="Q12028",COUNTIF($A$2:$A161,"Q12028"),"")</f>
        <v/>
      </c>
      <c r="J161" t="str">
        <f>IF(A161="Q22028",COUNTIF($A$2:$A161,"Q22028"),"")</f>
        <v/>
      </c>
      <c r="K161" t="str">
        <f>IF(A161="Q32028",COUNTIF($A$2:$A161,"Q32028"),"")</f>
        <v/>
      </c>
      <c r="L161" t="str">
        <f>IF(A161="Q42028",COUNTIF($A$2:$A161,"Q42028"),"")</f>
        <v/>
      </c>
      <c r="M161" t="str">
        <f>IF(A161="Backlog",COUNTIF($A$2:$A161,"Backlog"),"")</f>
        <v/>
      </c>
    </row>
    <row r="162" spans="1:13">
      <c r="A162" t="str">
        <f>IF(AND('Q32028'!B3&lt;&gt;"",'Q32028'!E3&lt;&gt;""),'Q32028'!E3,"")</f>
        <v/>
      </c>
      <c r="B162" t="str">
        <f>IF(AND('Q32028'!B3&lt;&gt;"",'Q32028'!E3&lt;&gt;""),'Q32028'!B3,"")</f>
        <v/>
      </c>
      <c r="C162" t="str">
        <f>IF(AND('Q32028'!B3&lt;&gt;"",'Q32028'!E3&lt;&gt;""),'Q32028'!C3,"")</f>
        <v/>
      </c>
      <c r="D162" t="str">
        <f>IF(AND('Q32028'!B3&lt;&gt;"",'Q32028'!E3&lt;&gt;""),'Q32028'!D3,"")</f>
        <v/>
      </c>
      <c r="E162" t="str">
        <f>IF(AND('Q32028'!B3&lt;&gt;"",'Q32028'!E3&lt;&gt;""),'Q32028'!H3,"")</f>
        <v/>
      </c>
      <c r="F162" t="str">
        <f>IF(AND('Q32028'!B3&lt;&gt;"",'Q32028'!E3&lt;&gt;""),'Q32028'!F3,"")</f>
        <v/>
      </c>
      <c r="G162" t="str">
        <f>IF(AND('Q32028'!B3&lt;&gt;"",'Q32028'!E3&lt;&gt;""),'Q32028'!G3,"")</f>
        <v/>
      </c>
      <c r="H162" t="str">
        <f>IF(AND('Q32028'!B3&lt;&gt;"",'Q32028'!E3&lt;&gt;""),"Q32028","")</f>
        <v/>
      </c>
      <c r="I162" t="str">
        <f>IF(A162="Q12028",COUNTIF($A$2:$A162,"Q12028"),"")</f>
        <v/>
      </c>
      <c r="J162" t="str">
        <f>IF(A162="Q22028",COUNTIF($A$2:$A162,"Q22028"),"")</f>
        <v/>
      </c>
      <c r="K162" t="str">
        <f>IF(A162="Q32028",COUNTIF($A$2:$A162,"Q32028"),"")</f>
        <v/>
      </c>
      <c r="L162" t="str">
        <f>IF(A162="Q42028",COUNTIF($A$2:$A162,"Q42028"),"")</f>
        <v/>
      </c>
      <c r="M162" t="str">
        <f>IF(A162="Backlog",COUNTIF($A$2:$A162,"Backlog"),"")</f>
        <v/>
      </c>
    </row>
    <row r="163" spans="1:13">
      <c r="A163" t="str">
        <f>IF(AND('Q32028'!B4&lt;&gt;"",'Q32028'!E4&lt;&gt;""),'Q32028'!E4,"")</f>
        <v/>
      </c>
      <c r="B163" t="str">
        <f>IF(AND('Q32028'!B4&lt;&gt;"",'Q32028'!E4&lt;&gt;""),'Q32028'!B4,"")</f>
        <v/>
      </c>
      <c r="C163" t="str">
        <f>IF(AND('Q32028'!B4&lt;&gt;"",'Q32028'!E4&lt;&gt;""),'Q32028'!C4,"")</f>
        <v/>
      </c>
      <c r="D163" t="str">
        <f>IF(AND('Q32028'!B4&lt;&gt;"",'Q32028'!E4&lt;&gt;""),'Q32028'!D4,"")</f>
        <v/>
      </c>
      <c r="E163" t="str">
        <f>IF(AND('Q32028'!B4&lt;&gt;"",'Q32028'!E4&lt;&gt;""),'Q32028'!H4,"")</f>
        <v/>
      </c>
      <c r="F163" t="str">
        <f>IF(AND('Q32028'!B4&lt;&gt;"",'Q32028'!E4&lt;&gt;""),'Q32028'!F4,"")</f>
        <v/>
      </c>
      <c r="G163" t="str">
        <f>IF(AND('Q32028'!B4&lt;&gt;"",'Q32028'!E4&lt;&gt;""),'Q32028'!G4,"")</f>
        <v/>
      </c>
      <c r="H163" t="str">
        <f>IF(AND('Q32028'!B4&lt;&gt;"",'Q32028'!E4&lt;&gt;""),"Q32028","")</f>
        <v/>
      </c>
      <c r="I163" t="str">
        <f>IF(A163="Q12028",COUNTIF($A$2:$A163,"Q12028"),"")</f>
        <v/>
      </c>
      <c r="J163" t="str">
        <f>IF(A163="Q22028",COUNTIF($A$2:$A163,"Q22028"),"")</f>
        <v/>
      </c>
      <c r="K163" t="str">
        <f>IF(A163="Q32028",COUNTIF($A$2:$A163,"Q32028"),"")</f>
        <v/>
      </c>
      <c r="L163" t="str">
        <f>IF(A163="Q42028",COUNTIF($A$2:$A163,"Q42028"),"")</f>
        <v/>
      </c>
      <c r="M163" t="str">
        <f>IF(A163="Backlog",COUNTIF($A$2:$A163,"Backlog"),"")</f>
        <v/>
      </c>
    </row>
    <row r="164" spans="1:13">
      <c r="A164" t="str">
        <f>IF(AND('Q32028'!B5&lt;&gt;"",'Q32028'!E5&lt;&gt;""),'Q32028'!E5,"")</f>
        <v/>
      </c>
      <c r="B164" t="str">
        <f>IF(AND('Q32028'!B5&lt;&gt;"",'Q32028'!E5&lt;&gt;""),'Q32028'!B5,"")</f>
        <v/>
      </c>
      <c r="C164" t="str">
        <f>IF(AND('Q32028'!B5&lt;&gt;"",'Q32028'!E5&lt;&gt;""),'Q32028'!C5,"")</f>
        <v/>
      </c>
      <c r="D164" t="str">
        <f>IF(AND('Q32028'!B5&lt;&gt;"",'Q32028'!E5&lt;&gt;""),'Q32028'!D5,"")</f>
        <v/>
      </c>
      <c r="E164" t="str">
        <f>IF(AND('Q32028'!B5&lt;&gt;"",'Q32028'!E5&lt;&gt;""),'Q32028'!H5,"")</f>
        <v/>
      </c>
      <c r="F164" t="str">
        <f>IF(AND('Q32028'!B5&lt;&gt;"",'Q32028'!E5&lt;&gt;""),'Q32028'!F5,"")</f>
        <v/>
      </c>
      <c r="G164" t="str">
        <f>IF(AND('Q32028'!B5&lt;&gt;"",'Q32028'!E5&lt;&gt;""),'Q32028'!G5,"")</f>
        <v/>
      </c>
      <c r="H164" t="str">
        <f>IF(AND('Q32028'!B5&lt;&gt;"",'Q32028'!E5&lt;&gt;""),"Q32028","")</f>
        <v/>
      </c>
      <c r="I164" t="str">
        <f>IF(A164="Q12028",COUNTIF($A$2:$A164,"Q12028"),"")</f>
        <v/>
      </c>
      <c r="J164" t="str">
        <f>IF(A164="Q22028",COUNTIF($A$2:$A164,"Q22028"),"")</f>
        <v/>
      </c>
      <c r="K164" t="str">
        <f>IF(A164="Q32028",COUNTIF($A$2:$A164,"Q32028"),"")</f>
        <v/>
      </c>
      <c r="L164" t="str">
        <f>IF(A164="Q42028",COUNTIF($A$2:$A164,"Q42028"),"")</f>
        <v/>
      </c>
      <c r="M164" t="str">
        <f>IF(A164="Backlog",COUNTIF($A$2:$A164,"Backlog"),"")</f>
        <v/>
      </c>
    </row>
    <row r="165" spans="1:13">
      <c r="A165" t="str">
        <f>IF(AND('Q32028'!B6&lt;&gt;"",'Q32028'!E6&lt;&gt;""),'Q32028'!E6,"")</f>
        <v/>
      </c>
      <c r="B165" t="str">
        <f>IF(AND('Q32028'!B6&lt;&gt;"",'Q32028'!E6&lt;&gt;""),'Q32028'!B6,"")</f>
        <v/>
      </c>
      <c r="C165" t="str">
        <f>IF(AND('Q32028'!B6&lt;&gt;"",'Q32028'!E6&lt;&gt;""),'Q32028'!C6,"")</f>
        <v/>
      </c>
      <c r="D165" t="str">
        <f>IF(AND('Q32028'!B6&lt;&gt;"",'Q32028'!E6&lt;&gt;""),'Q32028'!D6,"")</f>
        <v/>
      </c>
      <c r="E165" t="str">
        <f>IF(AND('Q32028'!B6&lt;&gt;"",'Q32028'!E6&lt;&gt;""),'Q32028'!H6,"")</f>
        <v/>
      </c>
      <c r="F165" t="str">
        <f>IF(AND('Q32028'!B6&lt;&gt;"",'Q32028'!E6&lt;&gt;""),'Q32028'!F6,"")</f>
        <v/>
      </c>
      <c r="G165" t="str">
        <f>IF(AND('Q32028'!B6&lt;&gt;"",'Q32028'!E6&lt;&gt;""),'Q32028'!G6,"")</f>
        <v/>
      </c>
      <c r="H165" t="str">
        <f>IF(AND('Q32028'!B6&lt;&gt;"",'Q32028'!E6&lt;&gt;""),"Q32028","")</f>
        <v/>
      </c>
      <c r="I165" t="str">
        <f>IF(A165="Q12028",COUNTIF($A$2:$A165,"Q12028"),"")</f>
        <v/>
      </c>
      <c r="J165" t="str">
        <f>IF(A165="Q22028",COUNTIF($A$2:$A165,"Q22028"),"")</f>
        <v/>
      </c>
      <c r="K165" t="str">
        <f>IF(A165="Q32028",COUNTIF($A$2:$A165,"Q32028"),"")</f>
        <v/>
      </c>
      <c r="L165" t="str">
        <f>IF(A165="Q42028",COUNTIF($A$2:$A165,"Q42028"),"")</f>
        <v/>
      </c>
      <c r="M165" t="str">
        <f>IF(A165="Backlog",COUNTIF($A$2:$A165,"Backlog"),"")</f>
        <v/>
      </c>
    </row>
    <row r="166" spans="1:13">
      <c r="A166" t="str">
        <f>IF(AND('Q32028'!B7&lt;&gt;"",'Q32028'!E7&lt;&gt;""),'Q32028'!E7,"")</f>
        <v/>
      </c>
      <c r="B166" t="str">
        <f>IF(AND('Q32028'!B7&lt;&gt;"",'Q32028'!E7&lt;&gt;""),'Q32028'!B7,"")</f>
        <v/>
      </c>
      <c r="C166" t="str">
        <f>IF(AND('Q32028'!B7&lt;&gt;"",'Q32028'!E7&lt;&gt;""),'Q32028'!C7,"")</f>
        <v/>
      </c>
      <c r="D166" t="str">
        <f>IF(AND('Q32028'!B7&lt;&gt;"",'Q32028'!E7&lt;&gt;""),'Q32028'!D7,"")</f>
        <v/>
      </c>
      <c r="E166" t="str">
        <f>IF(AND('Q32028'!B7&lt;&gt;"",'Q32028'!E7&lt;&gt;""),'Q32028'!H7,"")</f>
        <v/>
      </c>
      <c r="F166" t="str">
        <f>IF(AND('Q32028'!B7&lt;&gt;"",'Q32028'!E7&lt;&gt;""),'Q32028'!F7,"")</f>
        <v/>
      </c>
      <c r="G166" t="str">
        <f>IF(AND('Q32028'!B7&lt;&gt;"",'Q32028'!E7&lt;&gt;""),'Q32028'!G7,"")</f>
        <v/>
      </c>
      <c r="H166" t="str">
        <f>IF(AND('Q32028'!B7&lt;&gt;"",'Q32028'!E7&lt;&gt;""),"Q32028","")</f>
        <v/>
      </c>
      <c r="I166" t="str">
        <f>IF(A166="Q12028",COUNTIF($A$2:$A166,"Q12028"),"")</f>
        <v/>
      </c>
      <c r="J166" t="str">
        <f>IF(A166="Q22028",COUNTIF($A$2:$A166,"Q22028"),"")</f>
        <v/>
      </c>
      <c r="K166" t="str">
        <f>IF(A166="Q32028",COUNTIF($A$2:$A166,"Q32028"),"")</f>
        <v/>
      </c>
      <c r="L166" t="str">
        <f>IF(A166="Q42028",COUNTIF($A$2:$A166,"Q42028"),"")</f>
        <v/>
      </c>
      <c r="M166" t="str">
        <f>IF(A166="Backlog",COUNTIF($A$2:$A166,"Backlog"),"")</f>
        <v/>
      </c>
    </row>
    <row r="167" spans="1:13">
      <c r="A167" t="str">
        <f>IF(AND('Q32028'!B8&lt;&gt;"",'Q32028'!E8&lt;&gt;""),'Q32028'!E8,"")</f>
        <v/>
      </c>
      <c r="B167" t="str">
        <f>IF(AND('Q32028'!B8&lt;&gt;"",'Q32028'!E8&lt;&gt;""),'Q32028'!B8,"")</f>
        <v/>
      </c>
      <c r="C167" t="str">
        <f>IF(AND('Q32028'!B8&lt;&gt;"",'Q32028'!E8&lt;&gt;""),'Q32028'!C8,"")</f>
        <v/>
      </c>
      <c r="D167" t="str">
        <f>IF(AND('Q32028'!B8&lt;&gt;"",'Q32028'!E8&lt;&gt;""),'Q32028'!D8,"")</f>
        <v/>
      </c>
      <c r="E167" t="str">
        <f>IF(AND('Q32028'!B8&lt;&gt;"",'Q32028'!E8&lt;&gt;""),'Q32028'!H8,"")</f>
        <v/>
      </c>
      <c r="F167" t="str">
        <f>IF(AND('Q32028'!B8&lt;&gt;"",'Q32028'!E8&lt;&gt;""),'Q32028'!F8,"")</f>
        <v/>
      </c>
      <c r="G167" t="str">
        <f>IF(AND('Q32028'!B8&lt;&gt;"",'Q32028'!E8&lt;&gt;""),'Q32028'!G8,"")</f>
        <v/>
      </c>
      <c r="H167" t="str">
        <f>IF(AND('Q32028'!B8&lt;&gt;"",'Q32028'!E8&lt;&gt;""),"Q32028","")</f>
        <v/>
      </c>
      <c r="I167" t="str">
        <f>IF(A167="Q12028",COUNTIF($A$2:$A167,"Q12028"),"")</f>
        <v/>
      </c>
      <c r="J167" t="str">
        <f>IF(A167="Q22028",COUNTIF($A$2:$A167,"Q22028"),"")</f>
        <v/>
      </c>
      <c r="K167" t="str">
        <f>IF(A167="Q32028",COUNTIF($A$2:$A167,"Q32028"),"")</f>
        <v/>
      </c>
      <c r="L167" t="str">
        <f>IF(A167="Q42028",COUNTIF($A$2:$A167,"Q42028"),"")</f>
        <v/>
      </c>
      <c r="M167" t="str">
        <f>IF(A167="Backlog",COUNTIF($A$2:$A167,"Backlog"),"")</f>
        <v/>
      </c>
    </row>
    <row r="168" spans="1:13">
      <c r="A168" t="str">
        <f>IF(AND('Q32028'!B9&lt;&gt;"",'Q32028'!E9&lt;&gt;""),'Q32028'!E9,"")</f>
        <v/>
      </c>
      <c r="B168" t="str">
        <f>IF(AND('Q32028'!B9&lt;&gt;"",'Q32028'!E9&lt;&gt;""),'Q32028'!B9,"")</f>
        <v/>
      </c>
      <c r="C168" t="str">
        <f>IF(AND('Q32028'!B9&lt;&gt;"",'Q32028'!E9&lt;&gt;""),'Q32028'!C9,"")</f>
        <v/>
      </c>
      <c r="D168" t="str">
        <f>IF(AND('Q32028'!B9&lt;&gt;"",'Q32028'!E9&lt;&gt;""),'Q32028'!D9,"")</f>
        <v/>
      </c>
      <c r="E168" t="str">
        <f>IF(AND('Q32028'!B9&lt;&gt;"",'Q32028'!E9&lt;&gt;""),'Q32028'!H9,"")</f>
        <v/>
      </c>
      <c r="F168" t="str">
        <f>IF(AND('Q32028'!B9&lt;&gt;"",'Q32028'!E9&lt;&gt;""),'Q32028'!F9,"")</f>
        <v/>
      </c>
      <c r="G168" t="str">
        <f>IF(AND('Q32028'!B9&lt;&gt;"",'Q32028'!E9&lt;&gt;""),'Q32028'!G9,"")</f>
        <v/>
      </c>
      <c r="H168" t="str">
        <f>IF(AND('Q32028'!B9&lt;&gt;"",'Q32028'!E9&lt;&gt;""),"Q32028","")</f>
        <v/>
      </c>
      <c r="I168" t="str">
        <f>IF(A168="Q12028",COUNTIF($A$2:$A168,"Q12028"),"")</f>
        <v/>
      </c>
      <c r="J168" t="str">
        <f>IF(A168="Q22028",COUNTIF($A$2:$A168,"Q22028"),"")</f>
        <v/>
      </c>
      <c r="K168" t="str">
        <f>IF(A168="Q32028",COUNTIF($A$2:$A168,"Q32028"),"")</f>
        <v/>
      </c>
      <c r="L168" t="str">
        <f>IF(A168="Q42028",COUNTIF($A$2:$A168,"Q42028"),"")</f>
        <v/>
      </c>
      <c r="M168" t="str">
        <f>IF(A168="Backlog",COUNTIF($A$2:$A168,"Backlog"),"")</f>
        <v/>
      </c>
    </row>
    <row r="169" spans="1:13">
      <c r="A169" t="str">
        <f>IF(AND('Q32028'!B10&lt;&gt;"",'Q32028'!E10&lt;&gt;""),'Q32028'!E10,"")</f>
        <v/>
      </c>
      <c r="B169" t="str">
        <f>IF(AND('Q32028'!B10&lt;&gt;"",'Q32028'!E10&lt;&gt;""),'Q32028'!B10,"")</f>
        <v/>
      </c>
      <c r="C169" t="str">
        <f>IF(AND('Q32028'!B10&lt;&gt;"",'Q32028'!E10&lt;&gt;""),'Q32028'!C10,"")</f>
        <v/>
      </c>
      <c r="D169" t="str">
        <f>IF(AND('Q32028'!B10&lt;&gt;"",'Q32028'!E10&lt;&gt;""),'Q32028'!D10,"")</f>
        <v/>
      </c>
      <c r="E169" t="str">
        <f>IF(AND('Q32028'!B10&lt;&gt;"",'Q32028'!E10&lt;&gt;""),'Q32028'!H10,"")</f>
        <v/>
      </c>
      <c r="F169" t="str">
        <f>IF(AND('Q32028'!B10&lt;&gt;"",'Q32028'!E10&lt;&gt;""),'Q32028'!F10,"")</f>
        <v/>
      </c>
      <c r="G169" t="str">
        <f>IF(AND('Q32028'!B10&lt;&gt;"",'Q32028'!E10&lt;&gt;""),'Q32028'!G10,"")</f>
        <v/>
      </c>
      <c r="H169" t="str">
        <f>IF(AND('Q32028'!B10&lt;&gt;"",'Q32028'!E10&lt;&gt;""),"Q32028","")</f>
        <v/>
      </c>
      <c r="I169" t="str">
        <f>IF(A169="Q12028",COUNTIF($A$2:$A169,"Q12028"),"")</f>
        <v/>
      </c>
      <c r="J169" t="str">
        <f>IF(A169="Q22028",COUNTIF($A$2:$A169,"Q22028"),"")</f>
        <v/>
      </c>
      <c r="K169" t="str">
        <f>IF(A169="Q32028",COUNTIF($A$2:$A169,"Q32028"),"")</f>
        <v/>
      </c>
      <c r="L169" t="str">
        <f>IF(A169="Q42028",COUNTIF($A$2:$A169,"Q42028"),"")</f>
        <v/>
      </c>
      <c r="M169" t="str">
        <f>IF(A169="Backlog",COUNTIF($A$2:$A169,"Backlog"),"")</f>
        <v/>
      </c>
    </row>
    <row r="170" spans="1:13">
      <c r="A170" t="str">
        <f>IF(AND('Q32028'!B11&lt;&gt;"",'Q32028'!E11&lt;&gt;""),'Q32028'!E11,"")</f>
        <v/>
      </c>
      <c r="B170" t="str">
        <f>IF(AND('Q32028'!B11&lt;&gt;"",'Q32028'!E11&lt;&gt;""),'Q32028'!B11,"")</f>
        <v/>
      </c>
      <c r="C170" t="str">
        <f>IF(AND('Q32028'!B11&lt;&gt;"",'Q32028'!E11&lt;&gt;""),'Q32028'!C11,"")</f>
        <v/>
      </c>
      <c r="D170" t="str">
        <f>IF(AND('Q32028'!B11&lt;&gt;"",'Q32028'!E11&lt;&gt;""),'Q32028'!D11,"")</f>
        <v/>
      </c>
      <c r="E170" t="str">
        <f>IF(AND('Q32028'!B11&lt;&gt;"",'Q32028'!E11&lt;&gt;""),'Q32028'!H11,"")</f>
        <v/>
      </c>
      <c r="F170" t="str">
        <f>IF(AND('Q32028'!B11&lt;&gt;"",'Q32028'!E11&lt;&gt;""),'Q32028'!F11,"")</f>
        <v/>
      </c>
      <c r="G170" t="str">
        <f>IF(AND('Q32028'!B11&lt;&gt;"",'Q32028'!E11&lt;&gt;""),'Q32028'!G11,"")</f>
        <v/>
      </c>
      <c r="H170" t="str">
        <f>IF(AND('Q32028'!B11&lt;&gt;"",'Q32028'!E11&lt;&gt;""),"Q32028","")</f>
        <v/>
      </c>
      <c r="I170" t="str">
        <f>IF(A170="Q12028",COUNTIF($A$2:$A170,"Q12028"),"")</f>
        <v/>
      </c>
      <c r="J170" t="str">
        <f>IF(A170="Q22028",COUNTIF($A$2:$A170,"Q22028"),"")</f>
        <v/>
      </c>
      <c r="K170" t="str">
        <f>IF(A170="Q32028",COUNTIF($A$2:$A170,"Q32028"),"")</f>
        <v/>
      </c>
      <c r="L170" t="str">
        <f>IF(A170="Q42028",COUNTIF($A$2:$A170,"Q42028"),"")</f>
        <v/>
      </c>
      <c r="M170" t="str">
        <f>IF(A170="Backlog",COUNTIF($A$2:$A170,"Backlog"),"")</f>
        <v/>
      </c>
    </row>
    <row r="171" spans="1:13">
      <c r="A171" t="str">
        <f>IF(AND('Q32028'!B12&lt;&gt;"",'Q32028'!E12&lt;&gt;""),'Q32028'!E12,"")</f>
        <v/>
      </c>
      <c r="B171" t="str">
        <f>IF(AND('Q32028'!B12&lt;&gt;"",'Q32028'!E12&lt;&gt;""),'Q32028'!B12,"")</f>
        <v/>
      </c>
      <c r="C171" t="str">
        <f>IF(AND('Q32028'!B12&lt;&gt;"",'Q32028'!E12&lt;&gt;""),'Q32028'!C12,"")</f>
        <v/>
      </c>
      <c r="D171" t="str">
        <f>IF(AND('Q32028'!B12&lt;&gt;"",'Q32028'!E12&lt;&gt;""),'Q32028'!D12,"")</f>
        <v/>
      </c>
      <c r="E171" t="str">
        <f>IF(AND('Q32028'!B12&lt;&gt;"",'Q32028'!E12&lt;&gt;""),'Q32028'!H12,"")</f>
        <v/>
      </c>
      <c r="F171" t="str">
        <f>IF(AND('Q32028'!B12&lt;&gt;"",'Q32028'!E12&lt;&gt;""),'Q32028'!F12,"")</f>
        <v/>
      </c>
      <c r="G171" t="str">
        <f>IF(AND('Q32028'!B12&lt;&gt;"",'Q32028'!E12&lt;&gt;""),'Q32028'!G12,"")</f>
        <v/>
      </c>
      <c r="H171" t="str">
        <f>IF(AND('Q32028'!B12&lt;&gt;"",'Q32028'!E12&lt;&gt;""),"Q32028","")</f>
        <v/>
      </c>
      <c r="I171" t="str">
        <f>IF(A171="Q12028",COUNTIF($A$2:$A171,"Q12028"),"")</f>
        <v/>
      </c>
      <c r="J171" t="str">
        <f>IF(A171="Q22028",COUNTIF($A$2:$A171,"Q22028"),"")</f>
        <v/>
      </c>
      <c r="K171" t="str">
        <f>IF(A171="Q32028",COUNTIF($A$2:$A171,"Q32028"),"")</f>
        <v/>
      </c>
      <c r="L171" t="str">
        <f>IF(A171="Q42028",COUNTIF($A$2:$A171,"Q42028"),"")</f>
        <v/>
      </c>
      <c r="M171" t="str">
        <f>IF(A171="Backlog",COUNTIF($A$2:$A171,"Backlog"),"")</f>
        <v/>
      </c>
    </row>
    <row r="172" spans="1:13">
      <c r="A172" t="str">
        <f>IF(AND('Q32028'!B13&lt;&gt;"",'Q32028'!E13&lt;&gt;""),'Q32028'!E13,"")</f>
        <v/>
      </c>
      <c r="B172" t="str">
        <f>IF(AND('Q32028'!B13&lt;&gt;"",'Q32028'!E13&lt;&gt;""),'Q32028'!B13,"")</f>
        <v/>
      </c>
      <c r="C172" t="str">
        <f>IF(AND('Q32028'!B13&lt;&gt;"",'Q32028'!E13&lt;&gt;""),'Q32028'!C13,"")</f>
        <v/>
      </c>
      <c r="D172" t="str">
        <f>IF(AND('Q32028'!B13&lt;&gt;"",'Q32028'!E13&lt;&gt;""),'Q32028'!D13,"")</f>
        <v/>
      </c>
      <c r="E172" t="str">
        <f>IF(AND('Q32028'!B13&lt;&gt;"",'Q32028'!E13&lt;&gt;""),'Q32028'!H13,"")</f>
        <v/>
      </c>
      <c r="F172" t="str">
        <f>IF(AND('Q32028'!B13&lt;&gt;"",'Q32028'!E13&lt;&gt;""),'Q32028'!F13,"")</f>
        <v/>
      </c>
      <c r="G172" t="str">
        <f>IF(AND('Q32028'!B13&lt;&gt;"",'Q32028'!E13&lt;&gt;""),'Q32028'!G13,"")</f>
        <v/>
      </c>
      <c r="H172" t="str">
        <f>IF(AND('Q32028'!B13&lt;&gt;"",'Q32028'!E13&lt;&gt;""),"Q32028","")</f>
        <v/>
      </c>
      <c r="I172" t="str">
        <f>IF(A172="Q12028",COUNTIF($A$2:$A172,"Q12028"),"")</f>
        <v/>
      </c>
      <c r="J172" t="str">
        <f>IF(A172="Q22028",COUNTIF($A$2:$A172,"Q22028"),"")</f>
        <v/>
      </c>
      <c r="K172" t="str">
        <f>IF(A172="Q32028",COUNTIF($A$2:$A172,"Q32028"),"")</f>
        <v/>
      </c>
      <c r="L172" t="str">
        <f>IF(A172="Q42028",COUNTIF($A$2:$A172,"Q42028"),"")</f>
        <v/>
      </c>
      <c r="M172" t="str">
        <f>IF(A172="Backlog",COUNTIF($A$2:$A172,"Backlog"),"")</f>
        <v/>
      </c>
    </row>
    <row r="173" spans="1:13">
      <c r="A173" t="str">
        <f>IF(AND('Q32028'!B14&lt;&gt;"",'Q32028'!E14&lt;&gt;""),'Q32028'!E14,"")</f>
        <v/>
      </c>
      <c r="B173" t="str">
        <f>IF(AND('Q32028'!B14&lt;&gt;"",'Q32028'!E14&lt;&gt;""),'Q32028'!B14,"")</f>
        <v/>
      </c>
      <c r="C173" t="str">
        <f>IF(AND('Q32028'!B14&lt;&gt;"",'Q32028'!E14&lt;&gt;""),'Q32028'!C14,"")</f>
        <v/>
      </c>
      <c r="D173" t="str">
        <f>IF(AND('Q32028'!B14&lt;&gt;"",'Q32028'!E14&lt;&gt;""),'Q32028'!D14,"")</f>
        <v/>
      </c>
      <c r="E173" t="str">
        <f>IF(AND('Q32028'!B14&lt;&gt;"",'Q32028'!E14&lt;&gt;""),'Q32028'!H14,"")</f>
        <v/>
      </c>
      <c r="F173" t="str">
        <f>IF(AND('Q32028'!B14&lt;&gt;"",'Q32028'!E14&lt;&gt;""),'Q32028'!F14,"")</f>
        <v/>
      </c>
      <c r="G173" t="str">
        <f>IF(AND('Q32028'!B14&lt;&gt;"",'Q32028'!E14&lt;&gt;""),'Q32028'!G14,"")</f>
        <v/>
      </c>
      <c r="H173" t="str">
        <f>IF(AND('Q32028'!B14&lt;&gt;"",'Q32028'!E14&lt;&gt;""),"Q32028","")</f>
        <v/>
      </c>
      <c r="I173" t="str">
        <f>IF(A173="Q12028",COUNTIF($A$2:$A173,"Q12028"),"")</f>
        <v/>
      </c>
      <c r="J173" t="str">
        <f>IF(A173="Q22028",COUNTIF($A$2:$A173,"Q22028"),"")</f>
        <v/>
      </c>
      <c r="K173" t="str">
        <f>IF(A173="Q32028",COUNTIF($A$2:$A173,"Q32028"),"")</f>
        <v/>
      </c>
      <c r="L173" t="str">
        <f>IF(A173="Q42028",COUNTIF($A$2:$A173,"Q42028"),"")</f>
        <v/>
      </c>
      <c r="M173" t="str">
        <f>IF(A173="Backlog",COUNTIF($A$2:$A173,"Backlog"),"")</f>
        <v/>
      </c>
    </row>
    <row r="174" spans="1:13">
      <c r="A174" t="str">
        <f>IF(AND('Q32028'!B15&lt;&gt;"",'Q32028'!E15&lt;&gt;""),'Q32028'!E15,"")</f>
        <v/>
      </c>
      <c r="B174" t="str">
        <f>IF(AND('Q32028'!B15&lt;&gt;"",'Q32028'!E15&lt;&gt;""),'Q32028'!B15,"")</f>
        <v/>
      </c>
      <c r="C174" t="str">
        <f>IF(AND('Q32028'!B15&lt;&gt;"",'Q32028'!E15&lt;&gt;""),'Q32028'!C15,"")</f>
        <v/>
      </c>
      <c r="D174" t="str">
        <f>IF(AND('Q32028'!B15&lt;&gt;"",'Q32028'!E15&lt;&gt;""),'Q32028'!D15,"")</f>
        <v/>
      </c>
      <c r="E174" t="str">
        <f>IF(AND('Q32028'!B15&lt;&gt;"",'Q32028'!E15&lt;&gt;""),'Q32028'!H15,"")</f>
        <v/>
      </c>
      <c r="F174" t="str">
        <f>IF(AND('Q32028'!B15&lt;&gt;"",'Q32028'!E15&lt;&gt;""),'Q32028'!F15,"")</f>
        <v/>
      </c>
      <c r="G174" t="str">
        <f>IF(AND('Q32028'!B15&lt;&gt;"",'Q32028'!E15&lt;&gt;""),'Q32028'!G15,"")</f>
        <v/>
      </c>
      <c r="H174" t="str">
        <f>IF(AND('Q32028'!B15&lt;&gt;"",'Q32028'!E15&lt;&gt;""),"Q32028","")</f>
        <v/>
      </c>
      <c r="I174" t="str">
        <f>IF(A174="Q12028",COUNTIF($A$2:$A174,"Q12028"),"")</f>
        <v/>
      </c>
      <c r="J174" t="str">
        <f>IF(A174="Q22028",COUNTIF($A$2:$A174,"Q22028"),"")</f>
        <v/>
      </c>
      <c r="K174" t="str">
        <f>IF(A174="Q32028",COUNTIF($A$2:$A174,"Q32028"),"")</f>
        <v/>
      </c>
      <c r="L174" t="str">
        <f>IF(A174="Q42028",COUNTIF($A$2:$A174,"Q42028"),"")</f>
        <v/>
      </c>
      <c r="M174" t="str">
        <f>IF(A174="Backlog",COUNTIF($A$2:$A174,"Backlog"),"")</f>
        <v/>
      </c>
    </row>
    <row r="175" spans="1:13">
      <c r="A175" t="str">
        <f>IF(AND('Q32028'!B16&lt;&gt;"",'Q32028'!E16&lt;&gt;""),'Q32028'!E16,"")</f>
        <v/>
      </c>
      <c r="B175" t="str">
        <f>IF(AND('Q32028'!B16&lt;&gt;"",'Q32028'!E16&lt;&gt;""),'Q32028'!B16,"")</f>
        <v/>
      </c>
      <c r="C175" t="str">
        <f>IF(AND('Q32028'!B16&lt;&gt;"",'Q32028'!E16&lt;&gt;""),'Q32028'!C16,"")</f>
        <v/>
      </c>
      <c r="D175" t="str">
        <f>IF(AND('Q32028'!B16&lt;&gt;"",'Q32028'!E16&lt;&gt;""),'Q32028'!D16,"")</f>
        <v/>
      </c>
      <c r="E175" t="str">
        <f>IF(AND('Q32028'!B16&lt;&gt;"",'Q32028'!E16&lt;&gt;""),'Q32028'!H16,"")</f>
        <v/>
      </c>
      <c r="F175" t="str">
        <f>IF(AND('Q32028'!B16&lt;&gt;"",'Q32028'!E16&lt;&gt;""),'Q32028'!F16,"")</f>
        <v/>
      </c>
      <c r="G175" t="str">
        <f>IF(AND('Q32028'!B16&lt;&gt;"",'Q32028'!E16&lt;&gt;""),'Q32028'!G16,"")</f>
        <v/>
      </c>
      <c r="H175" t="str">
        <f>IF(AND('Q32028'!B16&lt;&gt;"",'Q32028'!E16&lt;&gt;""),"Q32028","")</f>
        <v/>
      </c>
      <c r="I175" t="str">
        <f>IF(A175="Q12028",COUNTIF($A$2:$A175,"Q12028"),"")</f>
        <v/>
      </c>
      <c r="J175" t="str">
        <f>IF(A175="Q22028",COUNTIF($A$2:$A175,"Q22028"),"")</f>
        <v/>
      </c>
      <c r="K175" t="str">
        <f>IF(A175="Q32028",COUNTIF($A$2:$A175,"Q32028"),"")</f>
        <v/>
      </c>
      <c r="L175" t="str">
        <f>IF(A175="Q42028",COUNTIF($A$2:$A175,"Q42028"),"")</f>
        <v/>
      </c>
      <c r="M175" t="str">
        <f>IF(A175="Backlog",COUNTIF($A$2:$A175,"Backlog"),"")</f>
        <v/>
      </c>
    </row>
    <row r="176" spans="1:13">
      <c r="A176" t="str">
        <f>IF(AND('Q32028'!B17&lt;&gt;"",'Q32028'!E17&lt;&gt;""),'Q32028'!E17,"")</f>
        <v/>
      </c>
      <c r="B176" t="str">
        <f>IF(AND('Q32028'!B17&lt;&gt;"",'Q32028'!E17&lt;&gt;""),'Q32028'!B17,"")</f>
        <v/>
      </c>
      <c r="C176" t="str">
        <f>IF(AND('Q32028'!B17&lt;&gt;"",'Q32028'!E17&lt;&gt;""),'Q32028'!C17,"")</f>
        <v/>
      </c>
      <c r="D176" t="str">
        <f>IF(AND('Q32028'!B17&lt;&gt;"",'Q32028'!E17&lt;&gt;""),'Q32028'!D17,"")</f>
        <v/>
      </c>
      <c r="E176" t="str">
        <f>IF(AND('Q32028'!B17&lt;&gt;"",'Q32028'!E17&lt;&gt;""),'Q32028'!H17,"")</f>
        <v/>
      </c>
      <c r="F176" t="str">
        <f>IF(AND('Q32028'!B17&lt;&gt;"",'Q32028'!E17&lt;&gt;""),'Q32028'!F17,"")</f>
        <v/>
      </c>
      <c r="G176" t="str">
        <f>IF(AND('Q32028'!B17&lt;&gt;"",'Q32028'!E17&lt;&gt;""),'Q32028'!G17,"")</f>
        <v/>
      </c>
      <c r="H176" t="str">
        <f>IF(AND('Q32028'!B17&lt;&gt;"",'Q32028'!E17&lt;&gt;""),"Q32028","")</f>
        <v/>
      </c>
      <c r="I176" t="str">
        <f>IF(A176="Q12028",COUNTIF($A$2:$A176,"Q12028"),"")</f>
        <v/>
      </c>
      <c r="J176" t="str">
        <f>IF(A176="Q22028",COUNTIF($A$2:$A176,"Q22028"),"")</f>
        <v/>
      </c>
      <c r="K176" t="str">
        <f>IF(A176="Q32028",COUNTIF($A$2:$A176,"Q32028"),"")</f>
        <v/>
      </c>
      <c r="L176" t="str">
        <f>IF(A176="Q42028",COUNTIF($A$2:$A176,"Q42028"),"")</f>
        <v/>
      </c>
      <c r="M176" t="str">
        <f>IF(A176="Backlog",COUNTIF($A$2:$A176,"Backlog"),"")</f>
        <v/>
      </c>
    </row>
    <row r="177" spans="1:13">
      <c r="A177" t="str">
        <f>IF(AND('Q32028'!B18&lt;&gt;"",'Q32028'!E18&lt;&gt;""),'Q32028'!E18,"")</f>
        <v/>
      </c>
      <c r="B177" t="str">
        <f>IF(AND('Q32028'!B18&lt;&gt;"",'Q32028'!E18&lt;&gt;""),'Q32028'!B18,"")</f>
        <v/>
      </c>
      <c r="C177" t="str">
        <f>IF(AND('Q32028'!B18&lt;&gt;"",'Q32028'!E18&lt;&gt;""),'Q32028'!C18,"")</f>
        <v/>
      </c>
      <c r="D177" t="str">
        <f>IF(AND('Q32028'!B18&lt;&gt;"",'Q32028'!E18&lt;&gt;""),'Q32028'!D18,"")</f>
        <v/>
      </c>
      <c r="E177" t="str">
        <f>IF(AND('Q32028'!B18&lt;&gt;"",'Q32028'!E18&lt;&gt;""),'Q32028'!H18,"")</f>
        <v/>
      </c>
      <c r="F177" t="str">
        <f>IF(AND('Q32028'!B18&lt;&gt;"",'Q32028'!E18&lt;&gt;""),'Q32028'!F18,"")</f>
        <v/>
      </c>
      <c r="G177" t="str">
        <f>IF(AND('Q32028'!B18&lt;&gt;"",'Q32028'!E18&lt;&gt;""),'Q32028'!G18,"")</f>
        <v/>
      </c>
      <c r="H177" t="str">
        <f>IF(AND('Q32028'!B18&lt;&gt;"",'Q32028'!E18&lt;&gt;""),"Q32028","")</f>
        <v/>
      </c>
      <c r="I177" t="str">
        <f>IF(A177="Q12028",COUNTIF($A$2:$A177,"Q12028"),"")</f>
        <v/>
      </c>
      <c r="J177" t="str">
        <f>IF(A177="Q22028",COUNTIF($A$2:$A177,"Q22028"),"")</f>
        <v/>
      </c>
      <c r="K177" t="str">
        <f>IF(A177="Q32028",COUNTIF($A$2:$A177,"Q32028"),"")</f>
        <v/>
      </c>
      <c r="L177" t="str">
        <f>IF(A177="Q42028",COUNTIF($A$2:$A177,"Q42028"),"")</f>
        <v/>
      </c>
      <c r="M177" t="str">
        <f>IF(A177="Backlog",COUNTIF($A$2:$A177,"Backlog"),"")</f>
        <v/>
      </c>
    </row>
    <row r="178" spans="1:13">
      <c r="A178" t="str">
        <f>IF(AND('Q32028'!B19&lt;&gt;"",'Q32028'!E19&lt;&gt;""),'Q32028'!E19,"")</f>
        <v/>
      </c>
      <c r="B178" t="str">
        <f>IF(AND('Q32028'!B19&lt;&gt;"",'Q32028'!E19&lt;&gt;""),'Q32028'!B19,"")</f>
        <v/>
      </c>
      <c r="C178" t="str">
        <f>IF(AND('Q32028'!B19&lt;&gt;"",'Q32028'!E19&lt;&gt;""),'Q32028'!C19,"")</f>
        <v/>
      </c>
      <c r="D178" t="str">
        <f>IF(AND('Q32028'!B19&lt;&gt;"",'Q32028'!E19&lt;&gt;""),'Q32028'!D19,"")</f>
        <v/>
      </c>
      <c r="E178" t="str">
        <f>IF(AND('Q32028'!B19&lt;&gt;"",'Q32028'!E19&lt;&gt;""),'Q32028'!H19,"")</f>
        <v/>
      </c>
      <c r="F178" t="str">
        <f>IF(AND('Q32028'!B19&lt;&gt;"",'Q32028'!E19&lt;&gt;""),'Q32028'!F19,"")</f>
        <v/>
      </c>
      <c r="G178" t="str">
        <f>IF(AND('Q32028'!B19&lt;&gt;"",'Q32028'!E19&lt;&gt;""),'Q32028'!G19,"")</f>
        <v/>
      </c>
      <c r="H178" t="str">
        <f>IF(AND('Q32028'!B19&lt;&gt;"",'Q32028'!E19&lt;&gt;""),"Q32028","")</f>
        <v/>
      </c>
      <c r="I178" t="str">
        <f>IF(A178="Q12028",COUNTIF($A$2:$A178,"Q12028"),"")</f>
        <v/>
      </c>
      <c r="J178" t="str">
        <f>IF(A178="Q22028",COUNTIF($A$2:$A178,"Q22028"),"")</f>
        <v/>
      </c>
      <c r="K178" t="str">
        <f>IF(A178="Q32028",COUNTIF($A$2:$A178,"Q32028"),"")</f>
        <v/>
      </c>
      <c r="L178" t="str">
        <f>IF(A178="Q42028",COUNTIF($A$2:$A178,"Q42028"),"")</f>
        <v/>
      </c>
      <c r="M178" t="str">
        <f>IF(A178="Backlog",COUNTIF($A$2:$A178,"Backlog"),"")</f>
        <v/>
      </c>
    </row>
    <row r="179" spans="1:13">
      <c r="A179" t="str">
        <f>IF(AND('Q32028'!B20&lt;&gt;"",'Q32028'!E20&lt;&gt;""),'Q32028'!E20,"")</f>
        <v/>
      </c>
      <c r="B179" t="str">
        <f>IF(AND('Q32028'!B20&lt;&gt;"",'Q32028'!E20&lt;&gt;""),'Q32028'!B20,"")</f>
        <v/>
      </c>
      <c r="C179" t="str">
        <f>IF(AND('Q32028'!B20&lt;&gt;"",'Q32028'!E20&lt;&gt;""),'Q32028'!C20,"")</f>
        <v/>
      </c>
      <c r="D179" t="str">
        <f>IF(AND('Q32028'!B20&lt;&gt;"",'Q32028'!E20&lt;&gt;""),'Q32028'!D20,"")</f>
        <v/>
      </c>
      <c r="E179" t="str">
        <f>IF(AND('Q32028'!B20&lt;&gt;"",'Q32028'!E20&lt;&gt;""),'Q32028'!H20,"")</f>
        <v/>
      </c>
      <c r="F179" t="str">
        <f>IF(AND('Q32028'!B20&lt;&gt;"",'Q32028'!E20&lt;&gt;""),'Q32028'!F20,"")</f>
        <v/>
      </c>
      <c r="G179" t="str">
        <f>IF(AND('Q32028'!B20&lt;&gt;"",'Q32028'!E20&lt;&gt;""),'Q32028'!G20,"")</f>
        <v/>
      </c>
      <c r="H179" t="str">
        <f>IF(AND('Q32028'!B20&lt;&gt;"",'Q32028'!E20&lt;&gt;""),"Q32028","")</f>
        <v/>
      </c>
      <c r="I179" t="str">
        <f>IF(A179="Q12028",COUNTIF($A$2:$A179,"Q12028"),"")</f>
        <v/>
      </c>
      <c r="J179" t="str">
        <f>IF(A179="Q22028",COUNTIF($A$2:$A179,"Q22028"),"")</f>
        <v/>
      </c>
      <c r="K179" t="str">
        <f>IF(A179="Q32028",COUNTIF($A$2:$A179,"Q32028"),"")</f>
        <v/>
      </c>
      <c r="L179" t="str">
        <f>IF(A179="Q42028",COUNTIF($A$2:$A179,"Q42028"),"")</f>
        <v/>
      </c>
      <c r="M179" t="str">
        <f>IF(A179="Backlog",COUNTIF($A$2:$A179,"Backlog"),"")</f>
        <v/>
      </c>
    </row>
    <row r="180" spans="1:13">
      <c r="A180" t="str">
        <f>IF(AND('Q32028'!B21&lt;&gt;"",'Q32028'!E21&lt;&gt;""),'Q32028'!E21,"")</f>
        <v/>
      </c>
      <c r="B180" t="str">
        <f>IF(AND('Q32028'!B21&lt;&gt;"",'Q32028'!E21&lt;&gt;""),'Q32028'!B21,"")</f>
        <v/>
      </c>
      <c r="C180" t="str">
        <f>IF(AND('Q32028'!B21&lt;&gt;"",'Q32028'!E21&lt;&gt;""),'Q32028'!C21,"")</f>
        <v/>
      </c>
      <c r="D180" t="str">
        <f>IF(AND('Q32028'!B21&lt;&gt;"",'Q32028'!E21&lt;&gt;""),'Q32028'!D21,"")</f>
        <v/>
      </c>
      <c r="E180" t="str">
        <f>IF(AND('Q32028'!B21&lt;&gt;"",'Q32028'!E21&lt;&gt;""),'Q32028'!H21,"")</f>
        <v/>
      </c>
      <c r="F180" t="str">
        <f>IF(AND('Q32028'!B21&lt;&gt;"",'Q32028'!E21&lt;&gt;""),'Q32028'!F21,"")</f>
        <v/>
      </c>
      <c r="G180" t="str">
        <f>IF(AND('Q32028'!B21&lt;&gt;"",'Q32028'!E21&lt;&gt;""),'Q32028'!G21,"")</f>
        <v/>
      </c>
      <c r="H180" t="str">
        <f>IF(AND('Q32028'!B21&lt;&gt;"",'Q32028'!E21&lt;&gt;""),"Q32028","")</f>
        <v/>
      </c>
      <c r="I180" t="str">
        <f>IF(A180="Q12028",COUNTIF($A$2:$A180,"Q12028"),"")</f>
        <v/>
      </c>
      <c r="J180" t="str">
        <f>IF(A180="Q22028",COUNTIF($A$2:$A180,"Q22028"),"")</f>
        <v/>
      </c>
      <c r="K180" t="str">
        <f>IF(A180="Q32028",COUNTIF($A$2:$A180,"Q32028"),"")</f>
        <v/>
      </c>
      <c r="L180" t="str">
        <f>IF(A180="Q42028",COUNTIF($A$2:$A180,"Q42028"),"")</f>
        <v/>
      </c>
      <c r="M180" t="str">
        <f>IF(A180="Backlog",COUNTIF($A$2:$A180,"Backlog"),"")</f>
        <v/>
      </c>
    </row>
    <row r="181" spans="1:13">
      <c r="A181" t="str">
        <f>IF(AND('Q32028'!B22&lt;&gt;"",'Q32028'!E22&lt;&gt;""),'Q32028'!E22,"")</f>
        <v/>
      </c>
      <c r="B181" t="str">
        <f>IF(AND('Q32028'!B22&lt;&gt;"",'Q32028'!E22&lt;&gt;""),'Q32028'!B22,"")</f>
        <v/>
      </c>
      <c r="C181" t="str">
        <f>IF(AND('Q32028'!B22&lt;&gt;"",'Q32028'!E22&lt;&gt;""),'Q32028'!C22,"")</f>
        <v/>
      </c>
      <c r="D181" t="str">
        <f>IF(AND('Q32028'!B22&lt;&gt;"",'Q32028'!E22&lt;&gt;""),'Q32028'!D22,"")</f>
        <v/>
      </c>
      <c r="E181" t="str">
        <f>IF(AND('Q32028'!B22&lt;&gt;"",'Q32028'!E22&lt;&gt;""),'Q32028'!H22,"")</f>
        <v/>
      </c>
      <c r="F181" t="str">
        <f>IF(AND('Q32028'!B22&lt;&gt;"",'Q32028'!E22&lt;&gt;""),'Q32028'!F22,"")</f>
        <v/>
      </c>
      <c r="G181" t="str">
        <f>IF(AND('Q32028'!B22&lt;&gt;"",'Q32028'!E22&lt;&gt;""),'Q32028'!G22,"")</f>
        <v/>
      </c>
      <c r="H181" t="str">
        <f>IF(AND('Q32028'!B22&lt;&gt;"",'Q32028'!E22&lt;&gt;""),"Q32028","")</f>
        <v/>
      </c>
      <c r="I181" t="str">
        <f>IF(A181="Q12028",COUNTIF($A$2:$A181,"Q12028"),"")</f>
        <v/>
      </c>
      <c r="J181" t="str">
        <f>IF(A181="Q22028",COUNTIF($A$2:$A181,"Q22028"),"")</f>
        <v/>
      </c>
      <c r="K181" t="str">
        <f>IF(A181="Q32028",COUNTIF($A$2:$A181,"Q32028"),"")</f>
        <v/>
      </c>
      <c r="L181" t="str">
        <f>IF(A181="Q42028",COUNTIF($A$2:$A181,"Q42028"),"")</f>
        <v/>
      </c>
      <c r="M181" t="str">
        <f>IF(A181="Backlog",COUNTIF($A$2:$A181,"Backlog"),"")</f>
        <v/>
      </c>
    </row>
    <row r="182" spans="1:13">
      <c r="A182" t="str">
        <f>IF(AND('Q32028'!B23&lt;&gt;"",'Q32028'!E23&lt;&gt;""),'Q32028'!E23,"")</f>
        <v/>
      </c>
      <c r="B182" t="str">
        <f>IF(AND('Q32028'!B23&lt;&gt;"",'Q32028'!E23&lt;&gt;""),'Q32028'!B23,"")</f>
        <v/>
      </c>
      <c r="C182" t="str">
        <f>IF(AND('Q32028'!B23&lt;&gt;"",'Q32028'!E23&lt;&gt;""),'Q32028'!C23,"")</f>
        <v/>
      </c>
      <c r="D182" t="str">
        <f>IF(AND('Q32028'!B23&lt;&gt;"",'Q32028'!E23&lt;&gt;""),'Q32028'!D23,"")</f>
        <v/>
      </c>
      <c r="E182" t="str">
        <f>IF(AND('Q32028'!B23&lt;&gt;"",'Q32028'!E23&lt;&gt;""),'Q32028'!H23,"")</f>
        <v/>
      </c>
      <c r="F182" t="str">
        <f>IF(AND('Q32028'!B23&lt;&gt;"",'Q32028'!E23&lt;&gt;""),'Q32028'!F23,"")</f>
        <v/>
      </c>
      <c r="G182" t="str">
        <f>IF(AND('Q32028'!B23&lt;&gt;"",'Q32028'!E23&lt;&gt;""),'Q32028'!G23,"")</f>
        <v/>
      </c>
      <c r="H182" t="str">
        <f>IF(AND('Q32028'!B23&lt;&gt;"",'Q32028'!E23&lt;&gt;""),"Q32028","")</f>
        <v/>
      </c>
      <c r="I182" t="str">
        <f>IF(A182="Q12028",COUNTIF($A$2:$A182,"Q12028"),"")</f>
        <v/>
      </c>
      <c r="J182" t="str">
        <f>IF(A182="Q22028",COUNTIF($A$2:$A182,"Q22028"),"")</f>
        <v/>
      </c>
      <c r="K182" t="str">
        <f>IF(A182="Q32028",COUNTIF($A$2:$A182,"Q32028"),"")</f>
        <v/>
      </c>
      <c r="L182" t="str">
        <f>IF(A182="Q42028",COUNTIF($A$2:$A182,"Q42028"),"")</f>
        <v/>
      </c>
      <c r="M182" t="str">
        <f>IF(A182="Backlog",COUNTIF($A$2:$A182,"Backlog"),"")</f>
        <v/>
      </c>
    </row>
    <row r="183" spans="1:13">
      <c r="A183" t="str">
        <f>IF(AND('Q32028'!B24&lt;&gt;"",'Q32028'!E24&lt;&gt;""),'Q32028'!E24,"")</f>
        <v/>
      </c>
      <c r="B183" t="str">
        <f>IF(AND('Q32028'!B24&lt;&gt;"",'Q32028'!E24&lt;&gt;""),'Q32028'!B24,"")</f>
        <v/>
      </c>
      <c r="C183" t="str">
        <f>IF(AND('Q32028'!B24&lt;&gt;"",'Q32028'!E24&lt;&gt;""),'Q32028'!C24,"")</f>
        <v/>
      </c>
      <c r="D183" t="str">
        <f>IF(AND('Q32028'!B24&lt;&gt;"",'Q32028'!E24&lt;&gt;""),'Q32028'!D24,"")</f>
        <v/>
      </c>
      <c r="E183" t="str">
        <f>IF(AND('Q32028'!B24&lt;&gt;"",'Q32028'!E24&lt;&gt;""),'Q32028'!H24,"")</f>
        <v/>
      </c>
      <c r="F183" t="str">
        <f>IF(AND('Q32028'!B24&lt;&gt;"",'Q32028'!E24&lt;&gt;""),'Q32028'!F24,"")</f>
        <v/>
      </c>
      <c r="G183" t="str">
        <f>IF(AND('Q32028'!B24&lt;&gt;"",'Q32028'!E24&lt;&gt;""),'Q32028'!G24,"")</f>
        <v/>
      </c>
      <c r="H183" t="str">
        <f>IF(AND('Q32028'!B24&lt;&gt;"",'Q32028'!E24&lt;&gt;""),"Q32028","")</f>
        <v/>
      </c>
      <c r="I183" t="str">
        <f>IF(A183="Q12028",COUNTIF($A$2:$A183,"Q12028"),"")</f>
        <v/>
      </c>
      <c r="J183" t="str">
        <f>IF(A183="Q22028",COUNTIF($A$2:$A183,"Q22028"),"")</f>
        <v/>
      </c>
      <c r="K183" t="str">
        <f>IF(A183="Q32028",COUNTIF($A$2:$A183,"Q32028"),"")</f>
        <v/>
      </c>
      <c r="L183" t="str">
        <f>IF(A183="Q42028",COUNTIF($A$2:$A183,"Q42028"),"")</f>
        <v/>
      </c>
      <c r="M183" t="str">
        <f>IF(A183="Backlog",COUNTIF($A$2:$A183,"Backlog"),"")</f>
        <v/>
      </c>
    </row>
    <row r="184" spans="1:13">
      <c r="A184" t="str">
        <f>IF(AND('Q32028'!B25&lt;&gt;"",'Q32028'!E25&lt;&gt;""),'Q32028'!E25,"")</f>
        <v/>
      </c>
      <c r="B184" t="str">
        <f>IF(AND('Q32028'!B25&lt;&gt;"",'Q32028'!E25&lt;&gt;""),'Q32028'!B25,"")</f>
        <v/>
      </c>
      <c r="C184" t="str">
        <f>IF(AND('Q32028'!B25&lt;&gt;"",'Q32028'!E25&lt;&gt;""),'Q32028'!C25,"")</f>
        <v/>
      </c>
      <c r="D184" t="str">
        <f>IF(AND('Q32028'!B25&lt;&gt;"",'Q32028'!E25&lt;&gt;""),'Q32028'!D25,"")</f>
        <v/>
      </c>
      <c r="E184" t="str">
        <f>IF(AND('Q32028'!B25&lt;&gt;"",'Q32028'!E25&lt;&gt;""),'Q32028'!H25,"")</f>
        <v/>
      </c>
      <c r="F184" t="str">
        <f>IF(AND('Q32028'!B25&lt;&gt;"",'Q32028'!E25&lt;&gt;""),'Q32028'!F25,"")</f>
        <v/>
      </c>
      <c r="G184" t="str">
        <f>IF(AND('Q32028'!B25&lt;&gt;"",'Q32028'!E25&lt;&gt;""),'Q32028'!G25,"")</f>
        <v/>
      </c>
      <c r="H184" t="str">
        <f>IF(AND('Q32028'!B25&lt;&gt;"",'Q32028'!E25&lt;&gt;""),"Q32028","")</f>
        <v/>
      </c>
      <c r="I184" t="str">
        <f>IF(A184="Q12028",COUNTIF($A$2:$A184,"Q12028"),"")</f>
        <v/>
      </c>
      <c r="J184" t="str">
        <f>IF(A184="Q22028",COUNTIF($A$2:$A184,"Q22028"),"")</f>
        <v/>
      </c>
      <c r="K184" t="str">
        <f>IF(A184="Q32028",COUNTIF($A$2:$A184,"Q32028"),"")</f>
        <v/>
      </c>
      <c r="L184" t="str">
        <f>IF(A184="Q42028",COUNTIF($A$2:$A184,"Q42028"),"")</f>
        <v/>
      </c>
      <c r="M184" t="str">
        <f>IF(A184="Backlog",COUNTIF($A$2:$A184,"Backlog"),"")</f>
        <v/>
      </c>
    </row>
    <row r="185" spans="1:13">
      <c r="A185" t="str">
        <f>IF(AND('Q32028'!B26&lt;&gt;"",'Q32028'!E26&lt;&gt;""),'Q32028'!E26,"")</f>
        <v/>
      </c>
      <c r="B185" t="str">
        <f>IF(AND('Q32028'!B26&lt;&gt;"",'Q32028'!E26&lt;&gt;""),'Q32028'!B26,"")</f>
        <v/>
      </c>
      <c r="C185" t="str">
        <f>IF(AND('Q32028'!B26&lt;&gt;"",'Q32028'!E26&lt;&gt;""),'Q32028'!C26,"")</f>
        <v/>
      </c>
      <c r="D185" t="str">
        <f>IF(AND('Q32028'!B26&lt;&gt;"",'Q32028'!E26&lt;&gt;""),'Q32028'!D26,"")</f>
        <v/>
      </c>
      <c r="E185" t="str">
        <f>IF(AND('Q32028'!B26&lt;&gt;"",'Q32028'!E26&lt;&gt;""),'Q32028'!H26,"")</f>
        <v/>
      </c>
      <c r="F185" t="str">
        <f>IF(AND('Q32028'!B26&lt;&gt;"",'Q32028'!E26&lt;&gt;""),'Q32028'!F26,"")</f>
        <v/>
      </c>
      <c r="G185" t="str">
        <f>IF(AND('Q32028'!B26&lt;&gt;"",'Q32028'!E26&lt;&gt;""),'Q32028'!G26,"")</f>
        <v/>
      </c>
      <c r="H185" t="str">
        <f>IF(AND('Q32028'!B26&lt;&gt;"",'Q32028'!E26&lt;&gt;""),"Q32028","")</f>
        <v/>
      </c>
      <c r="I185" t="str">
        <f>IF(A185="Q12028",COUNTIF($A$2:$A185,"Q12028"),"")</f>
        <v/>
      </c>
      <c r="J185" t="str">
        <f>IF(A185="Q22028",COUNTIF($A$2:$A185,"Q22028"),"")</f>
        <v/>
      </c>
      <c r="K185" t="str">
        <f>IF(A185="Q32028",COUNTIF($A$2:$A185,"Q32028"),"")</f>
        <v/>
      </c>
      <c r="L185" t="str">
        <f>IF(A185="Q42028",COUNTIF($A$2:$A185,"Q42028"),"")</f>
        <v/>
      </c>
      <c r="M185" t="str">
        <f>IF(A185="Backlog",COUNTIF($A$2:$A185,"Backlog"),"")</f>
        <v/>
      </c>
    </row>
    <row r="186" spans="1:13">
      <c r="A186" t="str">
        <f>IF(AND('Q32028'!B27&lt;&gt;"",'Q32028'!E27&lt;&gt;""),'Q32028'!E27,"")</f>
        <v/>
      </c>
      <c r="B186" t="str">
        <f>IF(AND('Q32028'!B27&lt;&gt;"",'Q32028'!E27&lt;&gt;""),'Q32028'!B27,"")</f>
        <v/>
      </c>
      <c r="C186" t="str">
        <f>IF(AND('Q32028'!B27&lt;&gt;"",'Q32028'!E27&lt;&gt;""),'Q32028'!C27,"")</f>
        <v/>
      </c>
      <c r="D186" t="str">
        <f>IF(AND('Q32028'!B27&lt;&gt;"",'Q32028'!E27&lt;&gt;""),'Q32028'!D27,"")</f>
        <v/>
      </c>
      <c r="E186" t="str">
        <f>IF(AND('Q32028'!B27&lt;&gt;"",'Q32028'!E27&lt;&gt;""),'Q32028'!H27,"")</f>
        <v/>
      </c>
      <c r="F186" t="str">
        <f>IF(AND('Q32028'!B27&lt;&gt;"",'Q32028'!E27&lt;&gt;""),'Q32028'!F27,"")</f>
        <v/>
      </c>
      <c r="G186" t="str">
        <f>IF(AND('Q32028'!B27&lt;&gt;"",'Q32028'!E27&lt;&gt;""),'Q32028'!G27,"")</f>
        <v/>
      </c>
      <c r="H186" t="str">
        <f>IF(AND('Q32028'!B27&lt;&gt;"",'Q32028'!E27&lt;&gt;""),"Q32028","")</f>
        <v/>
      </c>
      <c r="I186" t="str">
        <f>IF(A186="Q12028",COUNTIF($A$2:$A186,"Q12028"),"")</f>
        <v/>
      </c>
      <c r="J186" t="str">
        <f>IF(A186="Q22028",COUNTIF($A$2:$A186,"Q22028"),"")</f>
        <v/>
      </c>
      <c r="K186" t="str">
        <f>IF(A186="Q32028",COUNTIF($A$2:$A186,"Q32028"),"")</f>
        <v/>
      </c>
      <c r="L186" t="str">
        <f>IF(A186="Q42028",COUNTIF($A$2:$A186,"Q42028"),"")</f>
        <v/>
      </c>
      <c r="M186" t="str">
        <f>IF(A186="Backlog",COUNTIF($A$2:$A186,"Backlog"),"")</f>
        <v/>
      </c>
    </row>
    <row r="187" spans="1:13">
      <c r="A187" t="str">
        <f>IF(AND('Q32028'!B28&lt;&gt;"",'Q32028'!E28&lt;&gt;""),'Q32028'!E28,"")</f>
        <v/>
      </c>
      <c r="B187" t="str">
        <f>IF(AND('Q32028'!B28&lt;&gt;"",'Q32028'!E28&lt;&gt;""),'Q32028'!B28,"")</f>
        <v/>
      </c>
      <c r="C187" t="str">
        <f>IF(AND('Q32028'!B28&lt;&gt;"",'Q32028'!E28&lt;&gt;""),'Q32028'!C28,"")</f>
        <v/>
      </c>
      <c r="D187" t="str">
        <f>IF(AND('Q32028'!B28&lt;&gt;"",'Q32028'!E28&lt;&gt;""),'Q32028'!D28,"")</f>
        <v/>
      </c>
      <c r="E187" t="str">
        <f>IF(AND('Q32028'!B28&lt;&gt;"",'Q32028'!E28&lt;&gt;""),'Q32028'!H28,"")</f>
        <v/>
      </c>
      <c r="F187" t="str">
        <f>IF(AND('Q32028'!B28&lt;&gt;"",'Q32028'!E28&lt;&gt;""),'Q32028'!F28,"")</f>
        <v/>
      </c>
      <c r="G187" t="str">
        <f>IF(AND('Q32028'!B28&lt;&gt;"",'Q32028'!E28&lt;&gt;""),'Q32028'!G28,"")</f>
        <v/>
      </c>
      <c r="H187" t="str">
        <f>IF(AND('Q32028'!B28&lt;&gt;"",'Q32028'!E28&lt;&gt;""),"Q32028","")</f>
        <v/>
      </c>
      <c r="I187" t="str">
        <f>IF(A187="Q12028",COUNTIF($A$2:$A187,"Q12028"),"")</f>
        <v/>
      </c>
      <c r="J187" t="str">
        <f>IF(A187="Q22028",COUNTIF($A$2:$A187,"Q22028"),"")</f>
        <v/>
      </c>
      <c r="K187" t="str">
        <f>IF(A187="Q32028",COUNTIF($A$2:$A187,"Q32028"),"")</f>
        <v/>
      </c>
      <c r="L187" t="str">
        <f>IF(A187="Q42028",COUNTIF($A$2:$A187,"Q42028"),"")</f>
        <v/>
      </c>
      <c r="M187" t="str">
        <f>IF(A187="Backlog",COUNTIF($A$2:$A187,"Backlog"),"")</f>
        <v/>
      </c>
    </row>
    <row r="188" spans="1:13">
      <c r="A188" t="str">
        <f>IF(AND('Q32028'!B29&lt;&gt;"",'Q32028'!E29&lt;&gt;""),'Q32028'!E29,"")</f>
        <v/>
      </c>
      <c r="B188" t="str">
        <f>IF(AND('Q32028'!B29&lt;&gt;"",'Q32028'!E29&lt;&gt;""),'Q32028'!B29,"")</f>
        <v/>
      </c>
      <c r="C188" t="str">
        <f>IF(AND('Q32028'!B29&lt;&gt;"",'Q32028'!E29&lt;&gt;""),'Q32028'!C29,"")</f>
        <v/>
      </c>
      <c r="D188" t="str">
        <f>IF(AND('Q32028'!B29&lt;&gt;"",'Q32028'!E29&lt;&gt;""),'Q32028'!D29,"")</f>
        <v/>
      </c>
      <c r="E188" t="str">
        <f>IF(AND('Q32028'!B29&lt;&gt;"",'Q32028'!E29&lt;&gt;""),'Q32028'!H29,"")</f>
        <v/>
      </c>
      <c r="F188" t="str">
        <f>IF(AND('Q32028'!B29&lt;&gt;"",'Q32028'!E29&lt;&gt;""),'Q32028'!F29,"")</f>
        <v/>
      </c>
      <c r="G188" t="str">
        <f>IF(AND('Q32028'!B29&lt;&gt;"",'Q32028'!E29&lt;&gt;""),'Q32028'!G29,"")</f>
        <v/>
      </c>
      <c r="H188" t="str">
        <f>IF(AND('Q32028'!B29&lt;&gt;"",'Q32028'!E29&lt;&gt;""),"Q32028","")</f>
        <v/>
      </c>
      <c r="I188" t="str">
        <f>IF(A188="Q12028",COUNTIF($A$2:$A188,"Q12028"),"")</f>
        <v/>
      </c>
      <c r="J188" t="str">
        <f>IF(A188="Q22028",COUNTIF($A$2:$A188,"Q22028"),"")</f>
        <v/>
      </c>
      <c r="K188" t="str">
        <f>IF(A188="Q32028",COUNTIF($A$2:$A188,"Q32028"),"")</f>
        <v/>
      </c>
      <c r="L188" t="str">
        <f>IF(A188="Q42028",COUNTIF($A$2:$A188,"Q42028"),"")</f>
        <v/>
      </c>
      <c r="M188" t="str">
        <f>IF(A188="Backlog",COUNTIF($A$2:$A188,"Backlog"),"")</f>
        <v/>
      </c>
    </row>
    <row r="189" spans="1:13">
      <c r="A189" t="str">
        <f>IF(AND('Q32028'!B30&lt;&gt;"",'Q32028'!E30&lt;&gt;""),'Q32028'!E30,"")</f>
        <v/>
      </c>
      <c r="B189" t="str">
        <f>IF(AND('Q32028'!B30&lt;&gt;"",'Q32028'!E30&lt;&gt;""),'Q32028'!B30,"")</f>
        <v/>
      </c>
      <c r="C189" t="str">
        <f>IF(AND('Q32028'!B30&lt;&gt;"",'Q32028'!E30&lt;&gt;""),'Q32028'!C30,"")</f>
        <v/>
      </c>
      <c r="D189" t="str">
        <f>IF(AND('Q32028'!B30&lt;&gt;"",'Q32028'!E30&lt;&gt;""),'Q32028'!D30,"")</f>
        <v/>
      </c>
      <c r="E189" t="str">
        <f>IF(AND('Q32028'!B30&lt;&gt;"",'Q32028'!E30&lt;&gt;""),'Q32028'!H30,"")</f>
        <v/>
      </c>
      <c r="F189" t="str">
        <f>IF(AND('Q32028'!B30&lt;&gt;"",'Q32028'!E30&lt;&gt;""),'Q32028'!F30,"")</f>
        <v/>
      </c>
      <c r="G189" t="str">
        <f>IF(AND('Q32028'!B30&lt;&gt;"",'Q32028'!E30&lt;&gt;""),'Q32028'!G30,"")</f>
        <v/>
      </c>
      <c r="H189" t="str">
        <f>IF(AND('Q32028'!B30&lt;&gt;"",'Q32028'!E30&lt;&gt;""),"Q32028","")</f>
        <v/>
      </c>
      <c r="I189" t="str">
        <f>IF(A189="Q12028",COUNTIF($A$2:$A189,"Q12028"),"")</f>
        <v/>
      </c>
      <c r="J189" t="str">
        <f>IF(A189="Q22028",COUNTIF($A$2:$A189,"Q22028"),"")</f>
        <v/>
      </c>
      <c r="K189" t="str">
        <f>IF(A189="Q32028",COUNTIF($A$2:$A189,"Q32028"),"")</f>
        <v/>
      </c>
      <c r="L189" t="str">
        <f>IF(A189="Q42028",COUNTIF($A$2:$A189,"Q42028"),"")</f>
        <v/>
      </c>
      <c r="M189" t="str">
        <f>IF(A189="Backlog",COUNTIF($A$2:$A189,"Backlog"),"")</f>
        <v/>
      </c>
    </row>
    <row r="190" spans="1:13">
      <c r="A190" t="str">
        <f>IF(AND('Q32028'!B31&lt;&gt;"",'Q32028'!E31&lt;&gt;""),'Q32028'!E31,"")</f>
        <v/>
      </c>
      <c r="B190" t="str">
        <f>IF(AND('Q32028'!B31&lt;&gt;"",'Q32028'!E31&lt;&gt;""),'Q32028'!B31,"")</f>
        <v/>
      </c>
      <c r="C190" t="str">
        <f>IF(AND('Q32028'!B31&lt;&gt;"",'Q32028'!E31&lt;&gt;""),'Q32028'!C31,"")</f>
        <v/>
      </c>
      <c r="D190" t="str">
        <f>IF(AND('Q32028'!B31&lt;&gt;"",'Q32028'!E31&lt;&gt;""),'Q32028'!D31,"")</f>
        <v/>
      </c>
      <c r="E190" t="str">
        <f>IF(AND('Q32028'!B31&lt;&gt;"",'Q32028'!E31&lt;&gt;""),'Q32028'!H31,"")</f>
        <v/>
      </c>
      <c r="F190" t="str">
        <f>IF(AND('Q32028'!B31&lt;&gt;"",'Q32028'!E31&lt;&gt;""),'Q32028'!F31,"")</f>
        <v/>
      </c>
      <c r="G190" t="str">
        <f>IF(AND('Q32028'!B31&lt;&gt;"",'Q32028'!E31&lt;&gt;""),'Q32028'!G31,"")</f>
        <v/>
      </c>
      <c r="H190" t="str">
        <f>IF(AND('Q32028'!B31&lt;&gt;"",'Q32028'!E31&lt;&gt;""),"Q32028","")</f>
        <v/>
      </c>
      <c r="I190" t="str">
        <f>IF(A190="Q12028",COUNTIF($A$2:$A190,"Q12028"),"")</f>
        <v/>
      </c>
      <c r="J190" t="str">
        <f>IF(A190="Q22028",COUNTIF($A$2:$A190,"Q22028"),"")</f>
        <v/>
      </c>
      <c r="K190" t="str">
        <f>IF(A190="Q32028",COUNTIF($A$2:$A190,"Q32028"),"")</f>
        <v/>
      </c>
      <c r="L190" t="str">
        <f>IF(A190="Q42028",COUNTIF($A$2:$A190,"Q42028"),"")</f>
        <v/>
      </c>
      <c r="M190" t="str">
        <f>IF(A190="Backlog",COUNTIF($A$2:$A190,"Backlog"),"")</f>
        <v/>
      </c>
    </row>
    <row r="191" spans="1:13">
      <c r="A191" t="str">
        <f>IF(AND('Q32028'!B32&lt;&gt;"",'Q32028'!E32&lt;&gt;""),'Q32028'!E32,"")</f>
        <v/>
      </c>
      <c r="B191" t="str">
        <f>IF(AND('Q32028'!B32&lt;&gt;"",'Q32028'!E32&lt;&gt;""),'Q32028'!B32,"")</f>
        <v/>
      </c>
      <c r="C191" t="str">
        <f>IF(AND('Q32028'!B32&lt;&gt;"",'Q32028'!E32&lt;&gt;""),'Q32028'!C32,"")</f>
        <v/>
      </c>
      <c r="D191" t="str">
        <f>IF(AND('Q32028'!B32&lt;&gt;"",'Q32028'!E32&lt;&gt;""),'Q32028'!D32,"")</f>
        <v/>
      </c>
      <c r="E191" t="str">
        <f>IF(AND('Q32028'!B32&lt;&gt;"",'Q32028'!E32&lt;&gt;""),'Q32028'!H32,"")</f>
        <v/>
      </c>
      <c r="F191" t="str">
        <f>IF(AND('Q32028'!B32&lt;&gt;"",'Q32028'!E32&lt;&gt;""),'Q32028'!F32,"")</f>
        <v/>
      </c>
      <c r="G191" t="str">
        <f>IF(AND('Q32028'!B32&lt;&gt;"",'Q32028'!E32&lt;&gt;""),'Q32028'!G32,"")</f>
        <v/>
      </c>
      <c r="H191" t="str">
        <f>IF(AND('Q32028'!B32&lt;&gt;"",'Q32028'!E32&lt;&gt;""),"Q32028","")</f>
        <v/>
      </c>
      <c r="I191" t="str">
        <f>IF(A191="Q12028",COUNTIF($A$2:$A191,"Q12028"),"")</f>
        <v/>
      </c>
      <c r="J191" t="str">
        <f>IF(A191="Q22028",COUNTIF($A$2:$A191,"Q22028"),"")</f>
        <v/>
      </c>
      <c r="K191" t="str">
        <f>IF(A191="Q32028",COUNTIF($A$2:$A191,"Q32028"),"")</f>
        <v/>
      </c>
      <c r="L191" t="str">
        <f>IF(A191="Q42028",COUNTIF($A$2:$A191,"Q42028"),"")</f>
        <v/>
      </c>
      <c r="M191" t="str">
        <f>IF(A191="Backlog",COUNTIF($A$2:$A191,"Backlog"),"")</f>
        <v/>
      </c>
    </row>
    <row r="192" spans="1:13">
      <c r="A192" t="str">
        <f>IF(AND('Q32028'!B33&lt;&gt;"",'Q32028'!E33&lt;&gt;""),'Q32028'!E33,"")</f>
        <v/>
      </c>
      <c r="B192" t="str">
        <f>IF(AND('Q32028'!B33&lt;&gt;"",'Q32028'!E33&lt;&gt;""),'Q32028'!B33,"")</f>
        <v/>
      </c>
      <c r="C192" t="str">
        <f>IF(AND('Q32028'!B33&lt;&gt;"",'Q32028'!E33&lt;&gt;""),'Q32028'!C33,"")</f>
        <v/>
      </c>
      <c r="D192" t="str">
        <f>IF(AND('Q32028'!B33&lt;&gt;"",'Q32028'!E33&lt;&gt;""),'Q32028'!D33,"")</f>
        <v/>
      </c>
      <c r="E192" t="str">
        <f>IF(AND('Q32028'!B33&lt;&gt;"",'Q32028'!E33&lt;&gt;""),'Q32028'!H33,"")</f>
        <v/>
      </c>
      <c r="F192" t="str">
        <f>IF(AND('Q32028'!B33&lt;&gt;"",'Q32028'!E33&lt;&gt;""),'Q32028'!F33,"")</f>
        <v/>
      </c>
      <c r="G192" t="str">
        <f>IF(AND('Q32028'!B33&lt;&gt;"",'Q32028'!E33&lt;&gt;""),'Q32028'!G33,"")</f>
        <v/>
      </c>
      <c r="H192" t="str">
        <f>IF(AND('Q32028'!B33&lt;&gt;"",'Q32028'!E33&lt;&gt;""),"Q32028","")</f>
        <v/>
      </c>
      <c r="I192" t="str">
        <f>IF(A192="Q12028",COUNTIF($A$2:$A192,"Q12028"),"")</f>
        <v/>
      </c>
      <c r="J192" t="str">
        <f>IF(A192="Q22028",COUNTIF($A$2:$A192,"Q22028"),"")</f>
        <v/>
      </c>
      <c r="K192" t="str">
        <f>IF(A192="Q32028",COUNTIF($A$2:$A192,"Q32028"),"")</f>
        <v/>
      </c>
      <c r="L192" t="str">
        <f>IF(A192="Q42028",COUNTIF($A$2:$A192,"Q42028"),"")</f>
        <v/>
      </c>
      <c r="M192" t="str">
        <f>IF(A192="Backlog",COUNTIF($A$2:$A192,"Backlog"),"")</f>
        <v/>
      </c>
    </row>
    <row r="193" spans="1:13">
      <c r="A193" t="str">
        <f>IF(AND('Q32028'!B34&lt;&gt;"",'Q32028'!E34&lt;&gt;""),'Q32028'!E34,"")</f>
        <v/>
      </c>
      <c r="B193" t="str">
        <f>IF(AND('Q32028'!B34&lt;&gt;"",'Q32028'!E34&lt;&gt;""),'Q32028'!B34,"")</f>
        <v/>
      </c>
      <c r="C193" t="str">
        <f>IF(AND('Q32028'!B34&lt;&gt;"",'Q32028'!E34&lt;&gt;""),'Q32028'!C34,"")</f>
        <v/>
      </c>
      <c r="D193" t="str">
        <f>IF(AND('Q32028'!B34&lt;&gt;"",'Q32028'!E34&lt;&gt;""),'Q32028'!D34,"")</f>
        <v/>
      </c>
      <c r="E193" t="str">
        <f>IF(AND('Q32028'!B34&lt;&gt;"",'Q32028'!E34&lt;&gt;""),'Q32028'!H34,"")</f>
        <v/>
      </c>
      <c r="F193" t="str">
        <f>IF(AND('Q32028'!B34&lt;&gt;"",'Q32028'!E34&lt;&gt;""),'Q32028'!F34,"")</f>
        <v/>
      </c>
      <c r="G193" t="str">
        <f>IF(AND('Q32028'!B34&lt;&gt;"",'Q32028'!E34&lt;&gt;""),'Q32028'!G34,"")</f>
        <v/>
      </c>
      <c r="H193" t="str">
        <f>IF(AND('Q32028'!B34&lt;&gt;"",'Q32028'!E34&lt;&gt;""),"Q32028","")</f>
        <v/>
      </c>
      <c r="I193" t="str">
        <f>IF(A193="Q12028",COUNTIF($A$2:$A193,"Q12028"),"")</f>
        <v/>
      </c>
      <c r="J193" t="str">
        <f>IF(A193="Q22028",COUNTIF($A$2:$A193,"Q22028"),"")</f>
        <v/>
      </c>
      <c r="K193" t="str">
        <f>IF(A193="Q32028",COUNTIF($A$2:$A193,"Q32028"),"")</f>
        <v/>
      </c>
      <c r="L193" t="str">
        <f>IF(A193="Q42028",COUNTIF($A$2:$A193,"Q42028"),"")</f>
        <v/>
      </c>
      <c r="M193" t="str">
        <f>IF(A193="Backlog",COUNTIF($A$2:$A193,"Backlog"),"")</f>
        <v/>
      </c>
    </row>
    <row r="194" spans="1:13">
      <c r="A194" t="str">
        <f>IF(AND('Q32028'!B35&lt;&gt;"",'Q32028'!E35&lt;&gt;""),'Q32028'!E35,"")</f>
        <v/>
      </c>
      <c r="B194" t="str">
        <f>IF(AND('Q32028'!B35&lt;&gt;"",'Q32028'!E35&lt;&gt;""),'Q32028'!B35,"")</f>
        <v/>
      </c>
      <c r="C194" t="str">
        <f>IF(AND('Q32028'!B35&lt;&gt;"",'Q32028'!E35&lt;&gt;""),'Q32028'!C35,"")</f>
        <v/>
      </c>
      <c r="D194" t="str">
        <f>IF(AND('Q32028'!B35&lt;&gt;"",'Q32028'!E35&lt;&gt;""),'Q32028'!D35,"")</f>
        <v/>
      </c>
      <c r="E194" t="str">
        <f>IF(AND('Q32028'!B35&lt;&gt;"",'Q32028'!E35&lt;&gt;""),'Q32028'!H35,"")</f>
        <v/>
      </c>
      <c r="F194" t="str">
        <f>IF(AND('Q32028'!B35&lt;&gt;"",'Q32028'!E35&lt;&gt;""),'Q32028'!F35,"")</f>
        <v/>
      </c>
      <c r="G194" t="str">
        <f>IF(AND('Q32028'!B35&lt;&gt;"",'Q32028'!E35&lt;&gt;""),'Q32028'!G35,"")</f>
        <v/>
      </c>
      <c r="H194" t="str">
        <f>IF(AND('Q32028'!B35&lt;&gt;"",'Q32028'!E35&lt;&gt;""),"Q32028","")</f>
        <v/>
      </c>
      <c r="I194" t="str">
        <f>IF(A194="Q12028",COUNTIF($A$2:$A194,"Q12028"),"")</f>
        <v/>
      </c>
      <c r="J194" t="str">
        <f>IF(A194="Q22028",COUNTIF($A$2:$A194,"Q22028"),"")</f>
        <v/>
      </c>
      <c r="K194" t="str">
        <f>IF(A194="Q32028",COUNTIF($A$2:$A194,"Q32028"),"")</f>
        <v/>
      </c>
      <c r="L194" t="str">
        <f>IF(A194="Q42028",COUNTIF($A$2:$A194,"Q42028"),"")</f>
        <v/>
      </c>
      <c r="M194" t="str">
        <f>IF(A194="Backlog",COUNTIF($A$2:$A194,"Backlog"),"")</f>
        <v/>
      </c>
    </row>
    <row r="195" spans="1:13">
      <c r="A195" t="str">
        <f>IF(AND('Q32028'!B36&lt;&gt;"",'Q32028'!E36&lt;&gt;""),'Q32028'!E36,"")</f>
        <v/>
      </c>
      <c r="B195" t="str">
        <f>IF(AND('Q32028'!B36&lt;&gt;"",'Q32028'!E36&lt;&gt;""),'Q32028'!B36,"")</f>
        <v/>
      </c>
      <c r="C195" t="str">
        <f>IF(AND('Q32028'!B36&lt;&gt;"",'Q32028'!E36&lt;&gt;""),'Q32028'!C36,"")</f>
        <v/>
      </c>
      <c r="D195" t="str">
        <f>IF(AND('Q32028'!B36&lt;&gt;"",'Q32028'!E36&lt;&gt;""),'Q32028'!D36,"")</f>
        <v/>
      </c>
      <c r="E195" t="str">
        <f>IF(AND('Q32028'!B36&lt;&gt;"",'Q32028'!E36&lt;&gt;""),'Q32028'!H36,"")</f>
        <v/>
      </c>
      <c r="F195" t="str">
        <f>IF(AND('Q32028'!B36&lt;&gt;"",'Q32028'!E36&lt;&gt;""),'Q32028'!F36,"")</f>
        <v/>
      </c>
      <c r="G195" t="str">
        <f>IF(AND('Q32028'!B36&lt;&gt;"",'Q32028'!E36&lt;&gt;""),'Q32028'!G36,"")</f>
        <v/>
      </c>
      <c r="H195" t="str">
        <f>IF(AND('Q32028'!B36&lt;&gt;"",'Q32028'!E36&lt;&gt;""),"Q32028","")</f>
        <v/>
      </c>
      <c r="I195" t="str">
        <f>IF(A195="Q12028",COUNTIF($A$2:$A195,"Q12028"),"")</f>
        <v/>
      </c>
      <c r="J195" t="str">
        <f>IF(A195="Q22028",COUNTIF($A$2:$A195,"Q22028"),"")</f>
        <v/>
      </c>
      <c r="K195" t="str">
        <f>IF(A195="Q32028",COUNTIF($A$2:$A195,"Q32028"),"")</f>
        <v/>
      </c>
      <c r="L195" t="str">
        <f>IF(A195="Q42028",COUNTIF($A$2:$A195,"Q42028"),"")</f>
        <v/>
      </c>
      <c r="M195" t="str">
        <f>IF(A195="Backlog",COUNTIF($A$2:$A195,"Backlog"),"")</f>
        <v/>
      </c>
    </row>
    <row r="196" spans="1:13">
      <c r="A196" t="str">
        <f>IF(AND('Q32028'!B37&lt;&gt;"",'Q32028'!E37&lt;&gt;""),'Q32028'!E37,"")</f>
        <v/>
      </c>
      <c r="B196" t="str">
        <f>IF(AND('Q32028'!B37&lt;&gt;"",'Q32028'!E37&lt;&gt;""),'Q32028'!B37,"")</f>
        <v/>
      </c>
      <c r="C196" t="str">
        <f>IF(AND('Q32028'!B37&lt;&gt;"",'Q32028'!E37&lt;&gt;""),'Q32028'!C37,"")</f>
        <v/>
      </c>
      <c r="D196" t="str">
        <f>IF(AND('Q32028'!B37&lt;&gt;"",'Q32028'!E37&lt;&gt;""),'Q32028'!D37,"")</f>
        <v/>
      </c>
      <c r="E196" t="str">
        <f>IF(AND('Q32028'!B37&lt;&gt;"",'Q32028'!E37&lt;&gt;""),'Q32028'!H37,"")</f>
        <v/>
      </c>
      <c r="F196" t="str">
        <f>IF(AND('Q32028'!B37&lt;&gt;"",'Q32028'!E37&lt;&gt;""),'Q32028'!F37,"")</f>
        <v/>
      </c>
      <c r="G196" t="str">
        <f>IF(AND('Q32028'!B37&lt;&gt;"",'Q32028'!E37&lt;&gt;""),'Q32028'!G37,"")</f>
        <v/>
      </c>
      <c r="H196" t="str">
        <f>IF(AND('Q32028'!B37&lt;&gt;"",'Q32028'!E37&lt;&gt;""),"Q32028","")</f>
        <v/>
      </c>
      <c r="I196" t="str">
        <f>IF(A196="Q12028",COUNTIF($A$2:$A196,"Q12028"),"")</f>
        <v/>
      </c>
      <c r="J196" t="str">
        <f>IF(A196="Q22028",COUNTIF($A$2:$A196,"Q22028"),"")</f>
        <v/>
      </c>
      <c r="K196" t="str">
        <f>IF(A196="Q32028",COUNTIF($A$2:$A196,"Q32028"),"")</f>
        <v/>
      </c>
      <c r="L196" t="str">
        <f>IF(A196="Q42028",COUNTIF($A$2:$A196,"Q42028"),"")</f>
        <v/>
      </c>
      <c r="M196" t="str">
        <f>IF(A196="Backlog",COUNTIF($A$2:$A196,"Backlog"),"")</f>
        <v/>
      </c>
    </row>
    <row r="197" spans="1:13">
      <c r="A197" t="str">
        <f>IF(AND('Q32028'!B38&lt;&gt;"",'Q32028'!E38&lt;&gt;""),'Q32028'!E38,"")</f>
        <v/>
      </c>
      <c r="B197" t="str">
        <f>IF(AND('Q32028'!B38&lt;&gt;"",'Q32028'!E38&lt;&gt;""),'Q32028'!B38,"")</f>
        <v/>
      </c>
      <c r="C197" t="str">
        <f>IF(AND('Q32028'!B38&lt;&gt;"",'Q32028'!E38&lt;&gt;""),'Q32028'!C38,"")</f>
        <v/>
      </c>
      <c r="D197" t="str">
        <f>IF(AND('Q32028'!B38&lt;&gt;"",'Q32028'!E38&lt;&gt;""),'Q32028'!D38,"")</f>
        <v/>
      </c>
      <c r="E197" t="str">
        <f>IF(AND('Q32028'!B38&lt;&gt;"",'Q32028'!E38&lt;&gt;""),'Q32028'!H38,"")</f>
        <v/>
      </c>
      <c r="F197" t="str">
        <f>IF(AND('Q32028'!B38&lt;&gt;"",'Q32028'!E38&lt;&gt;""),'Q32028'!F38,"")</f>
        <v/>
      </c>
      <c r="G197" t="str">
        <f>IF(AND('Q32028'!B38&lt;&gt;"",'Q32028'!E38&lt;&gt;""),'Q32028'!G38,"")</f>
        <v/>
      </c>
      <c r="H197" t="str">
        <f>IF(AND('Q32028'!B38&lt;&gt;"",'Q32028'!E38&lt;&gt;""),"Q32028","")</f>
        <v/>
      </c>
      <c r="I197" t="str">
        <f>IF(A197="Q12028",COUNTIF($A$2:$A197,"Q12028"),"")</f>
        <v/>
      </c>
      <c r="J197" t="str">
        <f>IF(A197="Q22028",COUNTIF($A$2:$A197,"Q22028"),"")</f>
        <v/>
      </c>
      <c r="K197" t="str">
        <f>IF(A197="Q32028",COUNTIF($A$2:$A197,"Q32028"),"")</f>
        <v/>
      </c>
      <c r="L197" t="str">
        <f>IF(A197="Q42028",COUNTIF($A$2:$A197,"Q42028"),"")</f>
        <v/>
      </c>
      <c r="M197" t="str">
        <f>IF(A197="Backlog",COUNTIF($A$2:$A197,"Backlog"),"")</f>
        <v/>
      </c>
    </row>
    <row r="198" spans="1:13">
      <c r="A198" t="str">
        <f>IF(AND('Q32028'!B39&lt;&gt;"",'Q32028'!E39&lt;&gt;""),'Q32028'!E39,"")</f>
        <v/>
      </c>
      <c r="B198" t="str">
        <f>IF(AND('Q32028'!B39&lt;&gt;"",'Q32028'!E39&lt;&gt;""),'Q32028'!B39,"")</f>
        <v/>
      </c>
      <c r="C198" t="str">
        <f>IF(AND('Q32028'!B39&lt;&gt;"",'Q32028'!E39&lt;&gt;""),'Q32028'!C39,"")</f>
        <v/>
      </c>
      <c r="D198" t="str">
        <f>IF(AND('Q32028'!B39&lt;&gt;"",'Q32028'!E39&lt;&gt;""),'Q32028'!D39,"")</f>
        <v/>
      </c>
      <c r="E198" t="str">
        <f>IF(AND('Q32028'!B39&lt;&gt;"",'Q32028'!E39&lt;&gt;""),'Q32028'!H39,"")</f>
        <v/>
      </c>
      <c r="F198" t="str">
        <f>IF(AND('Q32028'!B39&lt;&gt;"",'Q32028'!E39&lt;&gt;""),'Q32028'!F39,"")</f>
        <v/>
      </c>
      <c r="G198" t="str">
        <f>IF(AND('Q32028'!B39&lt;&gt;"",'Q32028'!E39&lt;&gt;""),'Q32028'!G39,"")</f>
        <v/>
      </c>
      <c r="H198" t="str">
        <f>IF(AND('Q32028'!B39&lt;&gt;"",'Q32028'!E39&lt;&gt;""),"Q32028","")</f>
        <v/>
      </c>
      <c r="I198" t="str">
        <f>IF(A198="Q12028",COUNTIF($A$2:$A198,"Q12028"),"")</f>
        <v/>
      </c>
      <c r="J198" t="str">
        <f>IF(A198="Q22028",COUNTIF($A$2:$A198,"Q22028"),"")</f>
        <v/>
      </c>
      <c r="K198" t="str">
        <f>IF(A198="Q32028",COUNTIF($A$2:$A198,"Q32028"),"")</f>
        <v/>
      </c>
      <c r="L198" t="str">
        <f>IF(A198="Q42028",COUNTIF($A$2:$A198,"Q42028"),"")</f>
        <v/>
      </c>
      <c r="M198" t="str">
        <f>IF(A198="Backlog",COUNTIF($A$2:$A198,"Backlog"),"")</f>
        <v/>
      </c>
    </row>
    <row r="199" spans="1:13">
      <c r="A199" t="str">
        <f>IF(AND('Q32028'!B40&lt;&gt;"",'Q32028'!E40&lt;&gt;""),'Q32028'!E40,"")</f>
        <v/>
      </c>
      <c r="B199" t="str">
        <f>IF(AND('Q32028'!B40&lt;&gt;"",'Q32028'!E40&lt;&gt;""),'Q32028'!B40,"")</f>
        <v/>
      </c>
      <c r="C199" t="str">
        <f>IF(AND('Q32028'!B40&lt;&gt;"",'Q32028'!E40&lt;&gt;""),'Q32028'!C40,"")</f>
        <v/>
      </c>
      <c r="D199" t="str">
        <f>IF(AND('Q32028'!B40&lt;&gt;"",'Q32028'!E40&lt;&gt;""),'Q32028'!D40,"")</f>
        <v/>
      </c>
      <c r="E199" t="str">
        <f>IF(AND('Q32028'!B40&lt;&gt;"",'Q32028'!E40&lt;&gt;""),'Q32028'!H40,"")</f>
        <v/>
      </c>
      <c r="F199" t="str">
        <f>IF(AND('Q32028'!B40&lt;&gt;"",'Q32028'!E40&lt;&gt;""),'Q32028'!F40,"")</f>
        <v/>
      </c>
      <c r="G199" t="str">
        <f>IF(AND('Q32028'!B40&lt;&gt;"",'Q32028'!E40&lt;&gt;""),'Q32028'!G40,"")</f>
        <v/>
      </c>
      <c r="H199" t="str">
        <f>IF(AND('Q32028'!B40&lt;&gt;"",'Q32028'!E40&lt;&gt;""),"Q32028","")</f>
        <v/>
      </c>
      <c r="I199" t="str">
        <f>IF(A199="Q12028",COUNTIF($A$2:$A199,"Q12028"),"")</f>
        <v/>
      </c>
      <c r="J199" t="str">
        <f>IF(A199="Q22028",COUNTIF($A$2:$A199,"Q22028"),"")</f>
        <v/>
      </c>
      <c r="K199" t="str">
        <f>IF(A199="Q32028",COUNTIF($A$2:$A199,"Q32028"),"")</f>
        <v/>
      </c>
      <c r="L199" t="str">
        <f>IF(A199="Q42028",COUNTIF($A$2:$A199,"Q42028"),"")</f>
        <v/>
      </c>
      <c r="M199" t="str">
        <f>IF(A199="Backlog",COUNTIF($A$2:$A199,"Backlog"),"")</f>
        <v/>
      </c>
    </row>
    <row r="200" spans="1:13">
      <c r="A200" t="str">
        <f>IF(AND('Q32028'!B41&lt;&gt;"",'Q32028'!E41&lt;&gt;""),'Q32028'!E41,"")</f>
        <v/>
      </c>
      <c r="B200" t="str">
        <f>IF(AND('Q32028'!B41&lt;&gt;"",'Q32028'!E41&lt;&gt;""),'Q32028'!B41,"")</f>
        <v/>
      </c>
      <c r="C200" t="str">
        <f>IF(AND('Q32028'!B41&lt;&gt;"",'Q32028'!E41&lt;&gt;""),'Q32028'!C41,"")</f>
        <v/>
      </c>
      <c r="D200" t="str">
        <f>IF(AND('Q32028'!B41&lt;&gt;"",'Q32028'!E41&lt;&gt;""),'Q32028'!D41,"")</f>
        <v/>
      </c>
      <c r="E200" t="str">
        <f>IF(AND('Q32028'!B41&lt;&gt;"",'Q32028'!E41&lt;&gt;""),'Q32028'!H41,"")</f>
        <v/>
      </c>
      <c r="F200" t="str">
        <f>IF(AND('Q32028'!B41&lt;&gt;"",'Q32028'!E41&lt;&gt;""),'Q32028'!F41,"")</f>
        <v/>
      </c>
      <c r="G200" t="str">
        <f>IF(AND('Q32028'!B41&lt;&gt;"",'Q32028'!E41&lt;&gt;""),'Q32028'!G41,"")</f>
        <v/>
      </c>
      <c r="H200" t="str">
        <f>IF(AND('Q32028'!B41&lt;&gt;"",'Q32028'!E41&lt;&gt;""),"Q32028","")</f>
        <v/>
      </c>
      <c r="I200" t="str">
        <f>IF(A200="Q12028",COUNTIF($A$2:$A200,"Q12028"),"")</f>
        <v/>
      </c>
      <c r="J200" t="str">
        <f>IF(A200="Q22028",COUNTIF($A$2:$A200,"Q22028"),"")</f>
        <v/>
      </c>
      <c r="K200" t="str">
        <f>IF(A200="Q32028",COUNTIF($A$2:$A200,"Q32028"),"")</f>
        <v/>
      </c>
      <c r="L200" t="str">
        <f>IF(A200="Q42028",COUNTIF($A$2:$A200,"Q42028"),"")</f>
        <v/>
      </c>
      <c r="M200" t="str">
        <f>IF(A200="Backlog",COUNTIF($A$2:$A200,"Backlog"),"")</f>
        <v/>
      </c>
    </row>
    <row r="201" spans="1:13">
      <c r="A201" t="str">
        <f>IF(AND('Q32028'!B42&lt;&gt;"",'Q32028'!E42&lt;&gt;""),'Q32028'!E42,"")</f>
        <v/>
      </c>
      <c r="B201" t="str">
        <f>IF(AND('Q32028'!B42&lt;&gt;"",'Q32028'!E42&lt;&gt;""),'Q32028'!B42,"")</f>
        <v/>
      </c>
      <c r="C201" t="str">
        <f>IF(AND('Q32028'!B42&lt;&gt;"",'Q32028'!E42&lt;&gt;""),'Q32028'!C42,"")</f>
        <v/>
      </c>
      <c r="D201" t="str">
        <f>IF(AND('Q32028'!B42&lt;&gt;"",'Q32028'!E42&lt;&gt;""),'Q32028'!D42,"")</f>
        <v/>
      </c>
      <c r="E201" t="str">
        <f>IF(AND('Q32028'!B42&lt;&gt;"",'Q32028'!E42&lt;&gt;""),'Q32028'!H42,"")</f>
        <v/>
      </c>
      <c r="F201" t="str">
        <f>IF(AND('Q32028'!B42&lt;&gt;"",'Q32028'!E42&lt;&gt;""),'Q32028'!F42,"")</f>
        <v/>
      </c>
      <c r="G201" t="str">
        <f>IF(AND('Q32028'!B42&lt;&gt;"",'Q32028'!E42&lt;&gt;""),'Q32028'!G42,"")</f>
        <v/>
      </c>
      <c r="H201" t="str">
        <f>IF(AND('Q32028'!B42&lt;&gt;"",'Q32028'!E42&lt;&gt;""),"Q32028","")</f>
        <v/>
      </c>
      <c r="I201" t="str">
        <f>IF(A201="Q12028",COUNTIF($A$2:$A201,"Q12028"),"")</f>
        <v/>
      </c>
      <c r="J201" t="str">
        <f>IF(A201="Q22028",COUNTIF($A$2:$A201,"Q22028"),"")</f>
        <v/>
      </c>
      <c r="K201" t="str">
        <f>IF(A201="Q32028",COUNTIF($A$2:$A201,"Q32028"),"")</f>
        <v/>
      </c>
      <c r="L201" t="str">
        <f>IF(A201="Q42028",COUNTIF($A$2:$A201,"Q42028"),"")</f>
        <v/>
      </c>
      <c r="M201" t="str">
        <f>IF(A201="Backlog",COUNTIF($A$2:$A201,"Backlog"),"")</f>
        <v/>
      </c>
    </row>
    <row r="202" spans="1:13">
      <c r="A202" t="str">
        <f>IF(AND('Q32028'!B43&lt;&gt;"",'Q32028'!E43&lt;&gt;""),'Q32028'!E43,"")</f>
        <v/>
      </c>
      <c r="B202" t="str">
        <f>IF(AND('Q32028'!B43&lt;&gt;"",'Q32028'!E43&lt;&gt;""),'Q32028'!B43,"")</f>
        <v/>
      </c>
      <c r="C202" t="str">
        <f>IF(AND('Q32028'!B43&lt;&gt;"",'Q32028'!E43&lt;&gt;""),'Q32028'!C43,"")</f>
        <v/>
      </c>
      <c r="D202" t="str">
        <f>IF(AND('Q32028'!B43&lt;&gt;"",'Q32028'!E43&lt;&gt;""),'Q32028'!D43,"")</f>
        <v/>
      </c>
      <c r="E202" t="str">
        <f>IF(AND('Q32028'!B43&lt;&gt;"",'Q32028'!E43&lt;&gt;""),'Q32028'!H43,"")</f>
        <v/>
      </c>
      <c r="F202" t="str">
        <f>IF(AND('Q32028'!B43&lt;&gt;"",'Q32028'!E43&lt;&gt;""),'Q32028'!F43,"")</f>
        <v/>
      </c>
      <c r="G202" t="str">
        <f>IF(AND('Q32028'!B43&lt;&gt;"",'Q32028'!E43&lt;&gt;""),'Q32028'!G43,"")</f>
        <v/>
      </c>
      <c r="H202" t="str">
        <f>IF(AND('Q32028'!B43&lt;&gt;"",'Q32028'!E43&lt;&gt;""),"Q32028","")</f>
        <v/>
      </c>
      <c r="I202" t="str">
        <f>IF(A202="Q12028",COUNTIF($A$2:$A202,"Q12028"),"")</f>
        <v/>
      </c>
      <c r="J202" t="str">
        <f>IF(A202="Q22028",COUNTIF($A$2:$A202,"Q22028"),"")</f>
        <v/>
      </c>
      <c r="K202" t="str">
        <f>IF(A202="Q32028",COUNTIF($A$2:$A202,"Q32028"),"")</f>
        <v/>
      </c>
      <c r="L202" t="str">
        <f>IF(A202="Q42028",COUNTIF($A$2:$A202,"Q42028"),"")</f>
        <v/>
      </c>
      <c r="M202" t="str">
        <f>IF(A202="Backlog",COUNTIF($A$2:$A202,"Backlog"),"")</f>
        <v/>
      </c>
    </row>
    <row r="203" spans="1:13">
      <c r="A203" t="str">
        <f>IF(AND('Q32028'!B44&lt;&gt;"",'Q32028'!E44&lt;&gt;""),'Q32028'!E44,"")</f>
        <v/>
      </c>
      <c r="B203" t="str">
        <f>IF(AND('Q32028'!B44&lt;&gt;"",'Q32028'!E44&lt;&gt;""),'Q32028'!B44,"")</f>
        <v/>
      </c>
      <c r="C203" t="str">
        <f>IF(AND('Q32028'!B44&lt;&gt;"",'Q32028'!E44&lt;&gt;""),'Q32028'!C44,"")</f>
        <v/>
      </c>
      <c r="D203" t="str">
        <f>IF(AND('Q32028'!B44&lt;&gt;"",'Q32028'!E44&lt;&gt;""),'Q32028'!D44,"")</f>
        <v/>
      </c>
      <c r="E203" t="str">
        <f>IF(AND('Q32028'!B44&lt;&gt;"",'Q32028'!E44&lt;&gt;""),'Q32028'!H44,"")</f>
        <v/>
      </c>
      <c r="F203" t="str">
        <f>IF(AND('Q32028'!B44&lt;&gt;"",'Q32028'!E44&lt;&gt;""),'Q32028'!F44,"")</f>
        <v/>
      </c>
      <c r="G203" t="str">
        <f>IF(AND('Q32028'!B44&lt;&gt;"",'Q32028'!E44&lt;&gt;""),'Q32028'!G44,"")</f>
        <v/>
      </c>
      <c r="H203" t="str">
        <f>IF(AND('Q32028'!B44&lt;&gt;"",'Q32028'!E44&lt;&gt;""),"Q32028","")</f>
        <v/>
      </c>
      <c r="I203" t="str">
        <f>IF(A203="Q12028",COUNTIF($A$2:$A203,"Q12028"),"")</f>
        <v/>
      </c>
      <c r="J203" t="str">
        <f>IF(A203="Q22028",COUNTIF($A$2:$A203,"Q22028"),"")</f>
        <v/>
      </c>
      <c r="K203" t="str">
        <f>IF(A203="Q32028",COUNTIF($A$2:$A203,"Q32028"),"")</f>
        <v/>
      </c>
      <c r="L203" t="str">
        <f>IF(A203="Q42028",COUNTIF($A$2:$A203,"Q42028"),"")</f>
        <v/>
      </c>
      <c r="M203" t="str">
        <f>IF(A203="Backlog",COUNTIF($A$2:$A203,"Backlog"),"")</f>
        <v/>
      </c>
    </row>
    <row r="204" spans="1:13">
      <c r="A204" t="str">
        <f>IF(AND('Q32028'!B45&lt;&gt;"",'Q32028'!E45&lt;&gt;""),'Q32028'!E45,"")</f>
        <v/>
      </c>
      <c r="B204" t="str">
        <f>IF(AND('Q32028'!B45&lt;&gt;"",'Q32028'!E45&lt;&gt;""),'Q32028'!B45,"")</f>
        <v/>
      </c>
      <c r="C204" t="str">
        <f>IF(AND('Q32028'!B45&lt;&gt;"",'Q32028'!E45&lt;&gt;""),'Q32028'!C45,"")</f>
        <v/>
      </c>
      <c r="D204" t="str">
        <f>IF(AND('Q32028'!B45&lt;&gt;"",'Q32028'!E45&lt;&gt;""),'Q32028'!D45,"")</f>
        <v/>
      </c>
      <c r="E204" t="str">
        <f>IF(AND('Q32028'!B45&lt;&gt;"",'Q32028'!E45&lt;&gt;""),'Q32028'!H45,"")</f>
        <v/>
      </c>
      <c r="F204" t="str">
        <f>IF(AND('Q32028'!B45&lt;&gt;"",'Q32028'!E45&lt;&gt;""),'Q32028'!F45,"")</f>
        <v/>
      </c>
      <c r="G204" t="str">
        <f>IF(AND('Q32028'!B45&lt;&gt;"",'Q32028'!E45&lt;&gt;""),'Q32028'!G45,"")</f>
        <v/>
      </c>
      <c r="H204" t="str">
        <f>IF(AND('Q32028'!B45&lt;&gt;"",'Q32028'!E45&lt;&gt;""),"Q32028","")</f>
        <v/>
      </c>
      <c r="I204" t="str">
        <f>IF(A204="Q12028",COUNTIF($A$2:$A204,"Q12028"),"")</f>
        <v/>
      </c>
      <c r="J204" t="str">
        <f>IF(A204="Q22028",COUNTIF($A$2:$A204,"Q22028"),"")</f>
        <v/>
      </c>
      <c r="K204" t="str">
        <f>IF(A204="Q32028",COUNTIF($A$2:$A204,"Q32028"),"")</f>
        <v/>
      </c>
      <c r="L204" t="str">
        <f>IF(A204="Q42028",COUNTIF($A$2:$A204,"Q42028"),"")</f>
        <v/>
      </c>
      <c r="M204" t="str">
        <f>IF(A204="Backlog",COUNTIF($A$2:$A204,"Backlog"),"")</f>
        <v/>
      </c>
    </row>
    <row r="205" spans="1:13">
      <c r="A205" t="str">
        <f>IF(AND('Q32028'!B46&lt;&gt;"",'Q32028'!E46&lt;&gt;""),'Q32028'!E46,"")</f>
        <v/>
      </c>
      <c r="B205" t="str">
        <f>IF(AND('Q32028'!B46&lt;&gt;"",'Q32028'!E46&lt;&gt;""),'Q32028'!B46,"")</f>
        <v/>
      </c>
      <c r="C205" t="str">
        <f>IF(AND('Q32028'!B46&lt;&gt;"",'Q32028'!E46&lt;&gt;""),'Q32028'!C46,"")</f>
        <v/>
      </c>
      <c r="D205" t="str">
        <f>IF(AND('Q32028'!B46&lt;&gt;"",'Q32028'!E46&lt;&gt;""),'Q32028'!D46,"")</f>
        <v/>
      </c>
      <c r="E205" t="str">
        <f>IF(AND('Q32028'!B46&lt;&gt;"",'Q32028'!E46&lt;&gt;""),'Q32028'!H46,"")</f>
        <v/>
      </c>
      <c r="F205" t="str">
        <f>IF(AND('Q32028'!B46&lt;&gt;"",'Q32028'!E46&lt;&gt;""),'Q32028'!F46,"")</f>
        <v/>
      </c>
      <c r="G205" t="str">
        <f>IF(AND('Q32028'!B46&lt;&gt;"",'Q32028'!E46&lt;&gt;""),'Q32028'!G46,"")</f>
        <v/>
      </c>
      <c r="H205" t="str">
        <f>IF(AND('Q32028'!B46&lt;&gt;"",'Q32028'!E46&lt;&gt;""),"Q32028","")</f>
        <v/>
      </c>
      <c r="I205" t="str">
        <f>IF(A205="Q12028",COUNTIF($A$2:$A205,"Q12028"),"")</f>
        <v/>
      </c>
      <c r="J205" t="str">
        <f>IF(A205="Q22028",COUNTIF($A$2:$A205,"Q22028"),"")</f>
        <v/>
      </c>
      <c r="K205" t="str">
        <f>IF(A205="Q32028",COUNTIF($A$2:$A205,"Q32028"),"")</f>
        <v/>
      </c>
      <c r="L205" t="str">
        <f>IF(A205="Q42028",COUNTIF($A$2:$A205,"Q42028"),"")</f>
        <v/>
      </c>
      <c r="M205" t="str">
        <f>IF(A205="Backlog",COUNTIF($A$2:$A205,"Backlog"),"")</f>
        <v/>
      </c>
    </row>
    <row r="206" spans="1:13">
      <c r="A206" t="str">
        <f>IF(AND('Q32028'!B47&lt;&gt;"",'Q32028'!E47&lt;&gt;""),'Q32028'!E47,"")</f>
        <v/>
      </c>
      <c r="B206" t="str">
        <f>IF(AND('Q32028'!B47&lt;&gt;"",'Q32028'!E47&lt;&gt;""),'Q32028'!B47,"")</f>
        <v/>
      </c>
      <c r="C206" t="str">
        <f>IF(AND('Q32028'!B47&lt;&gt;"",'Q32028'!E47&lt;&gt;""),'Q32028'!C47,"")</f>
        <v/>
      </c>
      <c r="D206" t="str">
        <f>IF(AND('Q32028'!B47&lt;&gt;"",'Q32028'!E47&lt;&gt;""),'Q32028'!D47,"")</f>
        <v/>
      </c>
      <c r="E206" t="str">
        <f>IF(AND('Q32028'!B47&lt;&gt;"",'Q32028'!E47&lt;&gt;""),'Q32028'!H47,"")</f>
        <v/>
      </c>
      <c r="F206" t="str">
        <f>IF(AND('Q32028'!B47&lt;&gt;"",'Q32028'!E47&lt;&gt;""),'Q32028'!F47,"")</f>
        <v/>
      </c>
      <c r="G206" t="str">
        <f>IF(AND('Q32028'!B47&lt;&gt;"",'Q32028'!E47&lt;&gt;""),'Q32028'!G47,"")</f>
        <v/>
      </c>
      <c r="H206" t="str">
        <f>IF(AND('Q32028'!B47&lt;&gt;"",'Q32028'!E47&lt;&gt;""),"Q32028","")</f>
        <v/>
      </c>
      <c r="I206" t="str">
        <f>IF(A206="Q12028",COUNTIF($A$2:$A206,"Q12028"),"")</f>
        <v/>
      </c>
      <c r="J206" t="str">
        <f>IF(A206="Q22028",COUNTIF($A$2:$A206,"Q22028"),"")</f>
        <v/>
      </c>
      <c r="K206" t="str">
        <f>IF(A206="Q32028",COUNTIF($A$2:$A206,"Q32028"),"")</f>
        <v/>
      </c>
      <c r="L206" t="str">
        <f>IF(A206="Q42028",COUNTIF($A$2:$A206,"Q42028"),"")</f>
        <v/>
      </c>
      <c r="M206" t="str">
        <f>IF(A206="Backlog",COUNTIF($A$2:$A206,"Backlog"),"")</f>
        <v/>
      </c>
    </row>
    <row r="207" spans="1:13">
      <c r="A207" t="str">
        <f>IF(AND('Q32028'!B48&lt;&gt;"",'Q32028'!E48&lt;&gt;""),'Q32028'!E48,"")</f>
        <v/>
      </c>
      <c r="B207" t="str">
        <f>IF(AND('Q32028'!B48&lt;&gt;"",'Q32028'!E48&lt;&gt;""),'Q32028'!B48,"")</f>
        <v/>
      </c>
      <c r="C207" t="str">
        <f>IF(AND('Q32028'!B48&lt;&gt;"",'Q32028'!E48&lt;&gt;""),'Q32028'!C48,"")</f>
        <v/>
      </c>
      <c r="D207" t="str">
        <f>IF(AND('Q32028'!B48&lt;&gt;"",'Q32028'!E48&lt;&gt;""),'Q32028'!D48,"")</f>
        <v/>
      </c>
      <c r="E207" t="str">
        <f>IF(AND('Q32028'!B48&lt;&gt;"",'Q32028'!E48&lt;&gt;""),'Q32028'!H48,"")</f>
        <v/>
      </c>
      <c r="F207" t="str">
        <f>IF(AND('Q32028'!B48&lt;&gt;"",'Q32028'!E48&lt;&gt;""),'Q32028'!F48,"")</f>
        <v/>
      </c>
      <c r="G207" t="str">
        <f>IF(AND('Q32028'!B48&lt;&gt;"",'Q32028'!E48&lt;&gt;""),'Q32028'!G48,"")</f>
        <v/>
      </c>
      <c r="H207" t="str">
        <f>IF(AND('Q32028'!B48&lt;&gt;"",'Q32028'!E48&lt;&gt;""),"Q32028","")</f>
        <v/>
      </c>
      <c r="I207" t="str">
        <f>IF(A207="Q12028",COUNTIF($A$2:$A207,"Q12028"),"")</f>
        <v/>
      </c>
      <c r="J207" t="str">
        <f>IF(A207="Q22028",COUNTIF($A$2:$A207,"Q22028"),"")</f>
        <v/>
      </c>
      <c r="K207" t="str">
        <f>IF(A207="Q32028",COUNTIF($A$2:$A207,"Q32028"),"")</f>
        <v/>
      </c>
      <c r="L207" t="str">
        <f>IF(A207="Q42028",COUNTIF($A$2:$A207,"Q42028"),"")</f>
        <v/>
      </c>
      <c r="M207" t="str">
        <f>IF(A207="Backlog",COUNTIF($A$2:$A207,"Backlog"),"")</f>
        <v/>
      </c>
    </row>
    <row r="208" spans="1:13">
      <c r="A208" t="str">
        <f>IF(AND('Q32028'!B49&lt;&gt;"",'Q32028'!E49&lt;&gt;""),'Q32028'!E49,"")</f>
        <v/>
      </c>
      <c r="B208" t="str">
        <f>IF(AND('Q32028'!B49&lt;&gt;"",'Q32028'!E49&lt;&gt;""),'Q32028'!B49,"")</f>
        <v/>
      </c>
      <c r="C208" t="str">
        <f>IF(AND('Q32028'!B49&lt;&gt;"",'Q32028'!E49&lt;&gt;""),'Q32028'!C49,"")</f>
        <v/>
      </c>
      <c r="D208" t="str">
        <f>IF(AND('Q32028'!B49&lt;&gt;"",'Q32028'!E49&lt;&gt;""),'Q32028'!D49,"")</f>
        <v/>
      </c>
      <c r="E208" t="str">
        <f>IF(AND('Q32028'!B49&lt;&gt;"",'Q32028'!E49&lt;&gt;""),'Q32028'!H49,"")</f>
        <v/>
      </c>
      <c r="F208" t="str">
        <f>IF(AND('Q32028'!B49&lt;&gt;"",'Q32028'!E49&lt;&gt;""),'Q32028'!F49,"")</f>
        <v/>
      </c>
      <c r="G208" t="str">
        <f>IF(AND('Q32028'!B49&lt;&gt;"",'Q32028'!E49&lt;&gt;""),'Q32028'!G49,"")</f>
        <v/>
      </c>
      <c r="H208" t="str">
        <f>IF(AND('Q32028'!B49&lt;&gt;"",'Q32028'!E49&lt;&gt;""),"Q32028","")</f>
        <v/>
      </c>
      <c r="I208" t="str">
        <f>IF(A208="Q12028",COUNTIF($A$2:$A208,"Q12028"),"")</f>
        <v/>
      </c>
      <c r="J208" t="str">
        <f>IF(A208="Q22028",COUNTIF($A$2:$A208,"Q22028"),"")</f>
        <v/>
      </c>
      <c r="K208" t="str">
        <f>IF(A208="Q32028",COUNTIF($A$2:$A208,"Q32028"),"")</f>
        <v/>
      </c>
      <c r="L208" t="str">
        <f>IF(A208="Q42028",COUNTIF($A$2:$A208,"Q42028"),"")</f>
        <v/>
      </c>
      <c r="M208" t="str">
        <f>IF(A208="Backlog",COUNTIF($A$2:$A208,"Backlog"),"")</f>
        <v/>
      </c>
    </row>
    <row r="209" spans="1:13">
      <c r="A209" t="str">
        <f>IF(AND('Q32028'!B50&lt;&gt;"",'Q32028'!E50&lt;&gt;""),'Q32028'!E50,"")</f>
        <v/>
      </c>
      <c r="B209" t="str">
        <f>IF(AND('Q32028'!B50&lt;&gt;"",'Q32028'!E50&lt;&gt;""),'Q32028'!B50,"")</f>
        <v/>
      </c>
      <c r="C209" t="str">
        <f>IF(AND('Q32028'!B50&lt;&gt;"",'Q32028'!E50&lt;&gt;""),'Q32028'!C50,"")</f>
        <v/>
      </c>
      <c r="D209" t="str">
        <f>IF(AND('Q32028'!B50&lt;&gt;"",'Q32028'!E50&lt;&gt;""),'Q32028'!D50,"")</f>
        <v/>
      </c>
      <c r="E209" t="str">
        <f>IF(AND('Q32028'!B50&lt;&gt;"",'Q32028'!E50&lt;&gt;""),'Q32028'!H50,"")</f>
        <v/>
      </c>
      <c r="F209" t="str">
        <f>IF(AND('Q32028'!B50&lt;&gt;"",'Q32028'!E50&lt;&gt;""),'Q32028'!F50,"")</f>
        <v/>
      </c>
      <c r="G209" t="str">
        <f>IF(AND('Q32028'!B50&lt;&gt;"",'Q32028'!E50&lt;&gt;""),'Q32028'!G50,"")</f>
        <v/>
      </c>
      <c r="H209" t="str">
        <f>IF(AND('Q32028'!B50&lt;&gt;"",'Q32028'!E50&lt;&gt;""),"Q32028","")</f>
        <v/>
      </c>
      <c r="I209" t="str">
        <f>IF(A209="Q12028",COUNTIF($A$2:$A209,"Q12028"),"")</f>
        <v/>
      </c>
      <c r="J209" t="str">
        <f>IF(A209="Q22028",COUNTIF($A$2:$A209,"Q22028"),"")</f>
        <v/>
      </c>
      <c r="K209" t="str">
        <f>IF(A209="Q32028",COUNTIF($A$2:$A209,"Q32028"),"")</f>
        <v/>
      </c>
      <c r="L209" t="str">
        <f>IF(A209="Q42028",COUNTIF($A$2:$A209,"Q42028"),"")</f>
        <v/>
      </c>
      <c r="M209" t="str">
        <f>IF(A209="Backlog",COUNTIF($A$2:$A209,"Backlog"),"")</f>
        <v/>
      </c>
    </row>
    <row r="210" spans="1:13">
      <c r="A210" t="str">
        <f>IF(AND('Q32028'!B51&lt;&gt;"",'Q32028'!E51&lt;&gt;""),'Q32028'!E51,"")</f>
        <v/>
      </c>
      <c r="B210" t="str">
        <f>IF(AND('Q32028'!B51&lt;&gt;"",'Q32028'!E51&lt;&gt;""),'Q32028'!B51,"")</f>
        <v/>
      </c>
      <c r="C210" t="str">
        <f>IF(AND('Q32028'!B51&lt;&gt;"",'Q32028'!E51&lt;&gt;""),'Q32028'!C51,"")</f>
        <v/>
      </c>
      <c r="D210" t="str">
        <f>IF(AND('Q32028'!B51&lt;&gt;"",'Q32028'!E51&lt;&gt;""),'Q32028'!D51,"")</f>
        <v/>
      </c>
      <c r="E210" t="str">
        <f>IF(AND('Q32028'!B51&lt;&gt;"",'Q32028'!E51&lt;&gt;""),'Q32028'!H51,"")</f>
        <v/>
      </c>
      <c r="F210" t="str">
        <f>IF(AND('Q32028'!B51&lt;&gt;"",'Q32028'!E51&lt;&gt;""),'Q32028'!F51,"")</f>
        <v/>
      </c>
      <c r="G210" t="str">
        <f>IF(AND('Q32028'!B51&lt;&gt;"",'Q32028'!E51&lt;&gt;""),'Q32028'!G51,"")</f>
        <v/>
      </c>
      <c r="H210" t="str">
        <f>IF(AND('Q32028'!B51&lt;&gt;"",'Q32028'!E51&lt;&gt;""),"Q32028","")</f>
        <v/>
      </c>
      <c r="I210" t="str">
        <f>IF(A210="Q12028",COUNTIF($A$2:$A210,"Q12028"),"")</f>
        <v/>
      </c>
      <c r="J210" t="str">
        <f>IF(A210="Q22028",COUNTIF($A$2:$A210,"Q22028"),"")</f>
        <v/>
      </c>
      <c r="K210" t="str">
        <f>IF(A210="Q32028",COUNTIF($A$2:$A210,"Q32028"),"")</f>
        <v/>
      </c>
      <c r="L210" t="str">
        <f>IF(A210="Q42028",COUNTIF($A$2:$A210,"Q42028"),"")</f>
        <v/>
      </c>
      <c r="M210" t="str">
        <f>IF(A210="Backlog",COUNTIF($A$2:$A210,"Backlog"),"")</f>
        <v/>
      </c>
    </row>
    <row r="211" spans="1:13">
      <c r="A211" t="str">
        <f>IF(AND('Q32028'!B52&lt;&gt;"",'Q32028'!E52&lt;&gt;""),'Q32028'!E52,"")</f>
        <v/>
      </c>
      <c r="B211" t="str">
        <f>IF(AND('Q32028'!B52&lt;&gt;"",'Q32028'!E52&lt;&gt;""),'Q32028'!B52,"")</f>
        <v/>
      </c>
      <c r="C211" t="str">
        <f>IF(AND('Q32028'!B52&lt;&gt;"",'Q32028'!E52&lt;&gt;""),'Q32028'!C52,"")</f>
        <v/>
      </c>
      <c r="D211" t="str">
        <f>IF(AND('Q32028'!B52&lt;&gt;"",'Q32028'!E52&lt;&gt;""),'Q32028'!D52,"")</f>
        <v/>
      </c>
      <c r="E211" t="str">
        <f>IF(AND('Q32028'!B52&lt;&gt;"",'Q32028'!E52&lt;&gt;""),'Q32028'!H52,"")</f>
        <v/>
      </c>
      <c r="F211" t="str">
        <f>IF(AND('Q32028'!B52&lt;&gt;"",'Q32028'!E52&lt;&gt;""),'Q32028'!F52,"")</f>
        <v/>
      </c>
      <c r="G211" t="str">
        <f>IF(AND('Q32028'!B52&lt;&gt;"",'Q32028'!E52&lt;&gt;""),'Q32028'!G52,"")</f>
        <v/>
      </c>
      <c r="H211" t="str">
        <f>IF(AND('Q32028'!B52&lt;&gt;"",'Q32028'!E52&lt;&gt;""),"Q32028","")</f>
        <v/>
      </c>
      <c r="I211" t="str">
        <f>IF(A211="Q12028",COUNTIF($A$2:$A211,"Q12028"),"")</f>
        <v/>
      </c>
      <c r="J211" t="str">
        <f>IF(A211="Q22028",COUNTIF($A$2:$A211,"Q22028"),"")</f>
        <v/>
      </c>
      <c r="K211" t="str">
        <f>IF(A211="Q32028",COUNTIF($A$2:$A211,"Q32028"),"")</f>
        <v/>
      </c>
      <c r="L211" t="str">
        <f>IF(A211="Q42028",COUNTIF($A$2:$A211,"Q42028"),"")</f>
        <v/>
      </c>
      <c r="M211" t="str">
        <f>IF(A211="Backlog",COUNTIF($A$2:$A211,"Backlog"),"")</f>
        <v/>
      </c>
    </row>
    <row r="212" spans="1:13">
      <c r="A212" t="str">
        <f>IF(AND('Q32028'!B53&lt;&gt;"",'Q32028'!E53&lt;&gt;""),'Q32028'!E53,"")</f>
        <v/>
      </c>
      <c r="B212" t="str">
        <f>IF(AND('Q32028'!B53&lt;&gt;"",'Q32028'!E53&lt;&gt;""),'Q32028'!B53,"")</f>
        <v/>
      </c>
      <c r="C212" t="str">
        <f>IF(AND('Q32028'!B53&lt;&gt;"",'Q32028'!E53&lt;&gt;""),'Q32028'!C53,"")</f>
        <v/>
      </c>
      <c r="D212" t="str">
        <f>IF(AND('Q32028'!B53&lt;&gt;"",'Q32028'!E53&lt;&gt;""),'Q32028'!D53,"")</f>
        <v/>
      </c>
      <c r="E212" t="str">
        <f>IF(AND('Q32028'!B53&lt;&gt;"",'Q32028'!E53&lt;&gt;""),'Q32028'!H53,"")</f>
        <v/>
      </c>
      <c r="F212" t="str">
        <f>IF(AND('Q32028'!B53&lt;&gt;"",'Q32028'!E53&lt;&gt;""),'Q32028'!F53,"")</f>
        <v/>
      </c>
      <c r="G212" t="str">
        <f>IF(AND('Q32028'!B53&lt;&gt;"",'Q32028'!E53&lt;&gt;""),'Q32028'!G53,"")</f>
        <v/>
      </c>
      <c r="H212" t="str">
        <f>IF(AND('Q32028'!B53&lt;&gt;"",'Q32028'!E53&lt;&gt;""),"Q32028","")</f>
        <v/>
      </c>
      <c r="I212" t="str">
        <f>IF(A212="Q12028",COUNTIF($A$2:$A212,"Q12028"),"")</f>
        <v/>
      </c>
      <c r="J212" t="str">
        <f>IF(A212="Q22028",COUNTIF($A$2:$A212,"Q22028"),"")</f>
        <v/>
      </c>
      <c r="K212" t="str">
        <f>IF(A212="Q32028",COUNTIF($A$2:$A212,"Q32028"),"")</f>
        <v/>
      </c>
      <c r="L212" t="str">
        <f>IF(A212="Q42028",COUNTIF($A$2:$A212,"Q42028"),"")</f>
        <v/>
      </c>
      <c r="M212" t="str">
        <f>IF(A212="Backlog",COUNTIF($A$2:$A212,"Backlog"),"")</f>
        <v/>
      </c>
    </row>
    <row r="213" spans="1:13">
      <c r="A213" t="str">
        <f>IF(AND('Q32028'!B54&lt;&gt;"",'Q32028'!E54&lt;&gt;""),'Q32028'!E54,"")</f>
        <v/>
      </c>
      <c r="B213" t="str">
        <f>IF(AND('Q32028'!B54&lt;&gt;"",'Q32028'!E54&lt;&gt;""),'Q32028'!B54,"")</f>
        <v/>
      </c>
      <c r="C213" t="str">
        <f>IF(AND('Q32028'!B54&lt;&gt;"",'Q32028'!E54&lt;&gt;""),'Q32028'!C54,"")</f>
        <v/>
      </c>
      <c r="D213" t="str">
        <f>IF(AND('Q32028'!B54&lt;&gt;"",'Q32028'!E54&lt;&gt;""),'Q32028'!D54,"")</f>
        <v/>
      </c>
      <c r="E213" t="str">
        <f>IF(AND('Q32028'!B54&lt;&gt;"",'Q32028'!E54&lt;&gt;""),'Q32028'!H54,"")</f>
        <v/>
      </c>
      <c r="F213" t="str">
        <f>IF(AND('Q32028'!B54&lt;&gt;"",'Q32028'!E54&lt;&gt;""),'Q32028'!F54,"")</f>
        <v/>
      </c>
      <c r="G213" t="str">
        <f>IF(AND('Q32028'!B54&lt;&gt;"",'Q32028'!E54&lt;&gt;""),'Q32028'!G54,"")</f>
        <v/>
      </c>
      <c r="H213" t="str">
        <f>IF(AND('Q32028'!B54&lt;&gt;"",'Q32028'!E54&lt;&gt;""),"Q32028","")</f>
        <v/>
      </c>
      <c r="I213" t="str">
        <f>IF(A213="Q12028",COUNTIF($A$2:$A213,"Q12028"),"")</f>
        <v/>
      </c>
      <c r="J213" t="str">
        <f>IF(A213="Q22028",COUNTIF($A$2:$A213,"Q22028"),"")</f>
        <v/>
      </c>
      <c r="K213" t="str">
        <f>IF(A213="Q32028",COUNTIF($A$2:$A213,"Q32028"),"")</f>
        <v/>
      </c>
      <c r="L213" t="str">
        <f>IF(A213="Q42028",COUNTIF($A$2:$A213,"Q42028"),"")</f>
        <v/>
      </c>
      <c r="M213" t="str">
        <f>IF(A213="Backlog",COUNTIF($A$2:$A213,"Backlog"),"")</f>
        <v/>
      </c>
    </row>
    <row r="214" spans="1:13">
      <c r="A214" t="str">
        <f>IF(AND('Q32028'!B55&lt;&gt;"",'Q32028'!E55&lt;&gt;""),'Q32028'!E55,"")</f>
        <v/>
      </c>
      <c r="B214" t="str">
        <f>IF(AND('Q32028'!B55&lt;&gt;"",'Q32028'!E55&lt;&gt;""),'Q32028'!B55,"")</f>
        <v/>
      </c>
      <c r="C214" t="str">
        <f>IF(AND('Q32028'!B55&lt;&gt;"",'Q32028'!E55&lt;&gt;""),'Q32028'!C55,"")</f>
        <v/>
      </c>
      <c r="D214" t="str">
        <f>IF(AND('Q32028'!B55&lt;&gt;"",'Q32028'!E55&lt;&gt;""),'Q32028'!D55,"")</f>
        <v/>
      </c>
      <c r="E214" t="str">
        <f>IF(AND('Q32028'!B55&lt;&gt;"",'Q32028'!E55&lt;&gt;""),'Q32028'!H55,"")</f>
        <v/>
      </c>
      <c r="F214" t="str">
        <f>IF(AND('Q32028'!B55&lt;&gt;"",'Q32028'!E55&lt;&gt;""),'Q32028'!F55,"")</f>
        <v/>
      </c>
      <c r="G214" t="str">
        <f>IF(AND('Q32028'!B55&lt;&gt;"",'Q32028'!E55&lt;&gt;""),'Q32028'!G55,"")</f>
        <v/>
      </c>
      <c r="H214" t="str">
        <f>IF(AND('Q32028'!B55&lt;&gt;"",'Q32028'!E55&lt;&gt;""),"Q32028","")</f>
        <v/>
      </c>
      <c r="I214" t="str">
        <f>IF(A214="Q12028",COUNTIF($A$2:$A214,"Q12028"),"")</f>
        <v/>
      </c>
      <c r="J214" t="str">
        <f>IF(A214="Q22028",COUNTIF($A$2:$A214,"Q22028"),"")</f>
        <v/>
      </c>
      <c r="K214" t="str">
        <f>IF(A214="Q32028",COUNTIF($A$2:$A214,"Q32028"),"")</f>
        <v/>
      </c>
      <c r="L214" t="str">
        <f>IF(A214="Q42028",COUNTIF($A$2:$A214,"Q42028"),"")</f>
        <v/>
      </c>
      <c r="M214" t="str">
        <f>IF(A214="Backlog",COUNTIF($A$2:$A214,"Backlog"),"")</f>
        <v/>
      </c>
    </row>
    <row r="215" spans="1:13">
      <c r="A215" t="str">
        <f>IF(AND('Q32028'!B56&lt;&gt;"",'Q32028'!E56&lt;&gt;""),'Q32028'!E56,"")</f>
        <v/>
      </c>
      <c r="B215" t="str">
        <f>IF(AND('Q32028'!B56&lt;&gt;"",'Q32028'!E56&lt;&gt;""),'Q32028'!B56,"")</f>
        <v/>
      </c>
      <c r="C215" t="str">
        <f>IF(AND('Q32028'!B56&lt;&gt;"",'Q32028'!E56&lt;&gt;""),'Q32028'!C56,"")</f>
        <v/>
      </c>
      <c r="D215" t="str">
        <f>IF(AND('Q32028'!B56&lt;&gt;"",'Q32028'!E56&lt;&gt;""),'Q32028'!D56,"")</f>
        <v/>
      </c>
      <c r="E215" t="str">
        <f>IF(AND('Q32028'!B56&lt;&gt;"",'Q32028'!E56&lt;&gt;""),'Q32028'!H56,"")</f>
        <v/>
      </c>
      <c r="F215" t="str">
        <f>IF(AND('Q32028'!B56&lt;&gt;"",'Q32028'!E56&lt;&gt;""),'Q32028'!F56,"")</f>
        <v/>
      </c>
      <c r="G215" t="str">
        <f>IF(AND('Q32028'!B56&lt;&gt;"",'Q32028'!E56&lt;&gt;""),'Q32028'!G56,"")</f>
        <v/>
      </c>
      <c r="H215" t="str">
        <f>IF(AND('Q32028'!B56&lt;&gt;"",'Q32028'!E56&lt;&gt;""),"Q32028","")</f>
        <v/>
      </c>
      <c r="I215" t="str">
        <f>IF(A215="Q12028",COUNTIF($A$2:$A215,"Q12028"),"")</f>
        <v/>
      </c>
      <c r="J215" t="str">
        <f>IF(A215="Q22028",COUNTIF($A$2:$A215,"Q22028"),"")</f>
        <v/>
      </c>
      <c r="K215" t="str">
        <f>IF(A215="Q32028",COUNTIF($A$2:$A215,"Q32028"),"")</f>
        <v/>
      </c>
      <c r="L215" t="str">
        <f>IF(A215="Q42028",COUNTIF($A$2:$A215,"Q42028"),"")</f>
        <v/>
      </c>
      <c r="M215" t="str">
        <f>IF(A215="Backlog",COUNTIF($A$2:$A215,"Backlog"),"")</f>
        <v/>
      </c>
    </row>
    <row r="216" spans="1:13">
      <c r="A216" t="str">
        <f>IF(AND('Q32028'!B57&lt;&gt;"",'Q32028'!E57&lt;&gt;""),'Q32028'!E57,"")</f>
        <v/>
      </c>
      <c r="B216" t="str">
        <f>IF(AND('Q32028'!B57&lt;&gt;"",'Q32028'!E57&lt;&gt;""),'Q32028'!B57,"")</f>
        <v/>
      </c>
      <c r="C216" t="str">
        <f>IF(AND('Q32028'!B57&lt;&gt;"",'Q32028'!E57&lt;&gt;""),'Q32028'!C57,"")</f>
        <v/>
      </c>
      <c r="D216" t="str">
        <f>IF(AND('Q32028'!B57&lt;&gt;"",'Q32028'!E57&lt;&gt;""),'Q32028'!D57,"")</f>
        <v/>
      </c>
      <c r="E216" t="str">
        <f>IF(AND('Q32028'!B57&lt;&gt;"",'Q32028'!E57&lt;&gt;""),'Q32028'!H57,"")</f>
        <v/>
      </c>
      <c r="F216" t="str">
        <f>IF(AND('Q32028'!B57&lt;&gt;"",'Q32028'!E57&lt;&gt;""),'Q32028'!F57,"")</f>
        <v/>
      </c>
      <c r="G216" t="str">
        <f>IF(AND('Q32028'!B57&lt;&gt;"",'Q32028'!E57&lt;&gt;""),'Q32028'!G57,"")</f>
        <v/>
      </c>
      <c r="H216" t="str">
        <f>IF(AND('Q32028'!B57&lt;&gt;"",'Q32028'!E57&lt;&gt;""),"Q32028","")</f>
        <v/>
      </c>
      <c r="I216" t="str">
        <f>IF(A216="Q12028",COUNTIF($A$2:$A216,"Q12028"),"")</f>
        <v/>
      </c>
      <c r="J216" t="str">
        <f>IF(A216="Q22028",COUNTIF($A$2:$A216,"Q22028"),"")</f>
        <v/>
      </c>
      <c r="K216" t="str">
        <f>IF(A216="Q32028",COUNTIF($A$2:$A216,"Q32028"),"")</f>
        <v/>
      </c>
      <c r="L216" t="str">
        <f>IF(A216="Q42028",COUNTIF($A$2:$A216,"Q42028"),"")</f>
        <v/>
      </c>
      <c r="M216" t="str">
        <f>IF(A216="Backlog",COUNTIF($A$2:$A216,"Backlog"),"")</f>
        <v/>
      </c>
    </row>
    <row r="217" spans="1:13">
      <c r="A217" t="str">
        <f>IF(AND('Q32028'!B58&lt;&gt;"",'Q32028'!E58&lt;&gt;""),'Q32028'!E58,"")</f>
        <v/>
      </c>
      <c r="B217" t="str">
        <f>IF(AND('Q32028'!B58&lt;&gt;"",'Q32028'!E58&lt;&gt;""),'Q32028'!B58,"")</f>
        <v/>
      </c>
      <c r="C217" t="str">
        <f>IF(AND('Q32028'!B58&lt;&gt;"",'Q32028'!E58&lt;&gt;""),'Q32028'!C58,"")</f>
        <v/>
      </c>
      <c r="D217" t="str">
        <f>IF(AND('Q32028'!B58&lt;&gt;"",'Q32028'!E58&lt;&gt;""),'Q32028'!D58,"")</f>
        <v/>
      </c>
      <c r="E217" t="str">
        <f>IF(AND('Q32028'!B58&lt;&gt;"",'Q32028'!E58&lt;&gt;""),'Q32028'!H58,"")</f>
        <v/>
      </c>
      <c r="F217" t="str">
        <f>IF(AND('Q32028'!B58&lt;&gt;"",'Q32028'!E58&lt;&gt;""),'Q32028'!F58,"")</f>
        <v/>
      </c>
      <c r="G217" t="str">
        <f>IF(AND('Q32028'!B58&lt;&gt;"",'Q32028'!E58&lt;&gt;""),'Q32028'!G58,"")</f>
        <v/>
      </c>
      <c r="H217" t="str">
        <f>IF(AND('Q32028'!B58&lt;&gt;"",'Q32028'!E58&lt;&gt;""),"Q32028","")</f>
        <v/>
      </c>
      <c r="I217" t="str">
        <f>IF(A217="Q12028",COUNTIF($A$2:$A217,"Q12028"),"")</f>
        <v/>
      </c>
      <c r="J217" t="str">
        <f>IF(A217="Q22028",COUNTIF($A$2:$A217,"Q22028"),"")</f>
        <v/>
      </c>
      <c r="K217" t="str">
        <f>IF(A217="Q32028",COUNTIF($A$2:$A217,"Q32028"),"")</f>
        <v/>
      </c>
      <c r="L217" t="str">
        <f>IF(A217="Q42028",COUNTIF($A$2:$A217,"Q42028"),"")</f>
        <v/>
      </c>
      <c r="M217" t="str">
        <f>IF(A217="Backlog",COUNTIF($A$2:$A217,"Backlog"),"")</f>
        <v/>
      </c>
    </row>
    <row r="218" spans="1:13">
      <c r="A218" t="str">
        <f>IF(AND('Q32028'!B59&lt;&gt;"",'Q32028'!E59&lt;&gt;""),'Q32028'!E59,"")</f>
        <v/>
      </c>
      <c r="B218" t="str">
        <f>IF(AND('Q32028'!B59&lt;&gt;"",'Q32028'!E59&lt;&gt;""),'Q32028'!B59,"")</f>
        <v/>
      </c>
      <c r="C218" t="str">
        <f>IF(AND('Q32028'!B59&lt;&gt;"",'Q32028'!E59&lt;&gt;""),'Q32028'!C59,"")</f>
        <v/>
      </c>
      <c r="D218" t="str">
        <f>IF(AND('Q32028'!B59&lt;&gt;"",'Q32028'!E59&lt;&gt;""),'Q32028'!D59,"")</f>
        <v/>
      </c>
      <c r="E218" t="str">
        <f>IF(AND('Q32028'!B59&lt;&gt;"",'Q32028'!E59&lt;&gt;""),'Q32028'!H59,"")</f>
        <v/>
      </c>
      <c r="F218" t="str">
        <f>IF(AND('Q32028'!B59&lt;&gt;"",'Q32028'!E59&lt;&gt;""),'Q32028'!F59,"")</f>
        <v/>
      </c>
      <c r="G218" t="str">
        <f>IF(AND('Q32028'!B59&lt;&gt;"",'Q32028'!E59&lt;&gt;""),'Q32028'!G59,"")</f>
        <v/>
      </c>
      <c r="H218" t="str">
        <f>IF(AND('Q32028'!B59&lt;&gt;"",'Q32028'!E59&lt;&gt;""),"Q32028","")</f>
        <v/>
      </c>
      <c r="I218" t="str">
        <f>IF(A218="Q12028",COUNTIF($A$2:$A218,"Q12028"),"")</f>
        <v/>
      </c>
      <c r="J218" t="str">
        <f>IF(A218="Q22028",COUNTIF($A$2:$A218,"Q22028"),"")</f>
        <v/>
      </c>
      <c r="K218" t="str">
        <f>IF(A218="Q32028",COUNTIF($A$2:$A218,"Q32028"),"")</f>
        <v/>
      </c>
      <c r="L218" t="str">
        <f>IF(A218="Q42028",COUNTIF($A$2:$A218,"Q42028"),"")</f>
        <v/>
      </c>
      <c r="M218" t="str">
        <f>IF(A218="Backlog",COUNTIF($A$2:$A218,"Backlog"),"")</f>
        <v/>
      </c>
    </row>
    <row r="219" spans="1:13">
      <c r="A219" t="str">
        <f>IF(AND('Q32028'!B60&lt;&gt;"",'Q32028'!E60&lt;&gt;""),'Q32028'!E60,"")</f>
        <v/>
      </c>
      <c r="B219" t="str">
        <f>IF(AND('Q32028'!B60&lt;&gt;"",'Q32028'!E60&lt;&gt;""),'Q32028'!B60,"")</f>
        <v/>
      </c>
      <c r="C219" t="str">
        <f>IF(AND('Q32028'!B60&lt;&gt;"",'Q32028'!E60&lt;&gt;""),'Q32028'!C60,"")</f>
        <v/>
      </c>
      <c r="D219" t="str">
        <f>IF(AND('Q32028'!B60&lt;&gt;"",'Q32028'!E60&lt;&gt;""),'Q32028'!D60,"")</f>
        <v/>
      </c>
      <c r="E219" t="str">
        <f>IF(AND('Q32028'!B60&lt;&gt;"",'Q32028'!E60&lt;&gt;""),'Q32028'!H60,"")</f>
        <v/>
      </c>
      <c r="F219" t="str">
        <f>IF(AND('Q32028'!B60&lt;&gt;"",'Q32028'!E60&lt;&gt;""),'Q32028'!F60,"")</f>
        <v/>
      </c>
      <c r="G219" t="str">
        <f>IF(AND('Q32028'!B60&lt;&gt;"",'Q32028'!E60&lt;&gt;""),'Q32028'!G60,"")</f>
        <v/>
      </c>
      <c r="H219" t="str">
        <f>IF(AND('Q32028'!B60&lt;&gt;"",'Q32028'!E60&lt;&gt;""),"Q32028","")</f>
        <v/>
      </c>
      <c r="I219" t="str">
        <f>IF(A219="Q12028",COUNTIF($A$2:$A219,"Q12028"),"")</f>
        <v/>
      </c>
      <c r="J219" t="str">
        <f>IF(A219="Q22028",COUNTIF($A$2:$A219,"Q22028"),"")</f>
        <v/>
      </c>
      <c r="K219" t="str">
        <f>IF(A219="Q32028",COUNTIF($A$2:$A219,"Q32028"),"")</f>
        <v/>
      </c>
      <c r="L219" t="str">
        <f>IF(A219="Q42028",COUNTIF($A$2:$A219,"Q42028"),"")</f>
        <v/>
      </c>
      <c r="M219" t="str">
        <f>IF(A219="Backlog",COUNTIF($A$2:$A219,"Backlog"),"")</f>
        <v/>
      </c>
    </row>
    <row r="220" spans="1:13">
      <c r="A220" t="str">
        <f>IF(AND('Q32028'!B61&lt;&gt;"",'Q32028'!E61&lt;&gt;""),'Q32028'!E61,"")</f>
        <v/>
      </c>
      <c r="B220" t="str">
        <f>IF(AND('Q32028'!B61&lt;&gt;"",'Q32028'!E61&lt;&gt;""),'Q32028'!B61,"")</f>
        <v/>
      </c>
      <c r="C220" t="str">
        <f>IF(AND('Q32028'!B61&lt;&gt;"",'Q32028'!E61&lt;&gt;""),'Q32028'!C61,"")</f>
        <v/>
      </c>
      <c r="D220" t="str">
        <f>IF(AND('Q32028'!B61&lt;&gt;"",'Q32028'!E61&lt;&gt;""),'Q32028'!D61,"")</f>
        <v/>
      </c>
      <c r="E220" t="str">
        <f>IF(AND('Q32028'!B61&lt;&gt;"",'Q32028'!E61&lt;&gt;""),'Q32028'!H61,"")</f>
        <v/>
      </c>
      <c r="F220" t="str">
        <f>IF(AND('Q32028'!B61&lt;&gt;"",'Q32028'!E61&lt;&gt;""),'Q32028'!F61,"")</f>
        <v/>
      </c>
      <c r="G220" t="str">
        <f>IF(AND('Q32028'!B61&lt;&gt;"",'Q32028'!E61&lt;&gt;""),'Q32028'!G61,"")</f>
        <v/>
      </c>
      <c r="H220" t="str">
        <f>IF(AND('Q32028'!B61&lt;&gt;"",'Q32028'!E61&lt;&gt;""),"Q32028","")</f>
        <v/>
      </c>
      <c r="I220" t="str">
        <f>IF(A220="Q12028",COUNTIF($A$2:$A220,"Q12028"),"")</f>
        <v/>
      </c>
      <c r="J220" t="str">
        <f>IF(A220="Q22028",COUNTIF($A$2:$A220,"Q22028"),"")</f>
        <v/>
      </c>
      <c r="K220" t="str">
        <f>IF(A220="Q32028",COUNTIF($A$2:$A220,"Q32028"),"")</f>
        <v/>
      </c>
      <c r="L220" t="str">
        <f>IF(A220="Q42028",COUNTIF($A$2:$A220,"Q42028"),"")</f>
        <v/>
      </c>
      <c r="M220" t="str">
        <f>IF(A220="Backlog",COUNTIF($A$2:$A220,"Backlog"),"")</f>
        <v/>
      </c>
    </row>
    <row r="221" spans="1:13">
      <c r="A221" t="str">
        <f>IF(AND('Q32028'!B62&lt;&gt;"",'Q32028'!E62&lt;&gt;""),'Q32028'!E62,"")</f>
        <v/>
      </c>
      <c r="B221" t="str">
        <f>IF(AND('Q32028'!B62&lt;&gt;"",'Q32028'!E62&lt;&gt;""),'Q32028'!B62,"")</f>
        <v/>
      </c>
      <c r="C221" t="str">
        <f>IF(AND('Q32028'!B62&lt;&gt;"",'Q32028'!E62&lt;&gt;""),'Q32028'!C62,"")</f>
        <v/>
      </c>
      <c r="D221" t="str">
        <f>IF(AND('Q32028'!B62&lt;&gt;"",'Q32028'!E62&lt;&gt;""),'Q32028'!D62,"")</f>
        <v/>
      </c>
      <c r="E221" t="str">
        <f>IF(AND('Q32028'!B62&lt;&gt;"",'Q32028'!E62&lt;&gt;""),'Q32028'!H62,"")</f>
        <v/>
      </c>
      <c r="F221" t="str">
        <f>IF(AND('Q32028'!B62&lt;&gt;"",'Q32028'!E62&lt;&gt;""),'Q32028'!F62,"")</f>
        <v/>
      </c>
      <c r="G221" t="str">
        <f>IF(AND('Q32028'!B62&lt;&gt;"",'Q32028'!E62&lt;&gt;""),'Q32028'!G62,"")</f>
        <v/>
      </c>
      <c r="H221" t="str">
        <f>IF(AND('Q32028'!B62&lt;&gt;"",'Q32028'!E62&lt;&gt;""),"Q32028","")</f>
        <v/>
      </c>
      <c r="I221" t="str">
        <f>IF(A221="Q12028",COUNTIF($A$2:$A221,"Q12028"),"")</f>
        <v/>
      </c>
      <c r="J221" t="str">
        <f>IF(A221="Q22028",COUNTIF($A$2:$A221,"Q22028"),"")</f>
        <v/>
      </c>
      <c r="K221" t="str">
        <f>IF(A221="Q32028",COUNTIF($A$2:$A221,"Q32028"),"")</f>
        <v/>
      </c>
      <c r="L221" t="str">
        <f>IF(A221="Q42028",COUNTIF($A$2:$A221,"Q42028"),"")</f>
        <v/>
      </c>
      <c r="M221" t="str">
        <f>IF(A221="Backlog",COUNTIF($A$2:$A221,"Backlog"),"")</f>
        <v/>
      </c>
    </row>
    <row r="222" spans="1:13">
      <c r="A222" t="str">
        <f>IF(AND('Q32028'!B63&lt;&gt;"",'Q32028'!E63&lt;&gt;""),'Q32028'!E63,"")</f>
        <v/>
      </c>
      <c r="B222" t="str">
        <f>IF(AND('Q32028'!B63&lt;&gt;"",'Q32028'!E63&lt;&gt;""),'Q32028'!B63,"")</f>
        <v/>
      </c>
      <c r="C222" t="str">
        <f>IF(AND('Q32028'!B63&lt;&gt;"",'Q32028'!E63&lt;&gt;""),'Q32028'!C63,"")</f>
        <v/>
      </c>
      <c r="D222" t="str">
        <f>IF(AND('Q32028'!B63&lt;&gt;"",'Q32028'!E63&lt;&gt;""),'Q32028'!D63,"")</f>
        <v/>
      </c>
      <c r="E222" t="str">
        <f>IF(AND('Q32028'!B63&lt;&gt;"",'Q32028'!E63&lt;&gt;""),'Q32028'!H63,"")</f>
        <v/>
      </c>
      <c r="F222" t="str">
        <f>IF(AND('Q32028'!B63&lt;&gt;"",'Q32028'!E63&lt;&gt;""),'Q32028'!F63,"")</f>
        <v/>
      </c>
      <c r="G222" t="str">
        <f>IF(AND('Q32028'!B63&lt;&gt;"",'Q32028'!E63&lt;&gt;""),'Q32028'!G63,"")</f>
        <v/>
      </c>
      <c r="H222" t="str">
        <f>IF(AND('Q32028'!B63&lt;&gt;"",'Q32028'!E63&lt;&gt;""),"Q32028","")</f>
        <v/>
      </c>
      <c r="I222" t="str">
        <f>IF(A222="Q12028",COUNTIF($A$2:$A222,"Q12028"),"")</f>
        <v/>
      </c>
      <c r="J222" t="str">
        <f>IF(A222="Q22028",COUNTIF($A$2:$A222,"Q22028"),"")</f>
        <v/>
      </c>
      <c r="K222" t="str">
        <f>IF(A222="Q32028",COUNTIF($A$2:$A222,"Q32028"),"")</f>
        <v/>
      </c>
      <c r="L222" t="str">
        <f>IF(A222="Q42028",COUNTIF($A$2:$A222,"Q42028"),"")</f>
        <v/>
      </c>
      <c r="M222" t="str">
        <f>IF(A222="Backlog",COUNTIF($A$2:$A222,"Backlog"),"")</f>
        <v/>
      </c>
    </row>
    <row r="223" spans="1:13">
      <c r="A223" t="str">
        <f>IF(AND('Q32028'!B64&lt;&gt;"",'Q32028'!E64&lt;&gt;""),'Q32028'!E64,"")</f>
        <v/>
      </c>
      <c r="B223" t="str">
        <f>IF(AND('Q32028'!B64&lt;&gt;"",'Q32028'!E64&lt;&gt;""),'Q32028'!B64,"")</f>
        <v/>
      </c>
      <c r="C223" t="str">
        <f>IF(AND('Q32028'!B64&lt;&gt;"",'Q32028'!E64&lt;&gt;""),'Q32028'!C64,"")</f>
        <v/>
      </c>
      <c r="D223" t="str">
        <f>IF(AND('Q32028'!B64&lt;&gt;"",'Q32028'!E64&lt;&gt;""),'Q32028'!D64,"")</f>
        <v/>
      </c>
      <c r="E223" t="str">
        <f>IF(AND('Q32028'!B64&lt;&gt;"",'Q32028'!E64&lt;&gt;""),'Q32028'!H64,"")</f>
        <v/>
      </c>
      <c r="F223" t="str">
        <f>IF(AND('Q32028'!B64&lt;&gt;"",'Q32028'!E64&lt;&gt;""),'Q32028'!F64,"")</f>
        <v/>
      </c>
      <c r="G223" t="str">
        <f>IF(AND('Q32028'!B64&lt;&gt;"",'Q32028'!E64&lt;&gt;""),'Q32028'!G64,"")</f>
        <v/>
      </c>
      <c r="H223" t="str">
        <f>IF(AND('Q32028'!B64&lt;&gt;"",'Q32028'!E64&lt;&gt;""),"Q32028","")</f>
        <v/>
      </c>
      <c r="I223" t="str">
        <f>IF(A223="Q12028",COUNTIF($A$2:$A223,"Q12028"),"")</f>
        <v/>
      </c>
      <c r="J223" t="str">
        <f>IF(A223="Q22028",COUNTIF($A$2:$A223,"Q22028"),"")</f>
        <v/>
      </c>
      <c r="K223" t="str">
        <f>IF(A223="Q32028",COUNTIF($A$2:$A223,"Q32028"),"")</f>
        <v/>
      </c>
      <c r="L223" t="str">
        <f>IF(A223="Q42028",COUNTIF($A$2:$A223,"Q42028"),"")</f>
        <v/>
      </c>
      <c r="M223" t="str">
        <f>IF(A223="Backlog",COUNTIF($A$2:$A223,"Backlog"),"")</f>
        <v/>
      </c>
    </row>
    <row r="224" spans="1:13">
      <c r="A224" t="str">
        <f>IF(AND('Q32028'!B65&lt;&gt;"",'Q32028'!E65&lt;&gt;""),'Q32028'!E65,"")</f>
        <v/>
      </c>
      <c r="B224" t="str">
        <f>IF(AND('Q32028'!B65&lt;&gt;"",'Q32028'!E65&lt;&gt;""),'Q32028'!B65,"")</f>
        <v/>
      </c>
      <c r="C224" t="str">
        <f>IF(AND('Q32028'!B65&lt;&gt;"",'Q32028'!E65&lt;&gt;""),'Q32028'!C65,"")</f>
        <v/>
      </c>
      <c r="D224" t="str">
        <f>IF(AND('Q32028'!B65&lt;&gt;"",'Q32028'!E65&lt;&gt;""),'Q32028'!D65,"")</f>
        <v/>
      </c>
      <c r="E224" t="str">
        <f>IF(AND('Q32028'!B65&lt;&gt;"",'Q32028'!E65&lt;&gt;""),'Q32028'!H65,"")</f>
        <v/>
      </c>
      <c r="F224" t="str">
        <f>IF(AND('Q32028'!B65&lt;&gt;"",'Q32028'!E65&lt;&gt;""),'Q32028'!F65,"")</f>
        <v/>
      </c>
      <c r="G224" t="str">
        <f>IF(AND('Q32028'!B65&lt;&gt;"",'Q32028'!E65&lt;&gt;""),'Q32028'!G65,"")</f>
        <v/>
      </c>
      <c r="H224" t="str">
        <f>IF(AND('Q32028'!B65&lt;&gt;"",'Q32028'!E65&lt;&gt;""),"Q32028","")</f>
        <v/>
      </c>
      <c r="I224" t="str">
        <f>IF(A224="Q12028",COUNTIF($A$2:$A224,"Q12028"),"")</f>
        <v/>
      </c>
      <c r="J224" t="str">
        <f>IF(A224="Q22028",COUNTIF($A$2:$A224,"Q22028"),"")</f>
        <v/>
      </c>
      <c r="K224" t="str">
        <f>IF(A224="Q32028",COUNTIF($A$2:$A224,"Q32028"),"")</f>
        <v/>
      </c>
      <c r="L224" t="str">
        <f>IF(A224="Q42028",COUNTIF($A$2:$A224,"Q42028"),"")</f>
        <v/>
      </c>
      <c r="M224" t="str">
        <f>IF(A224="Backlog",COUNTIF($A$2:$A224,"Backlog"),"")</f>
        <v/>
      </c>
    </row>
    <row r="225" spans="1:13">
      <c r="A225" t="str">
        <f>IF(AND('Q32028'!B66&lt;&gt;"",'Q32028'!E66&lt;&gt;""),'Q32028'!E66,"")</f>
        <v/>
      </c>
      <c r="B225" t="str">
        <f>IF(AND('Q32028'!B66&lt;&gt;"",'Q32028'!E66&lt;&gt;""),'Q32028'!B66,"")</f>
        <v/>
      </c>
      <c r="C225" t="str">
        <f>IF(AND('Q32028'!B66&lt;&gt;"",'Q32028'!E66&lt;&gt;""),'Q32028'!C66,"")</f>
        <v/>
      </c>
      <c r="D225" t="str">
        <f>IF(AND('Q32028'!B66&lt;&gt;"",'Q32028'!E66&lt;&gt;""),'Q32028'!D66,"")</f>
        <v/>
      </c>
      <c r="E225" t="str">
        <f>IF(AND('Q32028'!B66&lt;&gt;"",'Q32028'!E66&lt;&gt;""),'Q32028'!H66,"")</f>
        <v/>
      </c>
      <c r="F225" t="str">
        <f>IF(AND('Q32028'!B66&lt;&gt;"",'Q32028'!E66&lt;&gt;""),'Q32028'!F66,"")</f>
        <v/>
      </c>
      <c r="G225" t="str">
        <f>IF(AND('Q32028'!B66&lt;&gt;"",'Q32028'!E66&lt;&gt;""),'Q32028'!G66,"")</f>
        <v/>
      </c>
      <c r="H225" t="str">
        <f>IF(AND('Q32028'!B66&lt;&gt;"",'Q32028'!E66&lt;&gt;""),"Q32028","")</f>
        <v/>
      </c>
      <c r="I225" t="str">
        <f>IF(A225="Q12028",COUNTIF($A$2:$A225,"Q12028"),"")</f>
        <v/>
      </c>
      <c r="J225" t="str">
        <f>IF(A225="Q22028",COUNTIF($A$2:$A225,"Q22028"),"")</f>
        <v/>
      </c>
      <c r="K225" t="str">
        <f>IF(A225="Q32028",COUNTIF($A$2:$A225,"Q32028"),"")</f>
        <v/>
      </c>
      <c r="L225" t="str">
        <f>IF(A225="Q42028",COUNTIF($A$2:$A225,"Q42028"),"")</f>
        <v/>
      </c>
      <c r="M225" t="str">
        <f>IF(A225="Backlog",COUNTIF($A$2:$A225,"Backlog"),"")</f>
        <v/>
      </c>
    </row>
    <row r="226" spans="1:13">
      <c r="A226" t="str">
        <f>IF(AND('Q32028'!B67&lt;&gt;"",'Q32028'!E67&lt;&gt;""),'Q32028'!E67,"")</f>
        <v/>
      </c>
      <c r="B226" t="str">
        <f>IF(AND('Q32028'!B67&lt;&gt;"",'Q32028'!E67&lt;&gt;""),'Q32028'!B67,"")</f>
        <v/>
      </c>
      <c r="C226" t="str">
        <f>IF(AND('Q32028'!B67&lt;&gt;"",'Q32028'!E67&lt;&gt;""),'Q32028'!C67,"")</f>
        <v/>
      </c>
      <c r="D226" t="str">
        <f>IF(AND('Q32028'!B67&lt;&gt;"",'Q32028'!E67&lt;&gt;""),'Q32028'!D67,"")</f>
        <v/>
      </c>
      <c r="E226" t="str">
        <f>IF(AND('Q32028'!B67&lt;&gt;"",'Q32028'!E67&lt;&gt;""),'Q32028'!H67,"")</f>
        <v/>
      </c>
      <c r="F226" t="str">
        <f>IF(AND('Q32028'!B67&lt;&gt;"",'Q32028'!E67&lt;&gt;""),'Q32028'!F67,"")</f>
        <v/>
      </c>
      <c r="G226" t="str">
        <f>IF(AND('Q32028'!B67&lt;&gt;"",'Q32028'!E67&lt;&gt;""),'Q32028'!G67,"")</f>
        <v/>
      </c>
      <c r="H226" t="str">
        <f>IF(AND('Q32028'!B67&lt;&gt;"",'Q32028'!E67&lt;&gt;""),"Q32028","")</f>
        <v/>
      </c>
      <c r="I226" t="str">
        <f>IF(A226="Q12028",COUNTIF($A$2:$A226,"Q12028"),"")</f>
        <v/>
      </c>
      <c r="J226" t="str">
        <f>IF(A226="Q22028",COUNTIF($A$2:$A226,"Q22028"),"")</f>
        <v/>
      </c>
      <c r="K226" t="str">
        <f>IF(A226="Q32028",COUNTIF($A$2:$A226,"Q32028"),"")</f>
        <v/>
      </c>
      <c r="L226" t="str">
        <f>IF(A226="Q42028",COUNTIF($A$2:$A226,"Q42028"),"")</f>
        <v/>
      </c>
      <c r="M226" t="str">
        <f>IF(A226="Backlog",COUNTIF($A$2:$A226,"Backlog"),"")</f>
        <v/>
      </c>
    </row>
    <row r="227" spans="1:13">
      <c r="A227" t="str">
        <f>IF(AND('Q32028'!B68&lt;&gt;"",'Q32028'!E68&lt;&gt;""),'Q32028'!E68,"")</f>
        <v/>
      </c>
      <c r="B227" t="str">
        <f>IF(AND('Q32028'!B68&lt;&gt;"",'Q32028'!E68&lt;&gt;""),'Q32028'!B68,"")</f>
        <v/>
      </c>
      <c r="C227" t="str">
        <f>IF(AND('Q32028'!B68&lt;&gt;"",'Q32028'!E68&lt;&gt;""),'Q32028'!C68,"")</f>
        <v/>
      </c>
      <c r="D227" t="str">
        <f>IF(AND('Q32028'!B68&lt;&gt;"",'Q32028'!E68&lt;&gt;""),'Q32028'!D68,"")</f>
        <v/>
      </c>
      <c r="E227" t="str">
        <f>IF(AND('Q32028'!B68&lt;&gt;"",'Q32028'!E68&lt;&gt;""),'Q32028'!H68,"")</f>
        <v/>
      </c>
      <c r="F227" t="str">
        <f>IF(AND('Q32028'!B68&lt;&gt;"",'Q32028'!E68&lt;&gt;""),'Q32028'!F68,"")</f>
        <v/>
      </c>
      <c r="G227" t="str">
        <f>IF(AND('Q32028'!B68&lt;&gt;"",'Q32028'!E68&lt;&gt;""),'Q32028'!G68,"")</f>
        <v/>
      </c>
      <c r="H227" t="str">
        <f>IF(AND('Q32028'!B68&lt;&gt;"",'Q32028'!E68&lt;&gt;""),"Q32028","")</f>
        <v/>
      </c>
      <c r="I227" t="str">
        <f>IF(A227="Q12028",COUNTIF($A$2:$A227,"Q12028"),"")</f>
        <v/>
      </c>
      <c r="J227" t="str">
        <f>IF(A227="Q22028",COUNTIF($A$2:$A227,"Q22028"),"")</f>
        <v/>
      </c>
      <c r="K227" t="str">
        <f>IF(A227="Q32028",COUNTIF($A$2:$A227,"Q32028"),"")</f>
        <v/>
      </c>
      <c r="L227" t="str">
        <f>IF(A227="Q42028",COUNTIF($A$2:$A227,"Q42028"),"")</f>
        <v/>
      </c>
      <c r="M227" t="str">
        <f>IF(A227="Backlog",COUNTIF($A$2:$A227,"Backlog"),"")</f>
        <v/>
      </c>
    </row>
    <row r="228" spans="1:13">
      <c r="A228" t="str">
        <f>IF(AND('Q32028'!B69&lt;&gt;"",'Q32028'!E69&lt;&gt;""),'Q32028'!E69,"")</f>
        <v/>
      </c>
      <c r="B228" t="str">
        <f>IF(AND('Q32028'!B69&lt;&gt;"",'Q32028'!E69&lt;&gt;""),'Q32028'!B69,"")</f>
        <v/>
      </c>
      <c r="C228" t="str">
        <f>IF(AND('Q32028'!B69&lt;&gt;"",'Q32028'!E69&lt;&gt;""),'Q32028'!C69,"")</f>
        <v/>
      </c>
      <c r="D228" t="str">
        <f>IF(AND('Q32028'!B69&lt;&gt;"",'Q32028'!E69&lt;&gt;""),'Q32028'!D69,"")</f>
        <v/>
      </c>
      <c r="E228" t="str">
        <f>IF(AND('Q32028'!B69&lt;&gt;"",'Q32028'!E69&lt;&gt;""),'Q32028'!H69,"")</f>
        <v/>
      </c>
      <c r="F228" t="str">
        <f>IF(AND('Q32028'!B69&lt;&gt;"",'Q32028'!E69&lt;&gt;""),'Q32028'!F69,"")</f>
        <v/>
      </c>
      <c r="G228" t="str">
        <f>IF(AND('Q32028'!B69&lt;&gt;"",'Q32028'!E69&lt;&gt;""),'Q32028'!G69,"")</f>
        <v/>
      </c>
      <c r="H228" t="str">
        <f>IF(AND('Q32028'!B69&lt;&gt;"",'Q32028'!E69&lt;&gt;""),"Q32028","")</f>
        <v/>
      </c>
      <c r="I228" t="str">
        <f>IF(A228="Q12028",COUNTIF($A$2:$A228,"Q12028"),"")</f>
        <v/>
      </c>
      <c r="J228" t="str">
        <f>IF(A228="Q22028",COUNTIF($A$2:$A228,"Q22028"),"")</f>
        <v/>
      </c>
      <c r="K228" t="str">
        <f>IF(A228="Q32028",COUNTIF($A$2:$A228,"Q32028"),"")</f>
        <v/>
      </c>
      <c r="L228" t="str">
        <f>IF(A228="Q42028",COUNTIF($A$2:$A228,"Q42028"),"")</f>
        <v/>
      </c>
      <c r="M228" t="str">
        <f>IF(A228="Backlog",COUNTIF($A$2:$A228,"Backlog"),"")</f>
        <v/>
      </c>
    </row>
    <row r="229" spans="1:13">
      <c r="A229" t="str">
        <f>IF(AND('Q32028'!B70&lt;&gt;"",'Q32028'!E70&lt;&gt;""),'Q32028'!E70,"")</f>
        <v/>
      </c>
      <c r="B229" t="str">
        <f>IF(AND('Q32028'!B70&lt;&gt;"",'Q32028'!E70&lt;&gt;""),'Q32028'!B70,"")</f>
        <v/>
      </c>
      <c r="C229" t="str">
        <f>IF(AND('Q32028'!B70&lt;&gt;"",'Q32028'!E70&lt;&gt;""),'Q32028'!C70,"")</f>
        <v/>
      </c>
      <c r="D229" t="str">
        <f>IF(AND('Q32028'!B70&lt;&gt;"",'Q32028'!E70&lt;&gt;""),'Q32028'!D70,"")</f>
        <v/>
      </c>
      <c r="E229" t="str">
        <f>IF(AND('Q32028'!B70&lt;&gt;"",'Q32028'!E70&lt;&gt;""),'Q32028'!H70,"")</f>
        <v/>
      </c>
      <c r="F229" t="str">
        <f>IF(AND('Q32028'!B70&lt;&gt;"",'Q32028'!E70&lt;&gt;""),'Q32028'!F70,"")</f>
        <v/>
      </c>
      <c r="G229" t="str">
        <f>IF(AND('Q32028'!B70&lt;&gt;"",'Q32028'!E70&lt;&gt;""),'Q32028'!G70,"")</f>
        <v/>
      </c>
      <c r="H229" t="str">
        <f>IF(AND('Q32028'!B70&lt;&gt;"",'Q32028'!E70&lt;&gt;""),"Q32028","")</f>
        <v/>
      </c>
      <c r="I229" t="str">
        <f>IF(A229="Q12028",COUNTIF($A$2:$A229,"Q12028"),"")</f>
        <v/>
      </c>
      <c r="J229" t="str">
        <f>IF(A229="Q22028",COUNTIF($A$2:$A229,"Q22028"),"")</f>
        <v/>
      </c>
      <c r="K229" t="str">
        <f>IF(A229="Q32028",COUNTIF($A$2:$A229,"Q32028"),"")</f>
        <v/>
      </c>
      <c r="L229" t="str">
        <f>IF(A229="Q42028",COUNTIF($A$2:$A229,"Q42028"),"")</f>
        <v/>
      </c>
      <c r="M229" t="str">
        <f>IF(A229="Backlog",COUNTIF($A$2:$A229,"Backlog"),"")</f>
        <v/>
      </c>
    </row>
    <row r="230" spans="1:13">
      <c r="A230" t="str">
        <f>IF(AND('Q32028'!B71&lt;&gt;"",'Q32028'!E71&lt;&gt;""),'Q32028'!E71,"")</f>
        <v/>
      </c>
      <c r="B230" t="str">
        <f>IF(AND('Q32028'!B71&lt;&gt;"",'Q32028'!E71&lt;&gt;""),'Q32028'!B71,"")</f>
        <v/>
      </c>
      <c r="C230" t="str">
        <f>IF(AND('Q32028'!B71&lt;&gt;"",'Q32028'!E71&lt;&gt;""),'Q32028'!C71,"")</f>
        <v/>
      </c>
      <c r="D230" t="str">
        <f>IF(AND('Q32028'!B71&lt;&gt;"",'Q32028'!E71&lt;&gt;""),'Q32028'!D71,"")</f>
        <v/>
      </c>
      <c r="E230" t="str">
        <f>IF(AND('Q32028'!B71&lt;&gt;"",'Q32028'!E71&lt;&gt;""),'Q32028'!H71,"")</f>
        <v/>
      </c>
      <c r="F230" t="str">
        <f>IF(AND('Q32028'!B71&lt;&gt;"",'Q32028'!E71&lt;&gt;""),'Q32028'!F71,"")</f>
        <v/>
      </c>
      <c r="G230" t="str">
        <f>IF(AND('Q32028'!B71&lt;&gt;"",'Q32028'!E71&lt;&gt;""),'Q32028'!G71,"")</f>
        <v/>
      </c>
      <c r="H230" t="str">
        <f>IF(AND('Q32028'!B71&lt;&gt;"",'Q32028'!E71&lt;&gt;""),"Q32028","")</f>
        <v/>
      </c>
      <c r="I230" t="str">
        <f>IF(A230="Q12028",COUNTIF($A$2:$A230,"Q12028"),"")</f>
        <v/>
      </c>
      <c r="J230" t="str">
        <f>IF(A230="Q22028",COUNTIF($A$2:$A230,"Q22028"),"")</f>
        <v/>
      </c>
      <c r="K230" t="str">
        <f>IF(A230="Q32028",COUNTIF($A$2:$A230,"Q32028"),"")</f>
        <v/>
      </c>
      <c r="L230" t="str">
        <f>IF(A230="Q42028",COUNTIF($A$2:$A230,"Q42028"),"")</f>
        <v/>
      </c>
      <c r="M230" t="str">
        <f>IF(A230="Backlog",COUNTIF($A$2:$A230,"Backlog"),"")</f>
        <v/>
      </c>
    </row>
    <row r="231" spans="1:13">
      <c r="A231" t="str">
        <f>IF(AND('Q32028'!B72&lt;&gt;"",'Q32028'!E72&lt;&gt;""),'Q32028'!E72,"")</f>
        <v/>
      </c>
      <c r="B231" t="str">
        <f>IF(AND('Q32028'!B72&lt;&gt;"",'Q32028'!E72&lt;&gt;""),'Q32028'!B72,"")</f>
        <v/>
      </c>
      <c r="C231" t="str">
        <f>IF(AND('Q32028'!B72&lt;&gt;"",'Q32028'!E72&lt;&gt;""),'Q32028'!C72,"")</f>
        <v/>
      </c>
      <c r="D231" t="str">
        <f>IF(AND('Q32028'!B72&lt;&gt;"",'Q32028'!E72&lt;&gt;""),'Q32028'!D72,"")</f>
        <v/>
      </c>
      <c r="E231" t="str">
        <f>IF(AND('Q32028'!B72&lt;&gt;"",'Q32028'!E72&lt;&gt;""),'Q32028'!H72,"")</f>
        <v/>
      </c>
      <c r="F231" t="str">
        <f>IF(AND('Q32028'!B72&lt;&gt;"",'Q32028'!E72&lt;&gt;""),'Q32028'!F72,"")</f>
        <v/>
      </c>
      <c r="G231" t="str">
        <f>IF(AND('Q32028'!B72&lt;&gt;"",'Q32028'!E72&lt;&gt;""),'Q32028'!G72,"")</f>
        <v/>
      </c>
      <c r="H231" t="str">
        <f>IF(AND('Q32028'!B72&lt;&gt;"",'Q32028'!E72&lt;&gt;""),"Q32028","")</f>
        <v/>
      </c>
      <c r="I231" t="str">
        <f>IF(A231="Q12028",COUNTIF($A$2:$A231,"Q12028"),"")</f>
        <v/>
      </c>
      <c r="J231" t="str">
        <f>IF(A231="Q22028",COUNTIF($A$2:$A231,"Q22028"),"")</f>
        <v/>
      </c>
      <c r="K231" t="str">
        <f>IF(A231="Q32028",COUNTIF($A$2:$A231,"Q32028"),"")</f>
        <v/>
      </c>
      <c r="L231" t="str">
        <f>IF(A231="Q42028",COUNTIF($A$2:$A231,"Q42028"),"")</f>
        <v/>
      </c>
      <c r="M231" t="str">
        <f>IF(A231="Backlog",COUNTIF($A$2:$A231,"Backlog"),"")</f>
        <v/>
      </c>
    </row>
    <row r="232" spans="1:13">
      <c r="A232" t="str">
        <f>IF(AND('Q32028'!B73&lt;&gt;"",'Q32028'!E73&lt;&gt;""),'Q32028'!E73,"")</f>
        <v/>
      </c>
      <c r="B232" t="str">
        <f>IF(AND('Q32028'!B73&lt;&gt;"",'Q32028'!E73&lt;&gt;""),'Q32028'!B73,"")</f>
        <v/>
      </c>
      <c r="C232" t="str">
        <f>IF(AND('Q32028'!B73&lt;&gt;"",'Q32028'!E73&lt;&gt;""),'Q32028'!C73,"")</f>
        <v/>
      </c>
      <c r="D232" t="str">
        <f>IF(AND('Q32028'!B73&lt;&gt;"",'Q32028'!E73&lt;&gt;""),'Q32028'!D73,"")</f>
        <v/>
      </c>
      <c r="E232" t="str">
        <f>IF(AND('Q32028'!B73&lt;&gt;"",'Q32028'!E73&lt;&gt;""),'Q32028'!H73,"")</f>
        <v/>
      </c>
      <c r="F232" t="str">
        <f>IF(AND('Q32028'!B73&lt;&gt;"",'Q32028'!E73&lt;&gt;""),'Q32028'!F73,"")</f>
        <v/>
      </c>
      <c r="G232" t="str">
        <f>IF(AND('Q32028'!B73&lt;&gt;"",'Q32028'!E73&lt;&gt;""),'Q32028'!G73,"")</f>
        <v/>
      </c>
      <c r="H232" t="str">
        <f>IF(AND('Q32028'!B73&lt;&gt;"",'Q32028'!E73&lt;&gt;""),"Q32028","")</f>
        <v/>
      </c>
      <c r="I232" t="str">
        <f>IF(A232="Q12028",COUNTIF($A$2:$A232,"Q12028"),"")</f>
        <v/>
      </c>
      <c r="J232" t="str">
        <f>IF(A232="Q22028",COUNTIF($A$2:$A232,"Q22028"),"")</f>
        <v/>
      </c>
      <c r="K232" t="str">
        <f>IF(A232="Q32028",COUNTIF($A$2:$A232,"Q32028"),"")</f>
        <v/>
      </c>
      <c r="L232" t="str">
        <f>IF(A232="Q42028",COUNTIF($A$2:$A232,"Q42028"),"")</f>
        <v/>
      </c>
      <c r="M232" t="str">
        <f>IF(A232="Backlog",COUNTIF($A$2:$A232,"Backlog"),"")</f>
        <v/>
      </c>
    </row>
    <row r="233" spans="1:13">
      <c r="A233" t="str">
        <f>IF(AND('Q32028'!B74&lt;&gt;"",'Q32028'!E74&lt;&gt;""),'Q32028'!E74,"")</f>
        <v/>
      </c>
      <c r="B233" t="str">
        <f>IF(AND('Q32028'!B74&lt;&gt;"",'Q32028'!E74&lt;&gt;""),'Q32028'!B74,"")</f>
        <v/>
      </c>
      <c r="C233" t="str">
        <f>IF(AND('Q32028'!B74&lt;&gt;"",'Q32028'!E74&lt;&gt;""),'Q32028'!C74,"")</f>
        <v/>
      </c>
      <c r="D233" t="str">
        <f>IF(AND('Q32028'!B74&lt;&gt;"",'Q32028'!E74&lt;&gt;""),'Q32028'!D74,"")</f>
        <v/>
      </c>
      <c r="E233" t="str">
        <f>IF(AND('Q32028'!B74&lt;&gt;"",'Q32028'!E74&lt;&gt;""),'Q32028'!H74,"")</f>
        <v/>
      </c>
      <c r="F233" t="str">
        <f>IF(AND('Q32028'!B74&lt;&gt;"",'Q32028'!E74&lt;&gt;""),'Q32028'!F74,"")</f>
        <v/>
      </c>
      <c r="G233" t="str">
        <f>IF(AND('Q32028'!B74&lt;&gt;"",'Q32028'!E74&lt;&gt;""),'Q32028'!G74,"")</f>
        <v/>
      </c>
      <c r="H233" t="str">
        <f>IF(AND('Q32028'!B74&lt;&gt;"",'Q32028'!E74&lt;&gt;""),"Q32028","")</f>
        <v/>
      </c>
      <c r="I233" t="str">
        <f>IF(A233="Q12028",COUNTIF($A$2:$A233,"Q12028"),"")</f>
        <v/>
      </c>
      <c r="J233" t="str">
        <f>IF(A233="Q22028",COUNTIF($A$2:$A233,"Q22028"),"")</f>
        <v/>
      </c>
      <c r="K233" t="str">
        <f>IF(A233="Q32028",COUNTIF($A$2:$A233,"Q32028"),"")</f>
        <v/>
      </c>
      <c r="L233" t="str">
        <f>IF(A233="Q42028",COUNTIF($A$2:$A233,"Q42028"),"")</f>
        <v/>
      </c>
      <c r="M233" t="str">
        <f>IF(A233="Backlog",COUNTIF($A$2:$A233,"Backlog"),"")</f>
        <v/>
      </c>
    </row>
    <row r="234" spans="1:13">
      <c r="A234" t="str">
        <f>IF(AND('Q32028'!B75&lt;&gt;"",'Q32028'!E75&lt;&gt;""),'Q32028'!E75,"")</f>
        <v/>
      </c>
      <c r="B234" t="str">
        <f>IF(AND('Q32028'!B75&lt;&gt;"",'Q32028'!E75&lt;&gt;""),'Q32028'!B75,"")</f>
        <v/>
      </c>
      <c r="C234" t="str">
        <f>IF(AND('Q32028'!B75&lt;&gt;"",'Q32028'!E75&lt;&gt;""),'Q32028'!C75,"")</f>
        <v/>
      </c>
      <c r="D234" t="str">
        <f>IF(AND('Q32028'!B75&lt;&gt;"",'Q32028'!E75&lt;&gt;""),'Q32028'!D75,"")</f>
        <v/>
      </c>
      <c r="E234" t="str">
        <f>IF(AND('Q32028'!B75&lt;&gt;"",'Q32028'!E75&lt;&gt;""),'Q32028'!H75,"")</f>
        <v/>
      </c>
      <c r="F234" t="str">
        <f>IF(AND('Q32028'!B75&lt;&gt;"",'Q32028'!E75&lt;&gt;""),'Q32028'!F75,"")</f>
        <v/>
      </c>
      <c r="G234" t="str">
        <f>IF(AND('Q32028'!B75&lt;&gt;"",'Q32028'!E75&lt;&gt;""),'Q32028'!G75,"")</f>
        <v/>
      </c>
      <c r="H234" t="str">
        <f>IF(AND('Q32028'!B75&lt;&gt;"",'Q32028'!E75&lt;&gt;""),"Q32028","")</f>
        <v/>
      </c>
      <c r="I234" t="str">
        <f>IF(A234="Q12028",COUNTIF($A$2:$A234,"Q12028"),"")</f>
        <v/>
      </c>
      <c r="J234" t="str">
        <f>IF(A234="Q22028",COUNTIF($A$2:$A234,"Q22028"),"")</f>
        <v/>
      </c>
      <c r="K234" t="str">
        <f>IF(A234="Q32028",COUNTIF($A$2:$A234,"Q32028"),"")</f>
        <v/>
      </c>
      <c r="L234" t="str">
        <f>IF(A234="Q42028",COUNTIF($A$2:$A234,"Q42028"),"")</f>
        <v/>
      </c>
      <c r="M234" t="str">
        <f>IF(A234="Backlog",COUNTIF($A$2:$A234,"Backlog"),"")</f>
        <v/>
      </c>
    </row>
    <row r="235" spans="1:13">
      <c r="A235" t="str">
        <f>IF(AND('Q32028'!B76&lt;&gt;"",'Q32028'!E76&lt;&gt;""),'Q32028'!E76,"")</f>
        <v/>
      </c>
      <c r="B235" t="str">
        <f>IF(AND('Q32028'!B76&lt;&gt;"",'Q32028'!E76&lt;&gt;""),'Q32028'!B76,"")</f>
        <v/>
      </c>
      <c r="C235" t="str">
        <f>IF(AND('Q32028'!B76&lt;&gt;"",'Q32028'!E76&lt;&gt;""),'Q32028'!C76,"")</f>
        <v/>
      </c>
      <c r="D235" t="str">
        <f>IF(AND('Q32028'!B76&lt;&gt;"",'Q32028'!E76&lt;&gt;""),'Q32028'!D76,"")</f>
        <v/>
      </c>
      <c r="E235" t="str">
        <f>IF(AND('Q32028'!B76&lt;&gt;"",'Q32028'!E76&lt;&gt;""),'Q32028'!H76,"")</f>
        <v/>
      </c>
      <c r="F235" t="str">
        <f>IF(AND('Q32028'!B76&lt;&gt;"",'Q32028'!E76&lt;&gt;""),'Q32028'!F76,"")</f>
        <v/>
      </c>
      <c r="G235" t="str">
        <f>IF(AND('Q32028'!B76&lt;&gt;"",'Q32028'!E76&lt;&gt;""),'Q32028'!G76,"")</f>
        <v/>
      </c>
      <c r="H235" t="str">
        <f>IF(AND('Q32028'!B76&lt;&gt;"",'Q32028'!E76&lt;&gt;""),"Q32028","")</f>
        <v/>
      </c>
      <c r="I235" t="str">
        <f>IF(A235="Q12028",COUNTIF($A$2:$A235,"Q12028"),"")</f>
        <v/>
      </c>
      <c r="J235" t="str">
        <f>IF(A235="Q22028",COUNTIF($A$2:$A235,"Q22028"),"")</f>
        <v/>
      </c>
      <c r="K235" t="str">
        <f>IF(A235="Q32028",COUNTIF($A$2:$A235,"Q32028"),"")</f>
        <v/>
      </c>
      <c r="L235" t="str">
        <f>IF(A235="Q42028",COUNTIF($A$2:$A235,"Q42028"),"")</f>
        <v/>
      </c>
      <c r="M235" t="str">
        <f>IF(A235="Backlog",COUNTIF($A$2:$A235,"Backlog"),"")</f>
        <v/>
      </c>
    </row>
    <row r="236" spans="1:13">
      <c r="A236" t="str">
        <f>IF(AND('Q32028'!B77&lt;&gt;"",'Q32028'!E77&lt;&gt;""),'Q32028'!E77,"")</f>
        <v/>
      </c>
      <c r="B236" t="str">
        <f>IF(AND('Q32028'!B77&lt;&gt;"",'Q32028'!E77&lt;&gt;""),'Q32028'!B77,"")</f>
        <v/>
      </c>
      <c r="C236" t="str">
        <f>IF(AND('Q32028'!B77&lt;&gt;"",'Q32028'!E77&lt;&gt;""),'Q32028'!C77,"")</f>
        <v/>
      </c>
      <c r="D236" t="str">
        <f>IF(AND('Q32028'!B77&lt;&gt;"",'Q32028'!E77&lt;&gt;""),'Q32028'!D77,"")</f>
        <v/>
      </c>
      <c r="E236" t="str">
        <f>IF(AND('Q32028'!B77&lt;&gt;"",'Q32028'!E77&lt;&gt;""),'Q32028'!H77,"")</f>
        <v/>
      </c>
      <c r="F236" t="str">
        <f>IF(AND('Q32028'!B77&lt;&gt;"",'Q32028'!E77&lt;&gt;""),'Q32028'!F77,"")</f>
        <v/>
      </c>
      <c r="G236" t="str">
        <f>IF(AND('Q32028'!B77&lt;&gt;"",'Q32028'!E77&lt;&gt;""),'Q32028'!G77,"")</f>
        <v/>
      </c>
      <c r="H236" t="str">
        <f>IF(AND('Q32028'!B77&lt;&gt;"",'Q32028'!E77&lt;&gt;""),"Q32028","")</f>
        <v/>
      </c>
      <c r="I236" t="str">
        <f>IF(A236="Q12028",COUNTIF($A$2:$A236,"Q12028"),"")</f>
        <v/>
      </c>
      <c r="J236" t="str">
        <f>IF(A236="Q22028",COUNTIF($A$2:$A236,"Q22028"),"")</f>
        <v/>
      </c>
      <c r="K236" t="str">
        <f>IF(A236="Q32028",COUNTIF($A$2:$A236,"Q32028"),"")</f>
        <v/>
      </c>
      <c r="L236" t="str">
        <f>IF(A236="Q42028",COUNTIF($A$2:$A236,"Q42028"),"")</f>
        <v/>
      </c>
      <c r="M236" t="str">
        <f>IF(A236="Backlog",COUNTIF($A$2:$A236,"Backlog"),"")</f>
        <v/>
      </c>
    </row>
    <row r="237" spans="1:13">
      <c r="A237" t="str">
        <f>IF(AND('Q32028'!B78&lt;&gt;"",'Q32028'!E78&lt;&gt;""),'Q32028'!E78,"")</f>
        <v/>
      </c>
      <c r="B237" t="str">
        <f>IF(AND('Q32028'!B78&lt;&gt;"",'Q32028'!E78&lt;&gt;""),'Q32028'!B78,"")</f>
        <v/>
      </c>
      <c r="C237" t="str">
        <f>IF(AND('Q32028'!B78&lt;&gt;"",'Q32028'!E78&lt;&gt;""),'Q32028'!C78,"")</f>
        <v/>
      </c>
      <c r="D237" t="str">
        <f>IF(AND('Q32028'!B78&lt;&gt;"",'Q32028'!E78&lt;&gt;""),'Q32028'!D78,"")</f>
        <v/>
      </c>
      <c r="E237" t="str">
        <f>IF(AND('Q32028'!B78&lt;&gt;"",'Q32028'!E78&lt;&gt;""),'Q32028'!H78,"")</f>
        <v/>
      </c>
      <c r="F237" t="str">
        <f>IF(AND('Q32028'!B78&lt;&gt;"",'Q32028'!E78&lt;&gt;""),'Q32028'!F78,"")</f>
        <v/>
      </c>
      <c r="G237" t="str">
        <f>IF(AND('Q32028'!B78&lt;&gt;"",'Q32028'!E78&lt;&gt;""),'Q32028'!G78,"")</f>
        <v/>
      </c>
      <c r="H237" t="str">
        <f>IF(AND('Q32028'!B78&lt;&gt;"",'Q32028'!E78&lt;&gt;""),"Q32028","")</f>
        <v/>
      </c>
      <c r="I237" t="str">
        <f>IF(A237="Q12028",COUNTIF($A$2:$A237,"Q12028"),"")</f>
        <v/>
      </c>
      <c r="J237" t="str">
        <f>IF(A237="Q22028",COUNTIF($A$2:$A237,"Q22028"),"")</f>
        <v/>
      </c>
      <c r="K237" t="str">
        <f>IF(A237="Q32028",COUNTIF($A$2:$A237,"Q32028"),"")</f>
        <v/>
      </c>
      <c r="L237" t="str">
        <f>IF(A237="Q42028",COUNTIF($A$2:$A237,"Q42028"),"")</f>
        <v/>
      </c>
      <c r="M237" t="str">
        <f>IF(A237="Backlog",COUNTIF($A$2:$A237,"Backlog"),"")</f>
        <v/>
      </c>
    </row>
    <row r="238" spans="1:13">
      <c r="A238" t="str">
        <f>IF(AND('Q32028'!B79&lt;&gt;"",'Q32028'!E79&lt;&gt;""),'Q32028'!E79,"")</f>
        <v/>
      </c>
      <c r="B238" t="str">
        <f>IF(AND('Q32028'!B79&lt;&gt;"",'Q32028'!E79&lt;&gt;""),'Q32028'!B79,"")</f>
        <v/>
      </c>
      <c r="C238" t="str">
        <f>IF(AND('Q32028'!B79&lt;&gt;"",'Q32028'!E79&lt;&gt;""),'Q32028'!C79,"")</f>
        <v/>
      </c>
      <c r="D238" t="str">
        <f>IF(AND('Q32028'!B79&lt;&gt;"",'Q32028'!E79&lt;&gt;""),'Q32028'!D79,"")</f>
        <v/>
      </c>
      <c r="E238" t="str">
        <f>IF(AND('Q32028'!B79&lt;&gt;"",'Q32028'!E79&lt;&gt;""),'Q32028'!H79,"")</f>
        <v/>
      </c>
      <c r="F238" t="str">
        <f>IF(AND('Q32028'!B79&lt;&gt;"",'Q32028'!E79&lt;&gt;""),'Q32028'!F79,"")</f>
        <v/>
      </c>
      <c r="G238" t="str">
        <f>IF(AND('Q32028'!B79&lt;&gt;"",'Q32028'!E79&lt;&gt;""),'Q32028'!G79,"")</f>
        <v/>
      </c>
      <c r="H238" t="str">
        <f>IF(AND('Q32028'!B79&lt;&gt;"",'Q32028'!E79&lt;&gt;""),"Q32028","")</f>
        <v/>
      </c>
      <c r="I238" t="str">
        <f>IF(A238="Q12028",COUNTIF($A$2:$A238,"Q12028"),"")</f>
        <v/>
      </c>
      <c r="J238" t="str">
        <f>IF(A238="Q22028",COUNTIF($A$2:$A238,"Q22028"),"")</f>
        <v/>
      </c>
      <c r="K238" t="str">
        <f>IF(A238="Q32028",COUNTIF($A$2:$A238,"Q32028"),"")</f>
        <v/>
      </c>
      <c r="L238" t="str">
        <f>IF(A238="Q42028",COUNTIF($A$2:$A238,"Q42028"),"")</f>
        <v/>
      </c>
      <c r="M238" t="str">
        <f>IF(A238="Backlog",COUNTIF($A$2:$A238,"Backlog"),"")</f>
        <v/>
      </c>
    </row>
    <row r="239" spans="1:13">
      <c r="A239" t="str">
        <f>IF(AND('Q32028'!B80&lt;&gt;"",'Q32028'!E80&lt;&gt;""),'Q32028'!E80,"")</f>
        <v/>
      </c>
      <c r="B239" t="str">
        <f>IF(AND('Q32028'!B80&lt;&gt;"",'Q32028'!E80&lt;&gt;""),'Q32028'!B80,"")</f>
        <v/>
      </c>
      <c r="C239" t="str">
        <f>IF(AND('Q32028'!B80&lt;&gt;"",'Q32028'!E80&lt;&gt;""),'Q32028'!C80,"")</f>
        <v/>
      </c>
      <c r="D239" t="str">
        <f>IF(AND('Q32028'!B80&lt;&gt;"",'Q32028'!E80&lt;&gt;""),'Q32028'!D80,"")</f>
        <v/>
      </c>
      <c r="E239" t="str">
        <f>IF(AND('Q32028'!B80&lt;&gt;"",'Q32028'!E80&lt;&gt;""),'Q32028'!H80,"")</f>
        <v/>
      </c>
      <c r="F239" t="str">
        <f>IF(AND('Q32028'!B80&lt;&gt;"",'Q32028'!E80&lt;&gt;""),'Q32028'!F80,"")</f>
        <v/>
      </c>
      <c r="G239" t="str">
        <f>IF(AND('Q32028'!B80&lt;&gt;"",'Q32028'!E80&lt;&gt;""),'Q32028'!G80,"")</f>
        <v/>
      </c>
      <c r="H239" t="str">
        <f>IF(AND('Q32028'!B80&lt;&gt;"",'Q32028'!E80&lt;&gt;""),"Q32028","")</f>
        <v/>
      </c>
      <c r="I239" t="str">
        <f>IF(A239="Q12028",COUNTIF($A$2:$A239,"Q12028"),"")</f>
        <v/>
      </c>
      <c r="J239" t="str">
        <f>IF(A239="Q22028",COUNTIF($A$2:$A239,"Q22028"),"")</f>
        <v/>
      </c>
      <c r="K239" t="str">
        <f>IF(A239="Q32028",COUNTIF($A$2:$A239,"Q32028"),"")</f>
        <v/>
      </c>
      <c r="L239" t="str">
        <f>IF(A239="Q42028",COUNTIF($A$2:$A239,"Q42028"),"")</f>
        <v/>
      </c>
      <c r="M239" t="str">
        <f>IF(A239="Backlog",COUNTIF($A$2:$A239,"Backlog"),"")</f>
        <v/>
      </c>
    </row>
    <row r="240" spans="1:13">
      <c r="A240" t="str">
        <f>IF(AND('Q32028'!B81&lt;&gt;"",'Q32028'!E81&lt;&gt;""),'Q32028'!E81,"")</f>
        <v/>
      </c>
      <c r="B240" t="str">
        <f>IF(AND('Q32028'!B81&lt;&gt;"",'Q32028'!E81&lt;&gt;""),'Q32028'!B81,"")</f>
        <v/>
      </c>
      <c r="C240" t="str">
        <f>IF(AND('Q32028'!B81&lt;&gt;"",'Q32028'!E81&lt;&gt;""),'Q32028'!C81,"")</f>
        <v/>
      </c>
      <c r="D240" t="str">
        <f>IF(AND('Q32028'!B81&lt;&gt;"",'Q32028'!E81&lt;&gt;""),'Q32028'!D81,"")</f>
        <v/>
      </c>
      <c r="E240" t="str">
        <f>IF(AND('Q32028'!B81&lt;&gt;"",'Q32028'!E81&lt;&gt;""),'Q32028'!H81,"")</f>
        <v/>
      </c>
      <c r="F240" t="str">
        <f>IF(AND('Q32028'!B81&lt;&gt;"",'Q32028'!E81&lt;&gt;""),'Q32028'!F81,"")</f>
        <v/>
      </c>
      <c r="G240" t="str">
        <f>IF(AND('Q32028'!B81&lt;&gt;"",'Q32028'!E81&lt;&gt;""),'Q32028'!G81,"")</f>
        <v/>
      </c>
      <c r="H240" t="str">
        <f>IF(AND('Q32028'!B81&lt;&gt;"",'Q32028'!E81&lt;&gt;""),"Q32028","")</f>
        <v/>
      </c>
      <c r="I240" t="str">
        <f>IF(A240="Q12028",COUNTIF($A$2:$A240,"Q12028"),"")</f>
        <v/>
      </c>
      <c r="J240" t="str">
        <f>IF(A240="Q22028",COUNTIF($A$2:$A240,"Q22028"),"")</f>
        <v/>
      </c>
      <c r="K240" t="str">
        <f>IF(A240="Q32028",COUNTIF($A$2:$A240,"Q32028"),"")</f>
        <v/>
      </c>
      <c r="L240" t="str">
        <f>IF(A240="Q42028",COUNTIF($A$2:$A240,"Q42028"),"")</f>
        <v/>
      </c>
      <c r="M240" t="str">
        <f>IF(A240="Backlog",COUNTIF($A$2:$A240,"Backlog"),"")</f>
        <v/>
      </c>
    </row>
    <row r="241" spans="1:13">
      <c r="A241" t="str">
        <f>IF(AND('Q32028'!B82&lt;&gt;"",'Q32028'!E82&lt;&gt;""),'Q32028'!E82,"")</f>
        <v/>
      </c>
      <c r="B241" t="str">
        <f>IF(AND('Q32028'!B82&lt;&gt;"",'Q32028'!E82&lt;&gt;""),'Q32028'!B82,"")</f>
        <v/>
      </c>
      <c r="C241" t="str">
        <f>IF(AND('Q32028'!B82&lt;&gt;"",'Q32028'!E82&lt;&gt;""),'Q32028'!C82,"")</f>
        <v/>
      </c>
      <c r="D241" t="str">
        <f>IF(AND('Q32028'!B82&lt;&gt;"",'Q32028'!E82&lt;&gt;""),'Q32028'!D82,"")</f>
        <v/>
      </c>
      <c r="E241" t="str">
        <f>IF(AND('Q32028'!B82&lt;&gt;"",'Q32028'!E82&lt;&gt;""),'Q32028'!H82,"")</f>
        <v/>
      </c>
      <c r="F241" t="str">
        <f>IF(AND('Q32028'!B82&lt;&gt;"",'Q32028'!E82&lt;&gt;""),'Q32028'!F82,"")</f>
        <v/>
      </c>
      <c r="G241" t="str">
        <f>IF(AND('Q32028'!B82&lt;&gt;"",'Q32028'!E82&lt;&gt;""),'Q32028'!G82,"")</f>
        <v/>
      </c>
      <c r="H241" t="str">
        <f>IF(AND('Q32028'!B82&lt;&gt;"",'Q32028'!E82&lt;&gt;""),"Q32028","")</f>
        <v/>
      </c>
      <c r="I241" t="str">
        <f>IF(A241="Q12028",COUNTIF($A$2:$A241,"Q12028"),"")</f>
        <v/>
      </c>
      <c r="J241" t="str">
        <f>IF(A241="Q22028",COUNTIF($A$2:$A241,"Q22028"),"")</f>
        <v/>
      </c>
      <c r="K241" t="str">
        <f>IF(A241="Q32028",COUNTIF($A$2:$A241,"Q32028"),"")</f>
        <v/>
      </c>
      <c r="L241" t="str">
        <f>IF(A241="Q42028",COUNTIF($A$2:$A241,"Q42028"),"")</f>
        <v/>
      </c>
      <c r="M241" t="str">
        <f>IF(A241="Backlog",COUNTIF($A$2:$A241,"Backlog"),"")</f>
        <v/>
      </c>
    </row>
    <row r="242" spans="1:13">
      <c r="A242" t="str">
        <f>IF(AND('Q42028'!B3&lt;&gt;"",'Q42028'!E3&lt;&gt;""),'Q42028'!E3,"")</f>
        <v/>
      </c>
      <c r="B242" t="str">
        <f>IF(AND('Q42028'!B3&lt;&gt;"",'Q42028'!E3&lt;&gt;""),'Q42028'!B3,"")</f>
        <v/>
      </c>
      <c r="C242" t="str">
        <f>IF(AND('Q42028'!B3&lt;&gt;"",'Q42028'!E3&lt;&gt;""),'Q42028'!C3,"")</f>
        <v/>
      </c>
      <c r="D242" t="str">
        <f>IF(AND('Q42028'!B3&lt;&gt;"",'Q42028'!E3&lt;&gt;""),'Q42028'!D3,"")</f>
        <v/>
      </c>
      <c r="E242" t="str">
        <f>IF(AND('Q42028'!B3&lt;&gt;"",'Q42028'!E3&lt;&gt;""),'Q42028'!H3,"")</f>
        <v/>
      </c>
      <c r="F242" t="str">
        <f>IF(AND('Q42028'!B3&lt;&gt;"",'Q42028'!E3&lt;&gt;""),'Q42028'!F3,"")</f>
        <v/>
      </c>
      <c r="G242" t="str">
        <f>IF(AND('Q42028'!B3&lt;&gt;"",'Q42028'!E3&lt;&gt;""),'Q42028'!G3,"")</f>
        <v/>
      </c>
      <c r="H242" t="str">
        <f>IF(AND('Q42028'!B3&lt;&gt;"",'Q42028'!E3&lt;&gt;""),"Q42028","")</f>
        <v/>
      </c>
      <c r="I242" t="str">
        <f>IF(A242="Q12028",COUNTIF($A$2:$A242,"Q12028"),"")</f>
        <v/>
      </c>
      <c r="J242" t="str">
        <f>IF(A242="Q22028",COUNTIF($A$2:$A242,"Q22028"),"")</f>
        <v/>
      </c>
      <c r="K242" t="str">
        <f>IF(A242="Q32028",COUNTIF($A$2:$A242,"Q32028"),"")</f>
        <v/>
      </c>
      <c r="L242" t="str">
        <f>IF(A242="Q42028",COUNTIF($A$2:$A242,"Q42028"),"")</f>
        <v/>
      </c>
      <c r="M242" t="str">
        <f>IF(A242="Backlog",COUNTIF($A$2:$A242,"Backlog"),"")</f>
        <v/>
      </c>
    </row>
    <row r="243" spans="1:13">
      <c r="A243" t="str">
        <f>IF(AND('Q42028'!B4&lt;&gt;"",'Q42028'!E4&lt;&gt;""),'Q42028'!E4,"")</f>
        <v/>
      </c>
      <c r="B243" t="str">
        <f>IF(AND('Q42028'!B4&lt;&gt;"",'Q42028'!E4&lt;&gt;""),'Q42028'!B4,"")</f>
        <v/>
      </c>
      <c r="C243" t="str">
        <f>IF(AND('Q42028'!B4&lt;&gt;"",'Q42028'!E4&lt;&gt;""),'Q42028'!C4,"")</f>
        <v/>
      </c>
      <c r="D243" t="str">
        <f>IF(AND('Q42028'!B4&lt;&gt;"",'Q42028'!E4&lt;&gt;""),'Q42028'!D4,"")</f>
        <v/>
      </c>
      <c r="E243" t="str">
        <f>IF(AND('Q42028'!B4&lt;&gt;"",'Q42028'!E4&lt;&gt;""),'Q42028'!H4,"")</f>
        <v/>
      </c>
      <c r="F243" t="str">
        <f>IF(AND('Q42028'!B4&lt;&gt;"",'Q42028'!E4&lt;&gt;""),'Q42028'!F4,"")</f>
        <v/>
      </c>
      <c r="G243" t="str">
        <f>IF(AND('Q42028'!B4&lt;&gt;"",'Q42028'!E4&lt;&gt;""),'Q42028'!G4,"")</f>
        <v/>
      </c>
      <c r="H243" t="str">
        <f>IF(AND('Q42028'!B4&lt;&gt;"",'Q42028'!E4&lt;&gt;""),"Q42028","")</f>
        <v/>
      </c>
      <c r="I243" t="str">
        <f>IF(A243="Q12028",COUNTIF($A$2:$A243,"Q12028"),"")</f>
        <v/>
      </c>
      <c r="J243" t="str">
        <f>IF(A243="Q22028",COUNTIF($A$2:$A243,"Q22028"),"")</f>
        <v/>
      </c>
      <c r="K243" t="str">
        <f>IF(A243="Q32028",COUNTIF($A$2:$A243,"Q32028"),"")</f>
        <v/>
      </c>
      <c r="L243" t="str">
        <f>IF(A243="Q42028",COUNTIF($A$2:$A243,"Q42028"),"")</f>
        <v/>
      </c>
      <c r="M243" t="str">
        <f>IF(A243="Backlog",COUNTIF($A$2:$A243,"Backlog"),"")</f>
        <v/>
      </c>
    </row>
    <row r="244" spans="1:13">
      <c r="A244" t="str">
        <f>IF(AND('Q42028'!B5&lt;&gt;"",'Q42028'!E5&lt;&gt;""),'Q42028'!E5,"")</f>
        <v/>
      </c>
      <c r="B244" t="str">
        <f>IF(AND('Q42028'!B5&lt;&gt;"",'Q42028'!E5&lt;&gt;""),'Q42028'!B5,"")</f>
        <v/>
      </c>
      <c r="C244" t="str">
        <f>IF(AND('Q42028'!B5&lt;&gt;"",'Q42028'!E5&lt;&gt;""),'Q42028'!C5,"")</f>
        <v/>
      </c>
      <c r="D244" t="str">
        <f>IF(AND('Q42028'!B5&lt;&gt;"",'Q42028'!E5&lt;&gt;""),'Q42028'!D5,"")</f>
        <v/>
      </c>
      <c r="E244" t="str">
        <f>IF(AND('Q42028'!B5&lt;&gt;"",'Q42028'!E5&lt;&gt;""),'Q42028'!H5,"")</f>
        <v/>
      </c>
      <c r="F244" t="str">
        <f>IF(AND('Q42028'!B5&lt;&gt;"",'Q42028'!E5&lt;&gt;""),'Q42028'!F5,"")</f>
        <v/>
      </c>
      <c r="G244" t="str">
        <f>IF(AND('Q42028'!B5&lt;&gt;"",'Q42028'!E5&lt;&gt;""),'Q42028'!G5,"")</f>
        <v/>
      </c>
      <c r="H244" t="str">
        <f>IF(AND('Q42028'!B5&lt;&gt;"",'Q42028'!E5&lt;&gt;""),"Q42028","")</f>
        <v/>
      </c>
      <c r="I244" t="str">
        <f>IF(A244="Q12028",COUNTIF($A$2:$A244,"Q12028"),"")</f>
        <v/>
      </c>
      <c r="J244" t="str">
        <f>IF(A244="Q22028",COUNTIF($A$2:$A244,"Q22028"),"")</f>
        <v/>
      </c>
      <c r="K244" t="str">
        <f>IF(A244="Q32028",COUNTIF($A$2:$A244,"Q32028"),"")</f>
        <v/>
      </c>
      <c r="L244" t="str">
        <f>IF(A244="Q42028",COUNTIF($A$2:$A244,"Q42028"),"")</f>
        <v/>
      </c>
      <c r="M244" t="str">
        <f>IF(A244="Backlog",COUNTIF($A$2:$A244,"Backlog"),"")</f>
        <v/>
      </c>
    </row>
    <row r="245" spans="1:13">
      <c r="A245" t="str">
        <f>IF(AND('Q42028'!B6&lt;&gt;"",'Q42028'!E6&lt;&gt;""),'Q42028'!E6,"")</f>
        <v/>
      </c>
      <c r="B245" t="str">
        <f>IF(AND('Q42028'!B6&lt;&gt;"",'Q42028'!E6&lt;&gt;""),'Q42028'!B6,"")</f>
        <v/>
      </c>
      <c r="C245" t="str">
        <f>IF(AND('Q42028'!B6&lt;&gt;"",'Q42028'!E6&lt;&gt;""),'Q42028'!C6,"")</f>
        <v/>
      </c>
      <c r="D245" t="str">
        <f>IF(AND('Q42028'!B6&lt;&gt;"",'Q42028'!E6&lt;&gt;""),'Q42028'!D6,"")</f>
        <v/>
      </c>
      <c r="E245" t="str">
        <f>IF(AND('Q42028'!B6&lt;&gt;"",'Q42028'!E6&lt;&gt;""),'Q42028'!H6,"")</f>
        <v/>
      </c>
      <c r="F245" t="str">
        <f>IF(AND('Q42028'!B6&lt;&gt;"",'Q42028'!E6&lt;&gt;""),'Q42028'!F6,"")</f>
        <v/>
      </c>
      <c r="G245" t="str">
        <f>IF(AND('Q42028'!B6&lt;&gt;"",'Q42028'!E6&lt;&gt;""),'Q42028'!G6,"")</f>
        <v/>
      </c>
      <c r="H245" t="str">
        <f>IF(AND('Q42028'!B6&lt;&gt;"",'Q42028'!E6&lt;&gt;""),"Q42028","")</f>
        <v/>
      </c>
      <c r="I245" t="str">
        <f>IF(A245="Q12028",COUNTIF($A$2:$A245,"Q12028"),"")</f>
        <v/>
      </c>
      <c r="J245" t="str">
        <f>IF(A245="Q22028",COUNTIF($A$2:$A245,"Q22028"),"")</f>
        <v/>
      </c>
      <c r="K245" t="str">
        <f>IF(A245="Q32028",COUNTIF($A$2:$A245,"Q32028"),"")</f>
        <v/>
      </c>
      <c r="L245" t="str">
        <f>IF(A245="Q42028",COUNTIF($A$2:$A245,"Q42028"),"")</f>
        <v/>
      </c>
      <c r="M245" t="str">
        <f>IF(A245="Backlog",COUNTIF($A$2:$A245,"Backlog"),"")</f>
        <v/>
      </c>
    </row>
    <row r="246" spans="1:13">
      <c r="A246" t="str">
        <f>IF(AND('Q42028'!B7&lt;&gt;"",'Q42028'!E7&lt;&gt;""),'Q42028'!E7,"")</f>
        <v/>
      </c>
      <c r="B246" t="str">
        <f>IF(AND('Q42028'!B7&lt;&gt;"",'Q42028'!E7&lt;&gt;""),'Q42028'!B7,"")</f>
        <v/>
      </c>
      <c r="C246" t="str">
        <f>IF(AND('Q42028'!B7&lt;&gt;"",'Q42028'!E7&lt;&gt;""),'Q42028'!C7,"")</f>
        <v/>
      </c>
      <c r="D246" t="str">
        <f>IF(AND('Q42028'!B7&lt;&gt;"",'Q42028'!E7&lt;&gt;""),'Q42028'!D7,"")</f>
        <v/>
      </c>
      <c r="E246" t="str">
        <f>IF(AND('Q42028'!B7&lt;&gt;"",'Q42028'!E7&lt;&gt;""),'Q42028'!H7,"")</f>
        <v/>
      </c>
      <c r="F246" t="str">
        <f>IF(AND('Q42028'!B7&lt;&gt;"",'Q42028'!E7&lt;&gt;""),'Q42028'!F7,"")</f>
        <v/>
      </c>
      <c r="G246" t="str">
        <f>IF(AND('Q42028'!B7&lt;&gt;"",'Q42028'!E7&lt;&gt;""),'Q42028'!G7,"")</f>
        <v/>
      </c>
      <c r="H246" t="str">
        <f>IF(AND('Q42028'!B7&lt;&gt;"",'Q42028'!E7&lt;&gt;""),"Q42028","")</f>
        <v/>
      </c>
      <c r="I246" t="str">
        <f>IF(A246="Q12028",COUNTIF($A$2:$A246,"Q12028"),"")</f>
        <v/>
      </c>
      <c r="J246" t="str">
        <f>IF(A246="Q22028",COUNTIF($A$2:$A246,"Q22028"),"")</f>
        <v/>
      </c>
      <c r="K246" t="str">
        <f>IF(A246="Q32028",COUNTIF($A$2:$A246,"Q32028"),"")</f>
        <v/>
      </c>
      <c r="L246" t="str">
        <f>IF(A246="Q42028",COUNTIF($A$2:$A246,"Q42028"),"")</f>
        <v/>
      </c>
      <c r="M246" t="str">
        <f>IF(A246="Backlog",COUNTIF($A$2:$A246,"Backlog"),"")</f>
        <v/>
      </c>
    </row>
    <row r="247" spans="1:13">
      <c r="A247" t="str">
        <f>IF(AND('Q42028'!B8&lt;&gt;"",'Q42028'!E8&lt;&gt;""),'Q42028'!E8,"")</f>
        <v/>
      </c>
      <c r="B247" t="str">
        <f>IF(AND('Q42028'!B8&lt;&gt;"",'Q42028'!E8&lt;&gt;""),'Q42028'!B8,"")</f>
        <v/>
      </c>
      <c r="C247" t="str">
        <f>IF(AND('Q42028'!B8&lt;&gt;"",'Q42028'!E8&lt;&gt;""),'Q42028'!C8,"")</f>
        <v/>
      </c>
      <c r="D247" t="str">
        <f>IF(AND('Q42028'!B8&lt;&gt;"",'Q42028'!E8&lt;&gt;""),'Q42028'!D8,"")</f>
        <v/>
      </c>
      <c r="E247" t="str">
        <f>IF(AND('Q42028'!B8&lt;&gt;"",'Q42028'!E8&lt;&gt;""),'Q42028'!H8,"")</f>
        <v/>
      </c>
      <c r="F247" t="str">
        <f>IF(AND('Q42028'!B8&lt;&gt;"",'Q42028'!E8&lt;&gt;""),'Q42028'!F8,"")</f>
        <v/>
      </c>
      <c r="G247" t="str">
        <f>IF(AND('Q42028'!B8&lt;&gt;"",'Q42028'!E8&lt;&gt;""),'Q42028'!G8,"")</f>
        <v/>
      </c>
      <c r="H247" t="str">
        <f>IF(AND('Q42028'!B8&lt;&gt;"",'Q42028'!E8&lt;&gt;""),"Q42028","")</f>
        <v/>
      </c>
      <c r="I247" t="str">
        <f>IF(A247="Q12028",COUNTIF($A$2:$A247,"Q12028"),"")</f>
        <v/>
      </c>
      <c r="J247" t="str">
        <f>IF(A247="Q22028",COUNTIF($A$2:$A247,"Q22028"),"")</f>
        <v/>
      </c>
      <c r="K247" t="str">
        <f>IF(A247="Q32028",COUNTIF($A$2:$A247,"Q32028"),"")</f>
        <v/>
      </c>
      <c r="L247" t="str">
        <f>IF(A247="Q42028",COUNTIF($A$2:$A247,"Q42028"),"")</f>
        <v/>
      </c>
      <c r="M247" t="str">
        <f>IF(A247="Backlog",COUNTIF($A$2:$A247,"Backlog"),"")</f>
        <v/>
      </c>
    </row>
    <row r="248" spans="1:13">
      <c r="A248" t="str">
        <f>IF(AND('Q42028'!B9&lt;&gt;"",'Q42028'!E9&lt;&gt;""),'Q42028'!E9,"")</f>
        <v/>
      </c>
      <c r="B248" t="str">
        <f>IF(AND('Q42028'!B9&lt;&gt;"",'Q42028'!E9&lt;&gt;""),'Q42028'!B9,"")</f>
        <v/>
      </c>
      <c r="C248" t="str">
        <f>IF(AND('Q42028'!B9&lt;&gt;"",'Q42028'!E9&lt;&gt;""),'Q42028'!C9,"")</f>
        <v/>
      </c>
      <c r="D248" t="str">
        <f>IF(AND('Q42028'!B9&lt;&gt;"",'Q42028'!E9&lt;&gt;""),'Q42028'!D9,"")</f>
        <v/>
      </c>
      <c r="E248" t="str">
        <f>IF(AND('Q42028'!B9&lt;&gt;"",'Q42028'!E9&lt;&gt;""),'Q42028'!H9,"")</f>
        <v/>
      </c>
      <c r="F248" t="str">
        <f>IF(AND('Q42028'!B9&lt;&gt;"",'Q42028'!E9&lt;&gt;""),'Q42028'!F9,"")</f>
        <v/>
      </c>
      <c r="G248" t="str">
        <f>IF(AND('Q42028'!B9&lt;&gt;"",'Q42028'!E9&lt;&gt;""),'Q42028'!G9,"")</f>
        <v/>
      </c>
      <c r="H248" t="str">
        <f>IF(AND('Q42028'!B9&lt;&gt;"",'Q42028'!E9&lt;&gt;""),"Q42028","")</f>
        <v/>
      </c>
      <c r="I248" t="str">
        <f>IF(A248="Q12028",COUNTIF($A$2:$A248,"Q12028"),"")</f>
        <v/>
      </c>
      <c r="J248" t="str">
        <f>IF(A248="Q22028",COUNTIF($A$2:$A248,"Q22028"),"")</f>
        <v/>
      </c>
      <c r="K248" t="str">
        <f>IF(A248="Q32028",COUNTIF($A$2:$A248,"Q32028"),"")</f>
        <v/>
      </c>
      <c r="L248" t="str">
        <f>IF(A248="Q42028",COUNTIF($A$2:$A248,"Q42028"),"")</f>
        <v/>
      </c>
      <c r="M248" t="str">
        <f>IF(A248="Backlog",COUNTIF($A$2:$A248,"Backlog"),"")</f>
        <v/>
      </c>
    </row>
    <row r="249" spans="1:13">
      <c r="A249" t="str">
        <f>IF(AND('Q42028'!B10&lt;&gt;"",'Q42028'!E10&lt;&gt;""),'Q42028'!E10,"")</f>
        <v/>
      </c>
      <c r="B249" t="str">
        <f>IF(AND('Q42028'!B10&lt;&gt;"",'Q42028'!E10&lt;&gt;""),'Q42028'!B10,"")</f>
        <v/>
      </c>
      <c r="C249" t="str">
        <f>IF(AND('Q42028'!B10&lt;&gt;"",'Q42028'!E10&lt;&gt;""),'Q42028'!C10,"")</f>
        <v/>
      </c>
      <c r="D249" t="str">
        <f>IF(AND('Q42028'!B10&lt;&gt;"",'Q42028'!E10&lt;&gt;""),'Q42028'!D10,"")</f>
        <v/>
      </c>
      <c r="E249" t="str">
        <f>IF(AND('Q42028'!B10&lt;&gt;"",'Q42028'!E10&lt;&gt;""),'Q42028'!H10,"")</f>
        <v/>
      </c>
      <c r="F249" t="str">
        <f>IF(AND('Q42028'!B10&lt;&gt;"",'Q42028'!E10&lt;&gt;""),'Q42028'!F10,"")</f>
        <v/>
      </c>
      <c r="G249" t="str">
        <f>IF(AND('Q42028'!B10&lt;&gt;"",'Q42028'!E10&lt;&gt;""),'Q42028'!G10,"")</f>
        <v/>
      </c>
      <c r="H249" t="str">
        <f>IF(AND('Q42028'!B10&lt;&gt;"",'Q42028'!E10&lt;&gt;""),"Q42028","")</f>
        <v/>
      </c>
      <c r="I249" t="str">
        <f>IF(A249="Q12028",COUNTIF($A$2:$A249,"Q12028"),"")</f>
        <v/>
      </c>
      <c r="J249" t="str">
        <f>IF(A249="Q22028",COUNTIF($A$2:$A249,"Q22028"),"")</f>
        <v/>
      </c>
      <c r="K249" t="str">
        <f>IF(A249="Q32028",COUNTIF($A$2:$A249,"Q32028"),"")</f>
        <v/>
      </c>
      <c r="L249" t="str">
        <f>IF(A249="Q42028",COUNTIF($A$2:$A249,"Q42028"),"")</f>
        <v/>
      </c>
      <c r="M249" t="str">
        <f>IF(A249="Backlog",COUNTIF($A$2:$A249,"Backlog"),"")</f>
        <v/>
      </c>
    </row>
    <row r="250" spans="1:13">
      <c r="A250" t="str">
        <f>IF(AND('Q42028'!B11&lt;&gt;"",'Q42028'!E11&lt;&gt;""),'Q42028'!E11,"")</f>
        <v/>
      </c>
      <c r="B250" t="str">
        <f>IF(AND('Q42028'!B11&lt;&gt;"",'Q42028'!E11&lt;&gt;""),'Q42028'!B11,"")</f>
        <v/>
      </c>
      <c r="C250" t="str">
        <f>IF(AND('Q42028'!B11&lt;&gt;"",'Q42028'!E11&lt;&gt;""),'Q42028'!C11,"")</f>
        <v/>
      </c>
      <c r="D250" t="str">
        <f>IF(AND('Q42028'!B11&lt;&gt;"",'Q42028'!E11&lt;&gt;""),'Q42028'!D11,"")</f>
        <v/>
      </c>
      <c r="E250" t="str">
        <f>IF(AND('Q42028'!B11&lt;&gt;"",'Q42028'!E11&lt;&gt;""),'Q42028'!H11,"")</f>
        <v/>
      </c>
      <c r="F250" t="str">
        <f>IF(AND('Q42028'!B11&lt;&gt;"",'Q42028'!E11&lt;&gt;""),'Q42028'!F11,"")</f>
        <v/>
      </c>
      <c r="G250" t="str">
        <f>IF(AND('Q42028'!B11&lt;&gt;"",'Q42028'!E11&lt;&gt;""),'Q42028'!G11,"")</f>
        <v/>
      </c>
      <c r="H250" t="str">
        <f>IF(AND('Q42028'!B11&lt;&gt;"",'Q42028'!E11&lt;&gt;""),"Q42028","")</f>
        <v/>
      </c>
      <c r="I250" t="str">
        <f>IF(A250="Q12028",COUNTIF($A$2:$A250,"Q12028"),"")</f>
        <v/>
      </c>
      <c r="J250" t="str">
        <f>IF(A250="Q22028",COUNTIF($A$2:$A250,"Q22028"),"")</f>
        <v/>
      </c>
      <c r="K250" t="str">
        <f>IF(A250="Q32028",COUNTIF($A$2:$A250,"Q32028"),"")</f>
        <v/>
      </c>
      <c r="L250" t="str">
        <f>IF(A250="Q42028",COUNTIF($A$2:$A250,"Q42028"),"")</f>
        <v/>
      </c>
      <c r="M250" t="str">
        <f>IF(A250="Backlog",COUNTIF($A$2:$A250,"Backlog"),"")</f>
        <v/>
      </c>
    </row>
    <row r="251" spans="1:13">
      <c r="A251" t="str">
        <f>IF(AND('Q42028'!B12&lt;&gt;"",'Q42028'!E12&lt;&gt;""),'Q42028'!E12,"")</f>
        <v/>
      </c>
      <c r="B251" t="str">
        <f>IF(AND('Q42028'!B12&lt;&gt;"",'Q42028'!E12&lt;&gt;""),'Q42028'!B12,"")</f>
        <v/>
      </c>
      <c r="C251" t="str">
        <f>IF(AND('Q42028'!B12&lt;&gt;"",'Q42028'!E12&lt;&gt;""),'Q42028'!C12,"")</f>
        <v/>
      </c>
      <c r="D251" t="str">
        <f>IF(AND('Q42028'!B12&lt;&gt;"",'Q42028'!E12&lt;&gt;""),'Q42028'!D12,"")</f>
        <v/>
      </c>
      <c r="E251" t="str">
        <f>IF(AND('Q42028'!B12&lt;&gt;"",'Q42028'!E12&lt;&gt;""),'Q42028'!H12,"")</f>
        <v/>
      </c>
      <c r="F251" t="str">
        <f>IF(AND('Q42028'!B12&lt;&gt;"",'Q42028'!E12&lt;&gt;""),'Q42028'!F12,"")</f>
        <v/>
      </c>
      <c r="G251" t="str">
        <f>IF(AND('Q42028'!B12&lt;&gt;"",'Q42028'!E12&lt;&gt;""),'Q42028'!G12,"")</f>
        <v/>
      </c>
      <c r="H251" t="str">
        <f>IF(AND('Q42028'!B12&lt;&gt;"",'Q42028'!E12&lt;&gt;""),"Q42028","")</f>
        <v/>
      </c>
      <c r="I251" t="str">
        <f>IF(A251="Q12028",COUNTIF($A$2:$A251,"Q12028"),"")</f>
        <v/>
      </c>
      <c r="J251" t="str">
        <f>IF(A251="Q22028",COUNTIF($A$2:$A251,"Q22028"),"")</f>
        <v/>
      </c>
      <c r="K251" t="str">
        <f>IF(A251="Q32028",COUNTIF($A$2:$A251,"Q32028"),"")</f>
        <v/>
      </c>
      <c r="L251" t="str">
        <f>IF(A251="Q42028",COUNTIF($A$2:$A251,"Q42028"),"")</f>
        <v/>
      </c>
      <c r="M251" t="str">
        <f>IF(A251="Backlog",COUNTIF($A$2:$A251,"Backlog"),"")</f>
        <v/>
      </c>
    </row>
    <row r="252" spans="1:13">
      <c r="A252" t="str">
        <f>IF(AND('Q42028'!B13&lt;&gt;"",'Q42028'!E13&lt;&gt;""),'Q42028'!E13,"")</f>
        <v/>
      </c>
      <c r="B252" t="str">
        <f>IF(AND('Q42028'!B13&lt;&gt;"",'Q42028'!E13&lt;&gt;""),'Q42028'!B13,"")</f>
        <v/>
      </c>
      <c r="C252" t="str">
        <f>IF(AND('Q42028'!B13&lt;&gt;"",'Q42028'!E13&lt;&gt;""),'Q42028'!C13,"")</f>
        <v/>
      </c>
      <c r="D252" t="str">
        <f>IF(AND('Q42028'!B13&lt;&gt;"",'Q42028'!E13&lt;&gt;""),'Q42028'!D13,"")</f>
        <v/>
      </c>
      <c r="E252" t="str">
        <f>IF(AND('Q42028'!B13&lt;&gt;"",'Q42028'!E13&lt;&gt;""),'Q42028'!H13,"")</f>
        <v/>
      </c>
      <c r="F252" t="str">
        <f>IF(AND('Q42028'!B13&lt;&gt;"",'Q42028'!E13&lt;&gt;""),'Q42028'!F13,"")</f>
        <v/>
      </c>
      <c r="G252" t="str">
        <f>IF(AND('Q42028'!B13&lt;&gt;"",'Q42028'!E13&lt;&gt;""),'Q42028'!G13,"")</f>
        <v/>
      </c>
      <c r="H252" t="str">
        <f>IF(AND('Q42028'!B13&lt;&gt;"",'Q42028'!E13&lt;&gt;""),"Q42028","")</f>
        <v/>
      </c>
      <c r="I252" t="str">
        <f>IF(A252="Q12028",COUNTIF($A$2:$A252,"Q12028"),"")</f>
        <v/>
      </c>
      <c r="J252" t="str">
        <f>IF(A252="Q22028",COUNTIF($A$2:$A252,"Q22028"),"")</f>
        <v/>
      </c>
      <c r="K252" t="str">
        <f>IF(A252="Q32028",COUNTIF($A$2:$A252,"Q32028"),"")</f>
        <v/>
      </c>
      <c r="L252" t="str">
        <f>IF(A252="Q42028",COUNTIF($A$2:$A252,"Q42028"),"")</f>
        <v/>
      </c>
      <c r="M252" t="str">
        <f>IF(A252="Backlog",COUNTIF($A$2:$A252,"Backlog"),"")</f>
        <v/>
      </c>
    </row>
    <row r="253" spans="1:13">
      <c r="A253" t="str">
        <f>IF(AND('Q42028'!B14&lt;&gt;"",'Q42028'!E14&lt;&gt;""),'Q42028'!E14,"")</f>
        <v/>
      </c>
      <c r="B253" t="str">
        <f>IF(AND('Q42028'!B14&lt;&gt;"",'Q42028'!E14&lt;&gt;""),'Q42028'!B14,"")</f>
        <v/>
      </c>
      <c r="C253" t="str">
        <f>IF(AND('Q42028'!B14&lt;&gt;"",'Q42028'!E14&lt;&gt;""),'Q42028'!C14,"")</f>
        <v/>
      </c>
      <c r="D253" t="str">
        <f>IF(AND('Q42028'!B14&lt;&gt;"",'Q42028'!E14&lt;&gt;""),'Q42028'!D14,"")</f>
        <v/>
      </c>
      <c r="E253" t="str">
        <f>IF(AND('Q42028'!B14&lt;&gt;"",'Q42028'!E14&lt;&gt;""),'Q42028'!H14,"")</f>
        <v/>
      </c>
      <c r="F253" t="str">
        <f>IF(AND('Q42028'!B14&lt;&gt;"",'Q42028'!E14&lt;&gt;""),'Q42028'!F14,"")</f>
        <v/>
      </c>
      <c r="G253" t="str">
        <f>IF(AND('Q42028'!B14&lt;&gt;"",'Q42028'!E14&lt;&gt;""),'Q42028'!G14,"")</f>
        <v/>
      </c>
      <c r="H253" t="str">
        <f>IF(AND('Q42028'!B14&lt;&gt;"",'Q42028'!E14&lt;&gt;""),"Q42028","")</f>
        <v/>
      </c>
      <c r="I253" t="str">
        <f>IF(A253="Q12028",COUNTIF($A$2:$A253,"Q12028"),"")</f>
        <v/>
      </c>
      <c r="J253" t="str">
        <f>IF(A253="Q22028",COUNTIF($A$2:$A253,"Q22028"),"")</f>
        <v/>
      </c>
      <c r="K253" t="str">
        <f>IF(A253="Q32028",COUNTIF($A$2:$A253,"Q32028"),"")</f>
        <v/>
      </c>
      <c r="L253" t="str">
        <f>IF(A253="Q42028",COUNTIF($A$2:$A253,"Q42028"),"")</f>
        <v/>
      </c>
      <c r="M253" t="str">
        <f>IF(A253="Backlog",COUNTIF($A$2:$A253,"Backlog"),"")</f>
        <v/>
      </c>
    </row>
    <row r="254" spans="1:13">
      <c r="A254" t="str">
        <f>IF(AND('Q42028'!B15&lt;&gt;"",'Q42028'!E15&lt;&gt;""),'Q42028'!E15,"")</f>
        <v/>
      </c>
      <c r="B254" t="str">
        <f>IF(AND('Q42028'!B15&lt;&gt;"",'Q42028'!E15&lt;&gt;""),'Q42028'!B15,"")</f>
        <v/>
      </c>
      <c r="C254" t="str">
        <f>IF(AND('Q42028'!B15&lt;&gt;"",'Q42028'!E15&lt;&gt;""),'Q42028'!C15,"")</f>
        <v/>
      </c>
      <c r="D254" t="str">
        <f>IF(AND('Q42028'!B15&lt;&gt;"",'Q42028'!E15&lt;&gt;""),'Q42028'!D15,"")</f>
        <v/>
      </c>
      <c r="E254" t="str">
        <f>IF(AND('Q42028'!B15&lt;&gt;"",'Q42028'!E15&lt;&gt;""),'Q42028'!H15,"")</f>
        <v/>
      </c>
      <c r="F254" t="str">
        <f>IF(AND('Q42028'!B15&lt;&gt;"",'Q42028'!E15&lt;&gt;""),'Q42028'!F15,"")</f>
        <v/>
      </c>
      <c r="G254" t="str">
        <f>IF(AND('Q42028'!B15&lt;&gt;"",'Q42028'!E15&lt;&gt;""),'Q42028'!G15,"")</f>
        <v/>
      </c>
      <c r="H254" t="str">
        <f>IF(AND('Q42028'!B15&lt;&gt;"",'Q42028'!E15&lt;&gt;""),"Q42028","")</f>
        <v/>
      </c>
      <c r="I254" t="str">
        <f>IF(A254="Q12028",COUNTIF($A$2:$A254,"Q12028"),"")</f>
        <v/>
      </c>
      <c r="J254" t="str">
        <f>IF(A254="Q22028",COUNTIF($A$2:$A254,"Q22028"),"")</f>
        <v/>
      </c>
      <c r="K254" t="str">
        <f>IF(A254="Q32028",COUNTIF($A$2:$A254,"Q32028"),"")</f>
        <v/>
      </c>
      <c r="L254" t="str">
        <f>IF(A254="Q42028",COUNTIF($A$2:$A254,"Q42028"),"")</f>
        <v/>
      </c>
      <c r="M254" t="str">
        <f>IF(A254="Backlog",COUNTIF($A$2:$A254,"Backlog"),"")</f>
        <v/>
      </c>
    </row>
    <row r="255" spans="1:13">
      <c r="A255" t="str">
        <f>IF(AND('Q42028'!B16&lt;&gt;"",'Q42028'!E16&lt;&gt;""),'Q42028'!E16,"")</f>
        <v/>
      </c>
      <c r="B255" t="str">
        <f>IF(AND('Q42028'!B16&lt;&gt;"",'Q42028'!E16&lt;&gt;""),'Q42028'!B16,"")</f>
        <v/>
      </c>
      <c r="C255" t="str">
        <f>IF(AND('Q42028'!B16&lt;&gt;"",'Q42028'!E16&lt;&gt;""),'Q42028'!C16,"")</f>
        <v/>
      </c>
      <c r="D255" t="str">
        <f>IF(AND('Q42028'!B16&lt;&gt;"",'Q42028'!E16&lt;&gt;""),'Q42028'!D16,"")</f>
        <v/>
      </c>
      <c r="E255" t="str">
        <f>IF(AND('Q42028'!B16&lt;&gt;"",'Q42028'!E16&lt;&gt;""),'Q42028'!H16,"")</f>
        <v/>
      </c>
      <c r="F255" t="str">
        <f>IF(AND('Q42028'!B16&lt;&gt;"",'Q42028'!E16&lt;&gt;""),'Q42028'!F16,"")</f>
        <v/>
      </c>
      <c r="G255" t="str">
        <f>IF(AND('Q42028'!B16&lt;&gt;"",'Q42028'!E16&lt;&gt;""),'Q42028'!G16,"")</f>
        <v/>
      </c>
      <c r="H255" t="str">
        <f>IF(AND('Q42028'!B16&lt;&gt;"",'Q42028'!E16&lt;&gt;""),"Q42028","")</f>
        <v/>
      </c>
      <c r="I255" t="str">
        <f>IF(A255="Q12028",COUNTIF($A$2:$A255,"Q12028"),"")</f>
        <v/>
      </c>
      <c r="J255" t="str">
        <f>IF(A255="Q22028",COUNTIF($A$2:$A255,"Q22028"),"")</f>
        <v/>
      </c>
      <c r="K255" t="str">
        <f>IF(A255="Q32028",COUNTIF($A$2:$A255,"Q32028"),"")</f>
        <v/>
      </c>
      <c r="L255" t="str">
        <f>IF(A255="Q42028",COUNTIF($A$2:$A255,"Q42028"),"")</f>
        <v/>
      </c>
      <c r="M255" t="str">
        <f>IF(A255="Backlog",COUNTIF($A$2:$A255,"Backlog"),"")</f>
        <v/>
      </c>
    </row>
    <row r="256" spans="1:13">
      <c r="A256" t="str">
        <f>IF(AND('Q42028'!B17&lt;&gt;"",'Q42028'!E17&lt;&gt;""),'Q42028'!E17,"")</f>
        <v/>
      </c>
      <c r="B256" t="str">
        <f>IF(AND('Q42028'!B17&lt;&gt;"",'Q42028'!E17&lt;&gt;""),'Q42028'!B17,"")</f>
        <v/>
      </c>
      <c r="C256" t="str">
        <f>IF(AND('Q42028'!B17&lt;&gt;"",'Q42028'!E17&lt;&gt;""),'Q42028'!C17,"")</f>
        <v/>
      </c>
      <c r="D256" t="str">
        <f>IF(AND('Q42028'!B17&lt;&gt;"",'Q42028'!E17&lt;&gt;""),'Q42028'!D17,"")</f>
        <v/>
      </c>
      <c r="E256" t="str">
        <f>IF(AND('Q42028'!B17&lt;&gt;"",'Q42028'!E17&lt;&gt;""),'Q42028'!H17,"")</f>
        <v/>
      </c>
      <c r="F256" t="str">
        <f>IF(AND('Q42028'!B17&lt;&gt;"",'Q42028'!E17&lt;&gt;""),'Q42028'!F17,"")</f>
        <v/>
      </c>
      <c r="G256" t="str">
        <f>IF(AND('Q42028'!B17&lt;&gt;"",'Q42028'!E17&lt;&gt;""),'Q42028'!G17,"")</f>
        <v/>
      </c>
      <c r="H256" t="str">
        <f>IF(AND('Q42028'!B17&lt;&gt;"",'Q42028'!E17&lt;&gt;""),"Q42028","")</f>
        <v/>
      </c>
      <c r="I256" t="str">
        <f>IF(A256="Q12028",COUNTIF($A$2:$A256,"Q12028"),"")</f>
        <v/>
      </c>
      <c r="J256" t="str">
        <f>IF(A256="Q22028",COUNTIF($A$2:$A256,"Q22028"),"")</f>
        <v/>
      </c>
      <c r="K256" t="str">
        <f>IF(A256="Q32028",COUNTIF($A$2:$A256,"Q32028"),"")</f>
        <v/>
      </c>
      <c r="L256" t="str">
        <f>IF(A256="Q42028",COUNTIF($A$2:$A256,"Q42028"),"")</f>
        <v/>
      </c>
      <c r="M256" t="str">
        <f>IF(A256="Backlog",COUNTIF($A$2:$A256,"Backlog"),"")</f>
        <v/>
      </c>
    </row>
    <row r="257" spans="1:13">
      <c r="A257" t="str">
        <f>IF(AND('Q42028'!B18&lt;&gt;"",'Q42028'!E18&lt;&gt;""),'Q42028'!E18,"")</f>
        <v/>
      </c>
      <c r="B257" t="str">
        <f>IF(AND('Q42028'!B18&lt;&gt;"",'Q42028'!E18&lt;&gt;""),'Q42028'!B18,"")</f>
        <v/>
      </c>
      <c r="C257" t="str">
        <f>IF(AND('Q42028'!B18&lt;&gt;"",'Q42028'!E18&lt;&gt;""),'Q42028'!C18,"")</f>
        <v/>
      </c>
      <c r="D257" t="str">
        <f>IF(AND('Q42028'!B18&lt;&gt;"",'Q42028'!E18&lt;&gt;""),'Q42028'!D18,"")</f>
        <v/>
      </c>
      <c r="E257" t="str">
        <f>IF(AND('Q42028'!B18&lt;&gt;"",'Q42028'!E18&lt;&gt;""),'Q42028'!H18,"")</f>
        <v/>
      </c>
      <c r="F257" t="str">
        <f>IF(AND('Q42028'!B18&lt;&gt;"",'Q42028'!E18&lt;&gt;""),'Q42028'!F18,"")</f>
        <v/>
      </c>
      <c r="G257" t="str">
        <f>IF(AND('Q42028'!B18&lt;&gt;"",'Q42028'!E18&lt;&gt;""),'Q42028'!G18,"")</f>
        <v/>
      </c>
      <c r="H257" t="str">
        <f>IF(AND('Q42028'!B18&lt;&gt;"",'Q42028'!E18&lt;&gt;""),"Q42028","")</f>
        <v/>
      </c>
      <c r="I257" t="str">
        <f>IF(A257="Q12028",COUNTIF($A$2:$A257,"Q12028"),"")</f>
        <v/>
      </c>
      <c r="J257" t="str">
        <f>IF(A257="Q22028",COUNTIF($A$2:$A257,"Q22028"),"")</f>
        <v/>
      </c>
      <c r="K257" t="str">
        <f>IF(A257="Q32028",COUNTIF($A$2:$A257,"Q32028"),"")</f>
        <v/>
      </c>
      <c r="L257" t="str">
        <f>IF(A257="Q42028",COUNTIF($A$2:$A257,"Q42028"),"")</f>
        <v/>
      </c>
      <c r="M257" t="str">
        <f>IF(A257="Backlog",COUNTIF($A$2:$A257,"Backlog"),"")</f>
        <v/>
      </c>
    </row>
    <row r="258" spans="1:13">
      <c r="A258" t="str">
        <f>IF(AND('Q42028'!B19&lt;&gt;"",'Q42028'!E19&lt;&gt;""),'Q42028'!E19,"")</f>
        <v/>
      </c>
      <c r="B258" t="str">
        <f>IF(AND('Q42028'!B19&lt;&gt;"",'Q42028'!E19&lt;&gt;""),'Q42028'!B19,"")</f>
        <v/>
      </c>
      <c r="C258" t="str">
        <f>IF(AND('Q42028'!B19&lt;&gt;"",'Q42028'!E19&lt;&gt;""),'Q42028'!C19,"")</f>
        <v/>
      </c>
      <c r="D258" t="str">
        <f>IF(AND('Q42028'!B19&lt;&gt;"",'Q42028'!E19&lt;&gt;""),'Q42028'!D19,"")</f>
        <v/>
      </c>
      <c r="E258" t="str">
        <f>IF(AND('Q42028'!B19&lt;&gt;"",'Q42028'!E19&lt;&gt;""),'Q42028'!H19,"")</f>
        <v/>
      </c>
      <c r="F258" t="str">
        <f>IF(AND('Q42028'!B19&lt;&gt;"",'Q42028'!E19&lt;&gt;""),'Q42028'!F19,"")</f>
        <v/>
      </c>
      <c r="G258" t="str">
        <f>IF(AND('Q42028'!B19&lt;&gt;"",'Q42028'!E19&lt;&gt;""),'Q42028'!G19,"")</f>
        <v/>
      </c>
      <c r="H258" t="str">
        <f>IF(AND('Q42028'!B19&lt;&gt;"",'Q42028'!E19&lt;&gt;""),"Q42028","")</f>
        <v/>
      </c>
      <c r="I258" t="str">
        <f>IF(A258="Q12028",COUNTIF($A$2:$A258,"Q12028"),"")</f>
        <v/>
      </c>
      <c r="J258" t="str">
        <f>IF(A258="Q22028",COUNTIF($A$2:$A258,"Q22028"),"")</f>
        <v/>
      </c>
      <c r="K258" t="str">
        <f>IF(A258="Q32028",COUNTIF($A$2:$A258,"Q32028"),"")</f>
        <v/>
      </c>
      <c r="L258" t="str">
        <f>IF(A258="Q42028",COUNTIF($A$2:$A258,"Q42028"),"")</f>
        <v/>
      </c>
      <c r="M258" t="str">
        <f>IF(A258="Backlog",COUNTIF($A$2:$A258,"Backlog"),"")</f>
        <v/>
      </c>
    </row>
    <row r="259" spans="1:13">
      <c r="A259" t="str">
        <f>IF(AND('Q42028'!B20&lt;&gt;"",'Q42028'!E20&lt;&gt;""),'Q42028'!E20,"")</f>
        <v/>
      </c>
      <c r="B259" t="str">
        <f>IF(AND('Q42028'!B20&lt;&gt;"",'Q42028'!E20&lt;&gt;""),'Q42028'!B20,"")</f>
        <v/>
      </c>
      <c r="C259" t="str">
        <f>IF(AND('Q42028'!B20&lt;&gt;"",'Q42028'!E20&lt;&gt;""),'Q42028'!C20,"")</f>
        <v/>
      </c>
      <c r="D259" t="str">
        <f>IF(AND('Q42028'!B20&lt;&gt;"",'Q42028'!E20&lt;&gt;""),'Q42028'!D20,"")</f>
        <v/>
      </c>
      <c r="E259" t="str">
        <f>IF(AND('Q42028'!B20&lt;&gt;"",'Q42028'!E20&lt;&gt;""),'Q42028'!H20,"")</f>
        <v/>
      </c>
      <c r="F259" t="str">
        <f>IF(AND('Q42028'!B20&lt;&gt;"",'Q42028'!E20&lt;&gt;""),'Q42028'!F20,"")</f>
        <v/>
      </c>
      <c r="G259" t="str">
        <f>IF(AND('Q42028'!B20&lt;&gt;"",'Q42028'!E20&lt;&gt;""),'Q42028'!G20,"")</f>
        <v/>
      </c>
      <c r="H259" t="str">
        <f>IF(AND('Q42028'!B20&lt;&gt;"",'Q42028'!E20&lt;&gt;""),"Q42028","")</f>
        <v/>
      </c>
      <c r="I259" t="str">
        <f>IF(A259="Q12028",COUNTIF($A$2:$A259,"Q12028"),"")</f>
        <v/>
      </c>
      <c r="J259" t="str">
        <f>IF(A259="Q22028",COUNTIF($A$2:$A259,"Q22028"),"")</f>
        <v/>
      </c>
      <c r="K259" t="str">
        <f>IF(A259="Q32028",COUNTIF($A$2:$A259,"Q32028"),"")</f>
        <v/>
      </c>
      <c r="L259" t="str">
        <f>IF(A259="Q42028",COUNTIF($A$2:$A259,"Q42028"),"")</f>
        <v/>
      </c>
      <c r="M259" t="str">
        <f>IF(A259="Backlog",COUNTIF($A$2:$A259,"Backlog"),"")</f>
        <v/>
      </c>
    </row>
    <row r="260" spans="1:13">
      <c r="A260" t="str">
        <f>IF(AND('Q42028'!B21&lt;&gt;"",'Q42028'!E21&lt;&gt;""),'Q42028'!E21,"")</f>
        <v/>
      </c>
      <c r="B260" t="str">
        <f>IF(AND('Q42028'!B21&lt;&gt;"",'Q42028'!E21&lt;&gt;""),'Q42028'!B21,"")</f>
        <v/>
      </c>
      <c r="C260" t="str">
        <f>IF(AND('Q42028'!B21&lt;&gt;"",'Q42028'!E21&lt;&gt;""),'Q42028'!C21,"")</f>
        <v/>
      </c>
      <c r="D260" t="str">
        <f>IF(AND('Q42028'!B21&lt;&gt;"",'Q42028'!E21&lt;&gt;""),'Q42028'!D21,"")</f>
        <v/>
      </c>
      <c r="E260" t="str">
        <f>IF(AND('Q42028'!B21&lt;&gt;"",'Q42028'!E21&lt;&gt;""),'Q42028'!H21,"")</f>
        <v/>
      </c>
      <c r="F260" t="str">
        <f>IF(AND('Q42028'!B21&lt;&gt;"",'Q42028'!E21&lt;&gt;""),'Q42028'!F21,"")</f>
        <v/>
      </c>
      <c r="G260" t="str">
        <f>IF(AND('Q42028'!B21&lt;&gt;"",'Q42028'!E21&lt;&gt;""),'Q42028'!G21,"")</f>
        <v/>
      </c>
      <c r="H260" t="str">
        <f>IF(AND('Q42028'!B21&lt;&gt;"",'Q42028'!E21&lt;&gt;""),"Q42028","")</f>
        <v/>
      </c>
      <c r="I260" t="str">
        <f>IF(A260="Q12028",COUNTIF($A$2:$A260,"Q12028"),"")</f>
        <v/>
      </c>
      <c r="J260" t="str">
        <f>IF(A260="Q22028",COUNTIF($A$2:$A260,"Q22028"),"")</f>
        <v/>
      </c>
      <c r="K260" t="str">
        <f>IF(A260="Q32028",COUNTIF($A$2:$A260,"Q32028"),"")</f>
        <v/>
      </c>
      <c r="L260" t="str">
        <f>IF(A260="Q42028",COUNTIF($A$2:$A260,"Q42028"),"")</f>
        <v/>
      </c>
      <c r="M260" t="str">
        <f>IF(A260="Backlog",COUNTIF($A$2:$A260,"Backlog"),"")</f>
        <v/>
      </c>
    </row>
    <row r="261" spans="1:13">
      <c r="A261" t="str">
        <f>IF(AND('Q42028'!B22&lt;&gt;"",'Q42028'!E22&lt;&gt;""),'Q42028'!E22,"")</f>
        <v/>
      </c>
      <c r="B261" t="str">
        <f>IF(AND('Q42028'!B22&lt;&gt;"",'Q42028'!E22&lt;&gt;""),'Q42028'!B22,"")</f>
        <v/>
      </c>
      <c r="C261" t="str">
        <f>IF(AND('Q42028'!B22&lt;&gt;"",'Q42028'!E22&lt;&gt;""),'Q42028'!C22,"")</f>
        <v/>
      </c>
      <c r="D261" t="str">
        <f>IF(AND('Q42028'!B22&lt;&gt;"",'Q42028'!E22&lt;&gt;""),'Q42028'!D22,"")</f>
        <v/>
      </c>
      <c r="E261" t="str">
        <f>IF(AND('Q42028'!B22&lt;&gt;"",'Q42028'!E22&lt;&gt;""),'Q42028'!H22,"")</f>
        <v/>
      </c>
      <c r="F261" t="str">
        <f>IF(AND('Q42028'!B22&lt;&gt;"",'Q42028'!E22&lt;&gt;""),'Q42028'!F22,"")</f>
        <v/>
      </c>
      <c r="G261" t="str">
        <f>IF(AND('Q42028'!B22&lt;&gt;"",'Q42028'!E22&lt;&gt;""),'Q42028'!G22,"")</f>
        <v/>
      </c>
      <c r="H261" t="str">
        <f>IF(AND('Q42028'!B22&lt;&gt;"",'Q42028'!E22&lt;&gt;""),"Q42028","")</f>
        <v/>
      </c>
      <c r="I261" t="str">
        <f>IF(A261="Q12028",COUNTIF($A$2:$A261,"Q12028"),"")</f>
        <v/>
      </c>
      <c r="J261" t="str">
        <f>IF(A261="Q22028",COUNTIF($A$2:$A261,"Q22028"),"")</f>
        <v/>
      </c>
      <c r="K261" t="str">
        <f>IF(A261="Q32028",COUNTIF($A$2:$A261,"Q32028"),"")</f>
        <v/>
      </c>
      <c r="L261" t="str">
        <f>IF(A261="Q42028",COUNTIF($A$2:$A261,"Q42028"),"")</f>
        <v/>
      </c>
      <c r="M261" t="str">
        <f>IF(A261="Backlog",COUNTIF($A$2:$A261,"Backlog"),"")</f>
        <v/>
      </c>
    </row>
    <row r="262" spans="1:13">
      <c r="A262" t="str">
        <f>IF(AND('Q42028'!B23&lt;&gt;"",'Q42028'!E23&lt;&gt;""),'Q42028'!E23,"")</f>
        <v/>
      </c>
      <c r="B262" t="str">
        <f>IF(AND('Q42028'!B23&lt;&gt;"",'Q42028'!E23&lt;&gt;""),'Q42028'!B23,"")</f>
        <v/>
      </c>
      <c r="C262" t="str">
        <f>IF(AND('Q42028'!B23&lt;&gt;"",'Q42028'!E23&lt;&gt;""),'Q42028'!C23,"")</f>
        <v/>
      </c>
      <c r="D262" t="str">
        <f>IF(AND('Q42028'!B23&lt;&gt;"",'Q42028'!E23&lt;&gt;""),'Q42028'!D23,"")</f>
        <v/>
      </c>
      <c r="E262" t="str">
        <f>IF(AND('Q42028'!B23&lt;&gt;"",'Q42028'!E23&lt;&gt;""),'Q42028'!H23,"")</f>
        <v/>
      </c>
      <c r="F262" t="str">
        <f>IF(AND('Q42028'!B23&lt;&gt;"",'Q42028'!E23&lt;&gt;""),'Q42028'!F23,"")</f>
        <v/>
      </c>
      <c r="G262" t="str">
        <f>IF(AND('Q42028'!B23&lt;&gt;"",'Q42028'!E23&lt;&gt;""),'Q42028'!G23,"")</f>
        <v/>
      </c>
      <c r="H262" t="str">
        <f>IF(AND('Q42028'!B23&lt;&gt;"",'Q42028'!E23&lt;&gt;""),"Q42028","")</f>
        <v/>
      </c>
      <c r="I262" t="str">
        <f>IF(A262="Q12028",COUNTIF($A$2:$A262,"Q12028"),"")</f>
        <v/>
      </c>
      <c r="J262" t="str">
        <f>IF(A262="Q22028",COUNTIF($A$2:$A262,"Q22028"),"")</f>
        <v/>
      </c>
      <c r="K262" t="str">
        <f>IF(A262="Q32028",COUNTIF($A$2:$A262,"Q32028"),"")</f>
        <v/>
      </c>
      <c r="L262" t="str">
        <f>IF(A262="Q42028",COUNTIF($A$2:$A262,"Q42028"),"")</f>
        <v/>
      </c>
      <c r="M262" t="str">
        <f>IF(A262="Backlog",COUNTIF($A$2:$A262,"Backlog"),"")</f>
        <v/>
      </c>
    </row>
    <row r="263" spans="1:13">
      <c r="A263" t="str">
        <f>IF(AND('Q42028'!B24&lt;&gt;"",'Q42028'!E24&lt;&gt;""),'Q42028'!E24,"")</f>
        <v/>
      </c>
      <c r="B263" t="str">
        <f>IF(AND('Q42028'!B24&lt;&gt;"",'Q42028'!E24&lt;&gt;""),'Q42028'!B24,"")</f>
        <v/>
      </c>
      <c r="C263" t="str">
        <f>IF(AND('Q42028'!B24&lt;&gt;"",'Q42028'!E24&lt;&gt;""),'Q42028'!C24,"")</f>
        <v/>
      </c>
      <c r="D263" t="str">
        <f>IF(AND('Q42028'!B24&lt;&gt;"",'Q42028'!E24&lt;&gt;""),'Q42028'!D24,"")</f>
        <v/>
      </c>
      <c r="E263" t="str">
        <f>IF(AND('Q42028'!B24&lt;&gt;"",'Q42028'!E24&lt;&gt;""),'Q42028'!H24,"")</f>
        <v/>
      </c>
      <c r="F263" t="str">
        <f>IF(AND('Q42028'!B24&lt;&gt;"",'Q42028'!E24&lt;&gt;""),'Q42028'!F24,"")</f>
        <v/>
      </c>
      <c r="G263" t="str">
        <f>IF(AND('Q42028'!B24&lt;&gt;"",'Q42028'!E24&lt;&gt;""),'Q42028'!G24,"")</f>
        <v/>
      </c>
      <c r="H263" t="str">
        <f>IF(AND('Q42028'!B24&lt;&gt;"",'Q42028'!E24&lt;&gt;""),"Q42028","")</f>
        <v/>
      </c>
      <c r="I263" t="str">
        <f>IF(A263="Q12028",COUNTIF($A$2:$A263,"Q12028"),"")</f>
        <v/>
      </c>
      <c r="J263" t="str">
        <f>IF(A263="Q22028",COUNTIF($A$2:$A263,"Q22028"),"")</f>
        <v/>
      </c>
      <c r="K263" t="str">
        <f>IF(A263="Q32028",COUNTIF($A$2:$A263,"Q32028"),"")</f>
        <v/>
      </c>
      <c r="L263" t="str">
        <f>IF(A263="Q42028",COUNTIF($A$2:$A263,"Q42028"),"")</f>
        <v/>
      </c>
      <c r="M263" t="str">
        <f>IF(A263="Backlog",COUNTIF($A$2:$A263,"Backlog"),"")</f>
        <v/>
      </c>
    </row>
    <row r="264" spans="1:13">
      <c r="A264" t="str">
        <f>IF(AND('Q42028'!B25&lt;&gt;"",'Q42028'!E25&lt;&gt;""),'Q42028'!E25,"")</f>
        <v/>
      </c>
      <c r="B264" t="str">
        <f>IF(AND('Q42028'!B25&lt;&gt;"",'Q42028'!E25&lt;&gt;""),'Q42028'!B25,"")</f>
        <v/>
      </c>
      <c r="C264" t="str">
        <f>IF(AND('Q42028'!B25&lt;&gt;"",'Q42028'!E25&lt;&gt;""),'Q42028'!C25,"")</f>
        <v/>
      </c>
      <c r="D264" t="str">
        <f>IF(AND('Q42028'!B25&lt;&gt;"",'Q42028'!E25&lt;&gt;""),'Q42028'!D25,"")</f>
        <v/>
      </c>
      <c r="E264" t="str">
        <f>IF(AND('Q42028'!B25&lt;&gt;"",'Q42028'!E25&lt;&gt;""),'Q42028'!H25,"")</f>
        <v/>
      </c>
      <c r="F264" t="str">
        <f>IF(AND('Q42028'!B25&lt;&gt;"",'Q42028'!E25&lt;&gt;""),'Q42028'!F25,"")</f>
        <v/>
      </c>
      <c r="G264" t="str">
        <f>IF(AND('Q42028'!B25&lt;&gt;"",'Q42028'!E25&lt;&gt;""),'Q42028'!G25,"")</f>
        <v/>
      </c>
      <c r="H264" t="str">
        <f>IF(AND('Q42028'!B25&lt;&gt;"",'Q42028'!E25&lt;&gt;""),"Q42028","")</f>
        <v/>
      </c>
      <c r="I264" t="str">
        <f>IF(A264="Q12028",COUNTIF($A$2:$A264,"Q12028"),"")</f>
        <v/>
      </c>
      <c r="J264" t="str">
        <f>IF(A264="Q22028",COUNTIF($A$2:$A264,"Q22028"),"")</f>
        <v/>
      </c>
      <c r="K264" t="str">
        <f>IF(A264="Q32028",COUNTIF($A$2:$A264,"Q32028"),"")</f>
        <v/>
      </c>
      <c r="L264" t="str">
        <f>IF(A264="Q42028",COUNTIF($A$2:$A264,"Q42028"),"")</f>
        <v/>
      </c>
      <c r="M264" t="str">
        <f>IF(A264="Backlog",COUNTIF($A$2:$A264,"Backlog"),"")</f>
        <v/>
      </c>
    </row>
    <row r="265" spans="1:13">
      <c r="A265" t="str">
        <f>IF(AND('Q42028'!B26&lt;&gt;"",'Q42028'!E26&lt;&gt;""),'Q42028'!E26,"")</f>
        <v/>
      </c>
      <c r="B265" t="str">
        <f>IF(AND('Q42028'!B26&lt;&gt;"",'Q42028'!E26&lt;&gt;""),'Q42028'!B26,"")</f>
        <v/>
      </c>
      <c r="C265" t="str">
        <f>IF(AND('Q42028'!B26&lt;&gt;"",'Q42028'!E26&lt;&gt;""),'Q42028'!C26,"")</f>
        <v/>
      </c>
      <c r="D265" t="str">
        <f>IF(AND('Q42028'!B26&lt;&gt;"",'Q42028'!E26&lt;&gt;""),'Q42028'!D26,"")</f>
        <v/>
      </c>
      <c r="E265" t="str">
        <f>IF(AND('Q42028'!B26&lt;&gt;"",'Q42028'!E26&lt;&gt;""),'Q42028'!H26,"")</f>
        <v/>
      </c>
      <c r="F265" t="str">
        <f>IF(AND('Q42028'!B26&lt;&gt;"",'Q42028'!E26&lt;&gt;""),'Q42028'!F26,"")</f>
        <v/>
      </c>
      <c r="G265" t="str">
        <f>IF(AND('Q42028'!B26&lt;&gt;"",'Q42028'!E26&lt;&gt;""),'Q42028'!G26,"")</f>
        <v/>
      </c>
      <c r="H265" t="str">
        <f>IF(AND('Q42028'!B26&lt;&gt;"",'Q42028'!E26&lt;&gt;""),"Q42028","")</f>
        <v/>
      </c>
      <c r="I265" t="str">
        <f>IF(A265="Q12028",COUNTIF($A$2:$A265,"Q12028"),"")</f>
        <v/>
      </c>
      <c r="J265" t="str">
        <f>IF(A265="Q22028",COUNTIF($A$2:$A265,"Q22028"),"")</f>
        <v/>
      </c>
      <c r="K265" t="str">
        <f>IF(A265="Q32028",COUNTIF($A$2:$A265,"Q32028"),"")</f>
        <v/>
      </c>
      <c r="L265" t="str">
        <f>IF(A265="Q42028",COUNTIF($A$2:$A265,"Q42028"),"")</f>
        <v/>
      </c>
      <c r="M265" t="str">
        <f>IF(A265="Backlog",COUNTIF($A$2:$A265,"Backlog"),"")</f>
        <v/>
      </c>
    </row>
    <row r="266" spans="1:13">
      <c r="A266" t="str">
        <f>IF(AND('Q42028'!B27&lt;&gt;"",'Q42028'!E27&lt;&gt;""),'Q42028'!E27,"")</f>
        <v/>
      </c>
      <c r="B266" t="str">
        <f>IF(AND('Q42028'!B27&lt;&gt;"",'Q42028'!E27&lt;&gt;""),'Q42028'!B27,"")</f>
        <v/>
      </c>
      <c r="C266" t="str">
        <f>IF(AND('Q42028'!B27&lt;&gt;"",'Q42028'!E27&lt;&gt;""),'Q42028'!C27,"")</f>
        <v/>
      </c>
      <c r="D266" t="str">
        <f>IF(AND('Q42028'!B27&lt;&gt;"",'Q42028'!E27&lt;&gt;""),'Q42028'!D27,"")</f>
        <v/>
      </c>
      <c r="E266" t="str">
        <f>IF(AND('Q42028'!B27&lt;&gt;"",'Q42028'!E27&lt;&gt;""),'Q42028'!H27,"")</f>
        <v/>
      </c>
      <c r="F266" t="str">
        <f>IF(AND('Q42028'!B27&lt;&gt;"",'Q42028'!E27&lt;&gt;""),'Q42028'!F27,"")</f>
        <v/>
      </c>
      <c r="G266" t="str">
        <f>IF(AND('Q42028'!B27&lt;&gt;"",'Q42028'!E27&lt;&gt;""),'Q42028'!G27,"")</f>
        <v/>
      </c>
      <c r="H266" t="str">
        <f>IF(AND('Q42028'!B27&lt;&gt;"",'Q42028'!E27&lt;&gt;""),"Q42028","")</f>
        <v/>
      </c>
      <c r="I266" t="str">
        <f>IF(A266="Q12028",COUNTIF($A$2:$A266,"Q12028"),"")</f>
        <v/>
      </c>
      <c r="J266" t="str">
        <f>IF(A266="Q22028",COUNTIF($A$2:$A266,"Q22028"),"")</f>
        <v/>
      </c>
      <c r="K266" t="str">
        <f>IF(A266="Q32028",COUNTIF($A$2:$A266,"Q32028"),"")</f>
        <v/>
      </c>
      <c r="L266" t="str">
        <f>IF(A266="Q42028",COUNTIF($A$2:$A266,"Q42028"),"")</f>
        <v/>
      </c>
      <c r="M266" t="str">
        <f>IF(A266="Backlog",COUNTIF($A$2:$A266,"Backlog"),"")</f>
        <v/>
      </c>
    </row>
    <row r="267" spans="1:13">
      <c r="A267" t="str">
        <f>IF(AND('Q42028'!B28&lt;&gt;"",'Q42028'!E28&lt;&gt;""),'Q42028'!E28,"")</f>
        <v/>
      </c>
      <c r="B267" t="str">
        <f>IF(AND('Q42028'!B28&lt;&gt;"",'Q42028'!E28&lt;&gt;""),'Q42028'!B28,"")</f>
        <v/>
      </c>
      <c r="C267" t="str">
        <f>IF(AND('Q42028'!B28&lt;&gt;"",'Q42028'!E28&lt;&gt;""),'Q42028'!C28,"")</f>
        <v/>
      </c>
      <c r="D267" t="str">
        <f>IF(AND('Q42028'!B28&lt;&gt;"",'Q42028'!E28&lt;&gt;""),'Q42028'!D28,"")</f>
        <v/>
      </c>
      <c r="E267" t="str">
        <f>IF(AND('Q42028'!B28&lt;&gt;"",'Q42028'!E28&lt;&gt;""),'Q42028'!H28,"")</f>
        <v/>
      </c>
      <c r="F267" t="str">
        <f>IF(AND('Q42028'!B28&lt;&gt;"",'Q42028'!E28&lt;&gt;""),'Q42028'!F28,"")</f>
        <v/>
      </c>
      <c r="G267" t="str">
        <f>IF(AND('Q42028'!B28&lt;&gt;"",'Q42028'!E28&lt;&gt;""),'Q42028'!G28,"")</f>
        <v/>
      </c>
      <c r="H267" t="str">
        <f>IF(AND('Q42028'!B28&lt;&gt;"",'Q42028'!E28&lt;&gt;""),"Q42028","")</f>
        <v/>
      </c>
      <c r="I267" t="str">
        <f>IF(A267="Q12028",COUNTIF($A$2:$A267,"Q12028"),"")</f>
        <v/>
      </c>
      <c r="J267" t="str">
        <f>IF(A267="Q22028",COUNTIF($A$2:$A267,"Q22028"),"")</f>
        <v/>
      </c>
      <c r="K267" t="str">
        <f>IF(A267="Q32028",COUNTIF($A$2:$A267,"Q32028"),"")</f>
        <v/>
      </c>
      <c r="L267" t="str">
        <f>IF(A267="Q42028",COUNTIF($A$2:$A267,"Q42028"),"")</f>
        <v/>
      </c>
      <c r="M267" t="str">
        <f>IF(A267="Backlog",COUNTIF($A$2:$A267,"Backlog"),"")</f>
        <v/>
      </c>
    </row>
    <row r="268" spans="1:13">
      <c r="A268" t="str">
        <f>IF(AND('Q42028'!B29&lt;&gt;"",'Q42028'!E29&lt;&gt;""),'Q42028'!E29,"")</f>
        <v/>
      </c>
      <c r="B268" t="str">
        <f>IF(AND('Q42028'!B29&lt;&gt;"",'Q42028'!E29&lt;&gt;""),'Q42028'!B29,"")</f>
        <v/>
      </c>
      <c r="C268" t="str">
        <f>IF(AND('Q42028'!B29&lt;&gt;"",'Q42028'!E29&lt;&gt;""),'Q42028'!C29,"")</f>
        <v/>
      </c>
      <c r="D268" t="str">
        <f>IF(AND('Q42028'!B29&lt;&gt;"",'Q42028'!E29&lt;&gt;""),'Q42028'!D29,"")</f>
        <v/>
      </c>
      <c r="E268" t="str">
        <f>IF(AND('Q42028'!B29&lt;&gt;"",'Q42028'!E29&lt;&gt;""),'Q42028'!H29,"")</f>
        <v/>
      </c>
      <c r="F268" t="str">
        <f>IF(AND('Q42028'!B29&lt;&gt;"",'Q42028'!E29&lt;&gt;""),'Q42028'!F29,"")</f>
        <v/>
      </c>
      <c r="G268" t="str">
        <f>IF(AND('Q42028'!B29&lt;&gt;"",'Q42028'!E29&lt;&gt;""),'Q42028'!G29,"")</f>
        <v/>
      </c>
      <c r="H268" t="str">
        <f>IF(AND('Q42028'!B29&lt;&gt;"",'Q42028'!E29&lt;&gt;""),"Q42028","")</f>
        <v/>
      </c>
      <c r="I268" t="str">
        <f>IF(A268="Q12028",COUNTIF($A$2:$A268,"Q12028"),"")</f>
        <v/>
      </c>
      <c r="J268" t="str">
        <f>IF(A268="Q22028",COUNTIF($A$2:$A268,"Q22028"),"")</f>
        <v/>
      </c>
      <c r="K268" t="str">
        <f>IF(A268="Q32028",COUNTIF($A$2:$A268,"Q32028"),"")</f>
        <v/>
      </c>
      <c r="L268" t="str">
        <f>IF(A268="Q42028",COUNTIF($A$2:$A268,"Q42028"),"")</f>
        <v/>
      </c>
      <c r="M268" t="str">
        <f>IF(A268="Backlog",COUNTIF($A$2:$A268,"Backlog"),"")</f>
        <v/>
      </c>
    </row>
    <row r="269" spans="1:13">
      <c r="A269" t="str">
        <f>IF(AND('Q42028'!B30&lt;&gt;"",'Q42028'!E30&lt;&gt;""),'Q42028'!E30,"")</f>
        <v/>
      </c>
      <c r="B269" t="str">
        <f>IF(AND('Q42028'!B30&lt;&gt;"",'Q42028'!E30&lt;&gt;""),'Q42028'!B30,"")</f>
        <v/>
      </c>
      <c r="C269" t="str">
        <f>IF(AND('Q42028'!B30&lt;&gt;"",'Q42028'!E30&lt;&gt;""),'Q42028'!C30,"")</f>
        <v/>
      </c>
      <c r="D269" t="str">
        <f>IF(AND('Q42028'!B30&lt;&gt;"",'Q42028'!E30&lt;&gt;""),'Q42028'!D30,"")</f>
        <v/>
      </c>
      <c r="E269" t="str">
        <f>IF(AND('Q42028'!B30&lt;&gt;"",'Q42028'!E30&lt;&gt;""),'Q42028'!H30,"")</f>
        <v/>
      </c>
      <c r="F269" t="str">
        <f>IF(AND('Q42028'!B30&lt;&gt;"",'Q42028'!E30&lt;&gt;""),'Q42028'!F30,"")</f>
        <v/>
      </c>
      <c r="G269" t="str">
        <f>IF(AND('Q42028'!B30&lt;&gt;"",'Q42028'!E30&lt;&gt;""),'Q42028'!G30,"")</f>
        <v/>
      </c>
      <c r="H269" t="str">
        <f>IF(AND('Q42028'!B30&lt;&gt;"",'Q42028'!E30&lt;&gt;""),"Q42028","")</f>
        <v/>
      </c>
      <c r="I269" t="str">
        <f>IF(A269="Q12028",COUNTIF($A$2:$A269,"Q12028"),"")</f>
        <v/>
      </c>
      <c r="J269" t="str">
        <f>IF(A269="Q22028",COUNTIF($A$2:$A269,"Q22028"),"")</f>
        <v/>
      </c>
      <c r="K269" t="str">
        <f>IF(A269="Q32028",COUNTIF($A$2:$A269,"Q32028"),"")</f>
        <v/>
      </c>
      <c r="L269" t="str">
        <f>IF(A269="Q42028",COUNTIF($A$2:$A269,"Q42028"),"")</f>
        <v/>
      </c>
      <c r="M269" t="str">
        <f>IF(A269="Backlog",COUNTIF($A$2:$A269,"Backlog"),"")</f>
        <v/>
      </c>
    </row>
    <row r="270" spans="1:13">
      <c r="A270" t="str">
        <f>IF(AND('Q42028'!B31&lt;&gt;"",'Q42028'!E31&lt;&gt;""),'Q42028'!E31,"")</f>
        <v/>
      </c>
      <c r="B270" t="str">
        <f>IF(AND('Q42028'!B31&lt;&gt;"",'Q42028'!E31&lt;&gt;""),'Q42028'!B31,"")</f>
        <v/>
      </c>
      <c r="C270" t="str">
        <f>IF(AND('Q42028'!B31&lt;&gt;"",'Q42028'!E31&lt;&gt;""),'Q42028'!C31,"")</f>
        <v/>
      </c>
      <c r="D270" t="str">
        <f>IF(AND('Q42028'!B31&lt;&gt;"",'Q42028'!E31&lt;&gt;""),'Q42028'!D31,"")</f>
        <v/>
      </c>
      <c r="E270" t="str">
        <f>IF(AND('Q42028'!B31&lt;&gt;"",'Q42028'!E31&lt;&gt;""),'Q42028'!H31,"")</f>
        <v/>
      </c>
      <c r="F270" t="str">
        <f>IF(AND('Q42028'!B31&lt;&gt;"",'Q42028'!E31&lt;&gt;""),'Q42028'!F31,"")</f>
        <v/>
      </c>
      <c r="G270" t="str">
        <f>IF(AND('Q42028'!B31&lt;&gt;"",'Q42028'!E31&lt;&gt;""),'Q42028'!G31,"")</f>
        <v/>
      </c>
      <c r="H270" t="str">
        <f>IF(AND('Q42028'!B31&lt;&gt;"",'Q42028'!E31&lt;&gt;""),"Q42028","")</f>
        <v/>
      </c>
      <c r="I270" t="str">
        <f>IF(A270="Q12028",COUNTIF($A$2:$A270,"Q12028"),"")</f>
        <v/>
      </c>
      <c r="J270" t="str">
        <f>IF(A270="Q22028",COUNTIF($A$2:$A270,"Q22028"),"")</f>
        <v/>
      </c>
      <c r="K270" t="str">
        <f>IF(A270="Q32028",COUNTIF($A$2:$A270,"Q32028"),"")</f>
        <v/>
      </c>
      <c r="L270" t="str">
        <f>IF(A270="Q42028",COUNTIF($A$2:$A270,"Q42028"),"")</f>
        <v/>
      </c>
      <c r="M270" t="str">
        <f>IF(A270="Backlog",COUNTIF($A$2:$A270,"Backlog"),"")</f>
        <v/>
      </c>
    </row>
    <row r="271" spans="1:13">
      <c r="A271" t="str">
        <f>IF(AND('Q42028'!B32&lt;&gt;"",'Q42028'!E32&lt;&gt;""),'Q42028'!E32,"")</f>
        <v/>
      </c>
      <c r="B271" t="str">
        <f>IF(AND('Q42028'!B32&lt;&gt;"",'Q42028'!E32&lt;&gt;""),'Q42028'!B32,"")</f>
        <v/>
      </c>
      <c r="C271" t="str">
        <f>IF(AND('Q42028'!B32&lt;&gt;"",'Q42028'!E32&lt;&gt;""),'Q42028'!C32,"")</f>
        <v/>
      </c>
      <c r="D271" t="str">
        <f>IF(AND('Q42028'!B32&lt;&gt;"",'Q42028'!E32&lt;&gt;""),'Q42028'!D32,"")</f>
        <v/>
      </c>
      <c r="E271" t="str">
        <f>IF(AND('Q42028'!B32&lt;&gt;"",'Q42028'!E32&lt;&gt;""),'Q42028'!H32,"")</f>
        <v/>
      </c>
      <c r="F271" t="str">
        <f>IF(AND('Q42028'!B32&lt;&gt;"",'Q42028'!E32&lt;&gt;""),'Q42028'!F32,"")</f>
        <v/>
      </c>
      <c r="G271" t="str">
        <f>IF(AND('Q42028'!B32&lt;&gt;"",'Q42028'!E32&lt;&gt;""),'Q42028'!G32,"")</f>
        <v/>
      </c>
      <c r="H271" t="str">
        <f>IF(AND('Q42028'!B32&lt;&gt;"",'Q42028'!E32&lt;&gt;""),"Q42028","")</f>
        <v/>
      </c>
      <c r="I271" t="str">
        <f>IF(A271="Q12028",COUNTIF($A$2:$A271,"Q12028"),"")</f>
        <v/>
      </c>
      <c r="J271" t="str">
        <f>IF(A271="Q22028",COUNTIF($A$2:$A271,"Q22028"),"")</f>
        <v/>
      </c>
      <c r="K271" t="str">
        <f>IF(A271="Q32028",COUNTIF($A$2:$A271,"Q32028"),"")</f>
        <v/>
      </c>
      <c r="L271" t="str">
        <f>IF(A271="Q42028",COUNTIF($A$2:$A271,"Q42028"),"")</f>
        <v/>
      </c>
      <c r="M271" t="str">
        <f>IF(A271="Backlog",COUNTIF($A$2:$A271,"Backlog"),"")</f>
        <v/>
      </c>
    </row>
    <row r="272" spans="1:13">
      <c r="A272" t="str">
        <f>IF(AND('Q42028'!B33&lt;&gt;"",'Q42028'!E33&lt;&gt;""),'Q42028'!E33,"")</f>
        <v/>
      </c>
      <c r="B272" t="str">
        <f>IF(AND('Q42028'!B33&lt;&gt;"",'Q42028'!E33&lt;&gt;""),'Q42028'!B33,"")</f>
        <v/>
      </c>
      <c r="C272" t="str">
        <f>IF(AND('Q42028'!B33&lt;&gt;"",'Q42028'!E33&lt;&gt;""),'Q42028'!C33,"")</f>
        <v/>
      </c>
      <c r="D272" t="str">
        <f>IF(AND('Q42028'!B33&lt;&gt;"",'Q42028'!E33&lt;&gt;""),'Q42028'!D33,"")</f>
        <v/>
      </c>
      <c r="E272" t="str">
        <f>IF(AND('Q42028'!B33&lt;&gt;"",'Q42028'!E33&lt;&gt;""),'Q42028'!H33,"")</f>
        <v/>
      </c>
      <c r="F272" t="str">
        <f>IF(AND('Q42028'!B33&lt;&gt;"",'Q42028'!E33&lt;&gt;""),'Q42028'!F33,"")</f>
        <v/>
      </c>
      <c r="G272" t="str">
        <f>IF(AND('Q42028'!B33&lt;&gt;"",'Q42028'!E33&lt;&gt;""),'Q42028'!G33,"")</f>
        <v/>
      </c>
      <c r="H272" t="str">
        <f>IF(AND('Q42028'!B33&lt;&gt;"",'Q42028'!E33&lt;&gt;""),"Q42028","")</f>
        <v/>
      </c>
      <c r="I272" t="str">
        <f>IF(A272="Q12028",COUNTIF($A$2:$A272,"Q12028"),"")</f>
        <v/>
      </c>
      <c r="J272" t="str">
        <f>IF(A272="Q22028",COUNTIF($A$2:$A272,"Q22028"),"")</f>
        <v/>
      </c>
      <c r="K272" t="str">
        <f>IF(A272="Q32028",COUNTIF($A$2:$A272,"Q32028"),"")</f>
        <v/>
      </c>
      <c r="L272" t="str">
        <f>IF(A272="Q42028",COUNTIF($A$2:$A272,"Q42028"),"")</f>
        <v/>
      </c>
      <c r="M272" t="str">
        <f>IF(A272="Backlog",COUNTIF($A$2:$A272,"Backlog"),"")</f>
        <v/>
      </c>
    </row>
    <row r="273" spans="1:13">
      <c r="A273" t="str">
        <f>IF(AND('Q42028'!B34&lt;&gt;"",'Q42028'!E34&lt;&gt;""),'Q42028'!E34,"")</f>
        <v/>
      </c>
      <c r="B273" t="str">
        <f>IF(AND('Q42028'!B34&lt;&gt;"",'Q42028'!E34&lt;&gt;""),'Q42028'!B34,"")</f>
        <v/>
      </c>
      <c r="C273" t="str">
        <f>IF(AND('Q42028'!B34&lt;&gt;"",'Q42028'!E34&lt;&gt;""),'Q42028'!C34,"")</f>
        <v/>
      </c>
      <c r="D273" t="str">
        <f>IF(AND('Q42028'!B34&lt;&gt;"",'Q42028'!E34&lt;&gt;""),'Q42028'!D34,"")</f>
        <v/>
      </c>
      <c r="E273" t="str">
        <f>IF(AND('Q42028'!B34&lt;&gt;"",'Q42028'!E34&lt;&gt;""),'Q42028'!H34,"")</f>
        <v/>
      </c>
      <c r="F273" t="str">
        <f>IF(AND('Q42028'!B34&lt;&gt;"",'Q42028'!E34&lt;&gt;""),'Q42028'!F34,"")</f>
        <v/>
      </c>
      <c r="G273" t="str">
        <f>IF(AND('Q42028'!B34&lt;&gt;"",'Q42028'!E34&lt;&gt;""),'Q42028'!G34,"")</f>
        <v/>
      </c>
      <c r="H273" t="str">
        <f>IF(AND('Q42028'!B34&lt;&gt;"",'Q42028'!E34&lt;&gt;""),"Q42028","")</f>
        <v/>
      </c>
      <c r="I273" t="str">
        <f>IF(A273="Q12028",COUNTIF($A$2:$A273,"Q12028"),"")</f>
        <v/>
      </c>
      <c r="J273" t="str">
        <f>IF(A273="Q22028",COUNTIF($A$2:$A273,"Q22028"),"")</f>
        <v/>
      </c>
      <c r="K273" t="str">
        <f>IF(A273="Q32028",COUNTIF($A$2:$A273,"Q32028"),"")</f>
        <v/>
      </c>
      <c r="L273" t="str">
        <f>IF(A273="Q42028",COUNTIF($A$2:$A273,"Q42028"),"")</f>
        <v/>
      </c>
      <c r="M273" t="str">
        <f>IF(A273="Backlog",COUNTIF($A$2:$A273,"Backlog"),"")</f>
        <v/>
      </c>
    </row>
    <row r="274" spans="1:13">
      <c r="A274" t="str">
        <f>IF(AND('Q42028'!B35&lt;&gt;"",'Q42028'!E35&lt;&gt;""),'Q42028'!E35,"")</f>
        <v/>
      </c>
      <c r="B274" t="str">
        <f>IF(AND('Q42028'!B35&lt;&gt;"",'Q42028'!E35&lt;&gt;""),'Q42028'!B35,"")</f>
        <v/>
      </c>
      <c r="C274" t="str">
        <f>IF(AND('Q42028'!B35&lt;&gt;"",'Q42028'!E35&lt;&gt;""),'Q42028'!C35,"")</f>
        <v/>
      </c>
      <c r="D274" t="str">
        <f>IF(AND('Q42028'!B35&lt;&gt;"",'Q42028'!E35&lt;&gt;""),'Q42028'!D35,"")</f>
        <v/>
      </c>
      <c r="E274" t="str">
        <f>IF(AND('Q42028'!B35&lt;&gt;"",'Q42028'!E35&lt;&gt;""),'Q42028'!H35,"")</f>
        <v/>
      </c>
      <c r="F274" t="str">
        <f>IF(AND('Q42028'!B35&lt;&gt;"",'Q42028'!E35&lt;&gt;""),'Q42028'!F35,"")</f>
        <v/>
      </c>
      <c r="G274" t="str">
        <f>IF(AND('Q42028'!B35&lt;&gt;"",'Q42028'!E35&lt;&gt;""),'Q42028'!G35,"")</f>
        <v/>
      </c>
      <c r="H274" t="str">
        <f>IF(AND('Q42028'!B35&lt;&gt;"",'Q42028'!E35&lt;&gt;""),"Q42028","")</f>
        <v/>
      </c>
      <c r="I274" t="str">
        <f>IF(A274="Q12028",COUNTIF($A$2:$A274,"Q12028"),"")</f>
        <v/>
      </c>
      <c r="J274" t="str">
        <f>IF(A274="Q22028",COUNTIF($A$2:$A274,"Q22028"),"")</f>
        <v/>
      </c>
      <c r="K274" t="str">
        <f>IF(A274="Q32028",COUNTIF($A$2:$A274,"Q32028"),"")</f>
        <v/>
      </c>
      <c r="L274" t="str">
        <f>IF(A274="Q42028",COUNTIF($A$2:$A274,"Q42028"),"")</f>
        <v/>
      </c>
      <c r="M274" t="str">
        <f>IF(A274="Backlog",COUNTIF($A$2:$A274,"Backlog"),"")</f>
        <v/>
      </c>
    </row>
    <row r="275" spans="1:13">
      <c r="A275" t="str">
        <f>IF(AND('Q42028'!B36&lt;&gt;"",'Q42028'!E36&lt;&gt;""),'Q42028'!E36,"")</f>
        <v/>
      </c>
      <c r="B275" t="str">
        <f>IF(AND('Q42028'!B36&lt;&gt;"",'Q42028'!E36&lt;&gt;""),'Q42028'!B36,"")</f>
        <v/>
      </c>
      <c r="C275" t="str">
        <f>IF(AND('Q42028'!B36&lt;&gt;"",'Q42028'!E36&lt;&gt;""),'Q42028'!C36,"")</f>
        <v/>
      </c>
      <c r="D275" t="str">
        <f>IF(AND('Q42028'!B36&lt;&gt;"",'Q42028'!E36&lt;&gt;""),'Q42028'!D36,"")</f>
        <v/>
      </c>
      <c r="E275" t="str">
        <f>IF(AND('Q42028'!B36&lt;&gt;"",'Q42028'!E36&lt;&gt;""),'Q42028'!H36,"")</f>
        <v/>
      </c>
      <c r="F275" t="str">
        <f>IF(AND('Q42028'!B36&lt;&gt;"",'Q42028'!E36&lt;&gt;""),'Q42028'!F36,"")</f>
        <v/>
      </c>
      <c r="G275" t="str">
        <f>IF(AND('Q42028'!B36&lt;&gt;"",'Q42028'!E36&lt;&gt;""),'Q42028'!G36,"")</f>
        <v/>
      </c>
      <c r="H275" t="str">
        <f>IF(AND('Q42028'!B36&lt;&gt;"",'Q42028'!E36&lt;&gt;""),"Q42028","")</f>
        <v/>
      </c>
      <c r="I275" t="str">
        <f>IF(A275="Q12028",COUNTIF($A$2:$A275,"Q12028"),"")</f>
        <v/>
      </c>
      <c r="J275" t="str">
        <f>IF(A275="Q22028",COUNTIF($A$2:$A275,"Q22028"),"")</f>
        <v/>
      </c>
      <c r="K275" t="str">
        <f>IF(A275="Q32028",COUNTIF($A$2:$A275,"Q32028"),"")</f>
        <v/>
      </c>
      <c r="L275" t="str">
        <f>IF(A275="Q42028",COUNTIF($A$2:$A275,"Q42028"),"")</f>
        <v/>
      </c>
      <c r="M275" t="str">
        <f>IF(A275="Backlog",COUNTIF($A$2:$A275,"Backlog"),"")</f>
        <v/>
      </c>
    </row>
    <row r="276" spans="1:13">
      <c r="A276" t="str">
        <f>IF(AND('Q42028'!B37&lt;&gt;"",'Q42028'!E37&lt;&gt;""),'Q42028'!E37,"")</f>
        <v/>
      </c>
      <c r="B276" t="str">
        <f>IF(AND('Q42028'!B37&lt;&gt;"",'Q42028'!E37&lt;&gt;""),'Q42028'!B37,"")</f>
        <v/>
      </c>
      <c r="C276" t="str">
        <f>IF(AND('Q42028'!B37&lt;&gt;"",'Q42028'!E37&lt;&gt;""),'Q42028'!C37,"")</f>
        <v/>
      </c>
      <c r="D276" t="str">
        <f>IF(AND('Q42028'!B37&lt;&gt;"",'Q42028'!E37&lt;&gt;""),'Q42028'!D37,"")</f>
        <v/>
      </c>
      <c r="E276" t="str">
        <f>IF(AND('Q42028'!B37&lt;&gt;"",'Q42028'!E37&lt;&gt;""),'Q42028'!H37,"")</f>
        <v/>
      </c>
      <c r="F276" t="str">
        <f>IF(AND('Q42028'!B37&lt;&gt;"",'Q42028'!E37&lt;&gt;""),'Q42028'!F37,"")</f>
        <v/>
      </c>
      <c r="G276" t="str">
        <f>IF(AND('Q42028'!B37&lt;&gt;"",'Q42028'!E37&lt;&gt;""),'Q42028'!G37,"")</f>
        <v/>
      </c>
      <c r="H276" t="str">
        <f>IF(AND('Q42028'!B37&lt;&gt;"",'Q42028'!E37&lt;&gt;""),"Q42028","")</f>
        <v/>
      </c>
      <c r="I276" t="str">
        <f>IF(A276="Q12028",COUNTIF($A$2:$A276,"Q12028"),"")</f>
        <v/>
      </c>
      <c r="J276" t="str">
        <f>IF(A276="Q22028",COUNTIF($A$2:$A276,"Q22028"),"")</f>
        <v/>
      </c>
      <c r="K276" t="str">
        <f>IF(A276="Q32028",COUNTIF($A$2:$A276,"Q32028"),"")</f>
        <v/>
      </c>
      <c r="L276" t="str">
        <f>IF(A276="Q42028",COUNTIF($A$2:$A276,"Q42028"),"")</f>
        <v/>
      </c>
      <c r="M276" t="str">
        <f>IF(A276="Backlog",COUNTIF($A$2:$A276,"Backlog"),"")</f>
        <v/>
      </c>
    </row>
    <row r="277" spans="1:13">
      <c r="A277" t="str">
        <f>IF(AND('Q42028'!B38&lt;&gt;"",'Q42028'!E38&lt;&gt;""),'Q42028'!E38,"")</f>
        <v/>
      </c>
      <c r="B277" t="str">
        <f>IF(AND('Q42028'!B38&lt;&gt;"",'Q42028'!E38&lt;&gt;""),'Q42028'!B38,"")</f>
        <v/>
      </c>
      <c r="C277" t="str">
        <f>IF(AND('Q42028'!B38&lt;&gt;"",'Q42028'!E38&lt;&gt;""),'Q42028'!C38,"")</f>
        <v/>
      </c>
      <c r="D277" t="str">
        <f>IF(AND('Q42028'!B38&lt;&gt;"",'Q42028'!E38&lt;&gt;""),'Q42028'!D38,"")</f>
        <v/>
      </c>
      <c r="E277" t="str">
        <f>IF(AND('Q42028'!B38&lt;&gt;"",'Q42028'!E38&lt;&gt;""),'Q42028'!H38,"")</f>
        <v/>
      </c>
      <c r="F277" t="str">
        <f>IF(AND('Q42028'!B38&lt;&gt;"",'Q42028'!E38&lt;&gt;""),'Q42028'!F38,"")</f>
        <v/>
      </c>
      <c r="G277" t="str">
        <f>IF(AND('Q42028'!B38&lt;&gt;"",'Q42028'!E38&lt;&gt;""),'Q42028'!G38,"")</f>
        <v/>
      </c>
      <c r="H277" t="str">
        <f>IF(AND('Q42028'!B38&lt;&gt;"",'Q42028'!E38&lt;&gt;""),"Q42028","")</f>
        <v/>
      </c>
      <c r="I277" t="str">
        <f>IF(A277="Q12028",COUNTIF($A$2:$A277,"Q12028"),"")</f>
        <v/>
      </c>
      <c r="J277" t="str">
        <f>IF(A277="Q22028",COUNTIF($A$2:$A277,"Q22028"),"")</f>
        <v/>
      </c>
      <c r="K277" t="str">
        <f>IF(A277="Q32028",COUNTIF($A$2:$A277,"Q32028"),"")</f>
        <v/>
      </c>
      <c r="L277" t="str">
        <f>IF(A277="Q42028",COUNTIF($A$2:$A277,"Q42028"),"")</f>
        <v/>
      </c>
      <c r="M277" t="str">
        <f>IF(A277="Backlog",COUNTIF($A$2:$A277,"Backlog"),"")</f>
        <v/>
      </c>
    </row>
    <row r="278" spans="1:13">
      <c r="A278" t="str">
        <f>IF(AND('Q42028'!B39&lt;&gt;"",'Q42028'!E39&lt;&gt;""),'Q42028'!E39,"")</f>
        <v/>
      </c>
      <c r="B278" t="str">
        <f>IF(AND('Q42028'!B39&lt;&gt;"",'Q42028'!E39&lt;&gt;""),'Q42028'!B39,"")</f>
        <v/>
      </c>
      <c r="C278" t="str">
        <f>IF(AND('Q42028'!B39&lt;&gt;"",'Q42028'!E39&lt;&gt;""),'Q42028'!C39,"")</f>
        <v/>
      </c>
      <c r="D278" t="str">
        <f>IF(AND('Q42028'!B39&lt;&gt;"",'Q42028'!E39&lt;&gt;""),'Q42028'!D39,"")</f>
        <v/>
      </c>
      <c r="E278" t="str">
        <f>IF(AND('Q42028'!B39&lt;&gt;"",'Q42028'!E39&lt;&gt;""),'Q42028'!H39,"")</f>
        <v/>
      </c>
      <c r="F278" t="str">
        <f>IF(AND('Q42028'!B39&lt;&gt;"",'Q42028'!E39&lt;&gt;""),'Q42028'!F39,"")</f>
        <v/>
      </c>
      <c r="G278" t="str">
        <f>IF(AND('Q42028'!B39&lt;&gt;"",'Q42028'!E39&lt;&gt;""),'Q42028'!G39,"")</f>
        <v/>
      </c>
      <c r="H278" t="str">
        <f>IF(AND('Q42028'!B39&lt;&gt;"",'Q42028'!E39&lt;&gt;""),"Q42028","")</f>
        <v/>
      </c>
      <c r="I278" t="str">
        <f>IF(A278="Q12028",COUNTIF($A$2:$A278,"Q12028"),"")</f>
        <v/>
      </c>
      <c r="J278" t="str">
        <f>IF(A278="Q22028",COUNTIF($A$2:$A278,"Q22028"),"")</f>
        <v/>
      </c>
      <c r="K278" t="str">
        <f>IF(A278="Q32028",COUNTIF($A$2:$A278,"Q32028"),"")</f>
        <v/>
      </c>
      <c r="L278" t="str">
        <f>IF(A278="Q42028",COUNTIF($A$2:$A278,"Q42028"),"")</f>
        <v/>
      </c>
      <c r="M278" t="str">
        <f>IF(A278="Backlog",COUNTIF($A$2:$A278,"Backlog"),"")</f>
        <v/>
      </c>
    </row>
    <row r="279" spans="1:13">
      <c r="A279" t="str">
        <f>IF(AND('Q42028'!B40&lt;&gt;"",'Q42028'!E40&lt;&gt;""),'Q42028'!E40,"")</f>
        <v/>
      </c>
      <c r="B279" t="str">
        <f>IF(AND('Q42028'!B40&lt;&gt;"",'Q42028'!E40&lt;&gt;""),'Q42028'!B40,"")</f>
        <v/>
      </c>
      <c r="C279" t="str">
        <f>IF(AND('Q42028'!B40&lt;&gt;"",'Q42028'!E40&lt;&gt;""),'Q42028'!C40,"")</f>
        <v/>
      </c>
      <c r="D279" t="str">
        <f>IF(AND('Q42028'!B40&lt;&gt;"",'Q42028'!E40&lt;&gt;""),'Q42028'!D40,"")</f>
        <v/>
      </c>
      <c r="E279" t="str">
        <f>IF(AND('Q42028'!B40&lt;&gt;"",'Q42028'!E40&lt;&gt;""),'Q42028'!H40,"")</f>
        <v/>
      </c>
      <c r="F279" t="str">
        <f>IF(AND('Q42028'!B40&lt;&gt;"",'Q42028'!E40&lt;&gt;""),'Q42028'!F40,"")</f>
        <v/>
      </c>
      <c r="G279" t="str">
        <f>IF(AND('Q42028'!B40&lt;&gt;"",'Q42028'!E40&lt;&gt;""),'Q42028'!G40,"")</f>
        <v/>
      </c>
      <c r="H279" t="str">
        <f>IF(AND('Q42028'!B40&lt;&gt;"",'Q42028'!E40&lt;&gt;""),"Q42028","")</f>
        <v/>
      </c>
      <c r="I279" t="str">
        <f>IF(A279="Q12028",COUNTIF($A$2:$A279,"Q12028"),"")</f>
        <v/>
      </c>
      <c r="J279" t="str">
        <f>IF(A279="Q22028",COUNTIF($A$2:$A279,"Q22028"),"")</f>
        <v/>
      </c>
      <c r="K279" t="str">
        <f>IF(A279="Q32028",COUNTIF($A$2:$A279,"Q32028"),"")</f>
        <v/>
      </c>
      <c r="L279" t="str">
        <f>IF(A279="Q42028",COUNTIF($A$2:$A279,"Q42028"),"")</f>
        <v/>
      </c>
      <c r="M279" t="str">
        <f>IF(A279="Backlog",COUNTIF($A$2:$A279,"Backlog"),"")</f>
        <v/>
      </c>
    </row>
    <row r="280" spans="1:13">
      <c r="A280" t="str">
        <f>IF(AND('Q42028'!B41&lt;&gt;"",'Q42028'!E41&lt;&gt;""),'Q42028'!E41,"")</f>
        <v/>
      </c>
      <c r="B280" t="str">
        <f>IF(AND('Q42028'!B41&lt;&gt;"",'Q42028'!E41&lt;&gt;""),'Q42028'!B41,"")</f>
        <v/>
      </c>
      <c r="C280" t="str">
        <f>IF(AND('Q42028'!B41&lt;&gt;"",'Q42028'!E41&lt;&gt;""),'Q42028'!C41,"")</f>
        <v/>
      </c>
      <c r="D280" t="str">
        <f>IF(AND('Q42028'!B41&lt;&gt;"",'Q42028'!E41&lt;&gt;""),'Q42028'!D41,"")</f>
        <v/>
      </c>
      <c r="E280" t="str">
        <f>IF(AND('Q42028'!B41&lt;&gt;"",'Q42028'!E41&lt;&gt;""),'Q42028'!H41,"")</f>
        <v/>
      </c>
      <c r="F280" t="str">
        <f>IF(AND('Q42028'!B41&lt;&gt;"",'Q42028'!E41&lt;&gt;""),'Q42028'!F41,"")</f>
        <v/>
      </c>
      <c r="G280" t="str">
        <f>IF(AND('Q42028'!B41&lt;&gt;"",'Q42028'!E41&lt;&gt;""),'Q42028'!G41,"")</f>
        <v/>
      </c>
      <c r="H280" t="str">
        <f>IF(AND('Q42028'!B41&lt;&gt;"",'Q42028'!E41&lt;&gt;""),"Q42028","")</f>
        <v/>
      </c>
      <c r="I280" t="str">
        <f>IF(A280="Q12028",COUNTIF($A$2:$A280,"Q12028"),"")</f>
        <v/>
      </c>
      <c r="J280" t="str">
        <f>IF(A280="Q22028",COUNTIF($A$2:$A280,"Q22028"),"")</f>
        <v/>
      </c>
      <c r="K280" t="str">
        <f>IF(A280="Q32028",COUNTIF($A$2:$A280,"Q32028"),"")</f>
        <v/>
      </c>
      <c r="L280" t="str">
        <f>IF(A280="Q42028",COUNTIF($A$2:$A280,"Q42028"),"")</f>
        <v/>
      </c>
      <c r="M280" t="str">
        <f>IF(A280="Backlog",COUNTIF($A$2:$A280,"Backlog"),"")</f>
        <v/>
      </c>
    </row>
    <row r="281" spans="1:13">
      <c r="A281" t="str">
        <f>IF(AND('Q42028'!B42&lt;&gt;"",'Q42028'!E42&lt;&gt;""),'Q42028'!E42,"")</f>
        <v/>
      </c>
      <c r="B281" t="str">
        <f>IF(AND('Q42028'!B42&lt;&gt;"",'Q42028'!E42&lt;&gt;""),'Q42028'!B42,"")</f>
        <v/>
      </c>
      <c r="C281" t="str">
        <f>IF(AND('Q42028'!B42&lt;&gt;"",'Q42028'!E42&lt;&gt;""),'Q42028'!C42,"")</f>
        <v/>
      </c>
      <c r="D281" t="str">
        <f>IF(AND('Q42028'!B42&lt;&gt;"",'Q42028'!E42&lt;&gt;""),'Q42028'!D42,"")</f>
        <v/>
      </c>
      <c r="E281" t="str">
        <f>IF(AND('Q42028'!B42&lt;&gt;"",'Q42028'!E42&lt;&gt;""),'Q42028'!H42,"")</f>
        <v/>
      </c>
      <c r="F281" t="str">
        <f>IF(AND('Q42028'!B42&lt;&gt;"",'Q42028'!E42&lt;&gt;""),'Q42028'!F42,"")</f>
        <v/>
      </c>
      <c r="G281" t="str">
        <f>IF(AND('Q42028'!B42&lt;&gt;"",'Q42028'!E42&lt;&gt;""),'Q42028'!G42,"")</f>
        <v/>
      </c>
      <c r="H281" t="str">
        <f>IF(AND('Q42028'!B42&lt;&gt;"",'Q42028'!E42&lt;&gt;""),"Q42028","")</f>
        <v/>
      </c>
      <c r="I281" t="str">
        <f>IF(A281="Q12028",COUNTIF($A$2:$A281,"Q12028"),"")</f>
        <v/>
      </c>
      <c r="J281" t="str">
        <f>IF(A281="Q22028",COUNTIF($A$2:$A281,"Q22028"),"")</f>
        <v/>
      </c>
      <c r="K281" t="str">
        <f>IF(A281="Q32028",COUNTIF($A$2:$A281,"Q32028"),"")</f>
        <v/>
      </c>
      <c r="L281" t="str">
        <f>IF(A281="Q42028",COUNTIF($A$2:$A281,"Q42028"),"")</f>
        <v/>
      </c>
      <c r="M281" t="str">
        <f>IF(A281="Backlog",COUNTIF($A$2:$A281,"Backlog"),"")</f>
        <v/>
      </c>
    </row>
    <row r="282" spans="1:13">
      <c r="A282" t="str">
        <f>IF(AND('Q42028'!B43&lt;&gt;"",'Q42028'!E43&lt;&gt;""),'Q42028'!E43,"")</f>
        <v/>
      </c>
      <c r="B282" t="str">
        <f>IF(AND('Q42028'!B43&lt;&gt;"",'Q42028'!E43&lt;&gt;""),'Q42028'!B43,"")</f>
        <v/>
      </c>
      <c r="C282" t="str">
        <f>IF(AND('Q42028'!B43&lt;&gt;"",'Q42028'!E43&lt;&gt;""),'Q42028'!C43,"")</f>
        <v/>
      </c>
      <c r="D282" t="str">
        <f>IF(AND('Q42028'!B43&lt;&gt;"",'Q42028'!E43&lt;&gt;""),'Q42028'!D43,"")</f>
        <v/>
      </c>
      <c r="E282" t="str">
        <f>IF(AND('Q42028'!B43&lt;&gt;"",'Q42028'!E43&lt;&gt;""),'Q42028'!H43,"")</f>
        <v/>
      </c>
      <c r="F282" t="str">
        <f>IF(AND('Q42028'!B43&lt;&gt;"",'Q42028'!E43&lt;&gt;""),'Q42028'!F43,"")</f>
        <v/>
      </c>
      <c r="G282" t="str">
        <f>IF(AND('Q42028'!B43&lt;&gt;"",'Q42028'!E43&lt;&gt;""),'Q42028'!G43,"")</f>
        <v/>
      </c>
      <c r="H282" t="str">
        <f>IF(AND('Q42028'!B43&lt;&gt;"",'Q42028'!E43&lt;&gt;""),"Q42028","")</f>
        <v/>
      </c>
      <c r="I282" t="str">
        <f>IF(A282="Q12028",COUNTIF($A$2:$A282,"Q12028"),"")</f>
        <v/>
      </c>
      <c r="J282" t="str">
        <f>IF(A282="Q22028",COUNTIF($A$2:$A282,"Q22028"),"")</f>
        <v/>
      </c>
      <c r="K282" t="str">
        <f>IF(A282="Q32028",COUNTIF($A$2:$A282,"Q32028"),"")</f>
        <v/>
      </c>
      <c r="L282" t="str">
        <f>IF(A282="Q42028",COUNTIF($A$2:$A282,"Q42028"),"")</f>
        <v/>
      </c>
      <c r="M282" t="str">
        <f>IF(A282="Backlog",COUNTIF($A$2:$A282,"Backlog"),"")</f>
        <v/>
      </c>
    </row>
    <row r="283" spans="1:13">
      <c r="A283" t="str">
        <f>IF(AND('Q42028'!B44&lt;&gt;"",'Q42028'!E44&lt;&gt;""),'Q42028'!E44,"")</f>
        <v/>
      </c>
      <c r="B283" t="str">
        <f>IF(AND('Q42028'!B44&lt;&gt;"",'Q42028'!E44&lt;&gt;""),'Q42028'!B44,"")</f>
        <v/>
      </c>
      <c r="C283" t="str">
        <f>IF(AND('Q42028'!B44&lt;&gt;"",'Q42028'!E44&lt;&gt;""),'Q42028'!C44,"")</f>
        <v/>
      </c>
      <c r="D283" t="str">
        <f>IF(AND('Q42028'!B44&lt;&gt;"",'Q42028'!E44&lt;&gt;""),'Q42028'!D44,"")</f>
        <v/>
      </c>
      <c r="E283" t="str">
        <f>IF(AND('Q42028'!B44&lt;&gt;"",'Q42028'!E44&lt;&gt;""),'Q42028'!H44,"")</f>
        <v/>
      </c>
      <c r="F283" t="str">
        <f>IF(AND('Q42028'!B44&lt;&gt;"",'Q42028'!E44&lt;&gt;""),'Q42028'!F44,"")</f>
        <v/>
      </c>
      <c r="G283" t="str">
        <f>IF(AND('Q42028'!B44&lt;&gt;"",'Q42028'!E44&lt;&gt;""),'Q42028'!G44,"")</f>
        <v/>
      </c>
      <c r="H283" t="str">
        <f>IF(AND('Q42028'!B44&lt;&gt;"",'Q42028'!E44&lt;&gt;""),"Q42028","")</f>
        <v/>
      </c>
      <c r="I283" t="str">
        <f>IF(A283="Q12028",COUNTIF($A$2:$A283,"Q12028"),"")</f>
        <v/>
      </c>
      <c r="J283" t="str">
        <f>IF(A283="Q22028",COUNTIF($A$2:$A283,"Q22028"),"")</f>
        <v/>
      </c>
      <c r="K283" t="str">
        <f>IF(A283="Q32028",COUNTIF($A$2:$A283,"Q32028"),"")</f>
        <v/>
      </c>
      <c r="L283" t="str">
        <f>IF(A283="Q42028",COUNTIF($A$2:$A283,"Q42028"),"")</f>
        <v/>
      </c>
      <c r="M283" t="str">
        <f>IF(A283="Backlog",COUNTIF($A$2:$A283,"Backlog"),"")</f>
        <v/>
      </c>
    </row>
    <row r="284" spans="1:13">
      <c r="A284" t="str">
        <f>IF(AND('Q42028'!B45&lt;&gt;"",'Q42028'!E45&lt;&gt;""),'Q42028'!E45,"")</f>
        <v/>
      </c>
      <c r="B284" t="str">
        <f>IF(AND('Q42028'!B45&lt;&gt;"",'Q42028'!E45&lt;&gt;""),'Q42028'!B45,"")</f>
        <v/>
      </c>
      <c r="C284" t="str">
        <f>IF(AND('Q42028'!B45&lt;&gt;"",'Q42028'!E45&lt;&gt;""),'Q42028'!C45,"")</f>
        <v/>
      </c>
      <c r="D284" t="str">
        <f>IF(AND('Q42028'!B45&lt;&gt;"",'Q42028'!E45&lt;&gt;""),'Q42028'!D45,"")</f>
        <v/>
      </c>
      <c r="E284" t="str">
        <f>IF(AND('Q42028'!B45&lt;&gt;"",'Q42028'!E45&lt;&gt;""),'Q42028'!H45,"")</f>
        <v/>
      </c>
      <c r="F284" t="str">
        <f>IF(AND('Q42028'!B45&lt;&gt;"",'Q42028'!E45&lt;&gt;""),'Q42028'!F45,"")</f>
        <v/>
      </c>
      <c r="G284" t="str">
        <f>IF(AND('Q42028'!B45&lt;&gt;"",'Q42028'!E45&lt;&gt;""),'Q42028'!G45,"")</f>
        <v/>
      </c>
      <c r="H284" t="str">
        <f>IF(AND('Q42028'!B45&lt;&gt;"",'Q42028'!E45&lt;&gt;""),"Q42028","")</f>
        <v/>
      </c>
      <c r="I284" t="str">
        <f>IF(A284="Q12028",COUNTIF($A$2:$A284,"Q12028"),"")</f>
        <v/>
      </c>
      <c r="J284" t="str">
        <f>IF(A284="Q22028",COUNTIF($A$2:$A284,"Q22028"),"")</f>
        <v/>
      </c>
      <c r="K284" t="str">
        <f>IF(A284="Q32028",COUNTIF($A$2:$A284,"Q32028"),"")</f>
        <v/>
      </c>
      <c r="L284" t="str">
        <f>IF(A284="Q42028",COUNTIF($A$2:$A284,"Q42028"),"")</f>
        <v/>
      </c>
      <c r="M284" t="str">
        <f>IF(A284="Backlog",COUNTIF($A$2:$A284,"Backlog"),"")</f>
        <v/>
      </c>
    </row>
    <row r="285" spans="1:13">
      <c r="A285" t="str">
        <f>IF(AND('Q42028'!B46&lt;&gt;"",'Q42028'!E46&lt;&gt;""),'Q42028'!E46,"")</f>
        <v/>
      </c>
      <c r="B285" t="str">
        <f>IF(AND('Q42028'!B46&lt;&gt;"",'Q42028'!E46&lt;&gt;""),'Q42028'!B46,"")</f>
        <v/>
      </c>
      <c r="C285" t="str">
        <f>IF(AND('Q42028'!B46&lt;&gt;"",'Q42028'!E46&lt;&gt;""),'Q42028'!C46,"")</f>
        <v/>
      </c>
      <c r="D285" t="str">
        <f>IF(AND('Q42028'!B46&lt;&gt;"",'Q42028'!E46&lt;&gt;""),'Q42028'!D46,"")</f>
        <v/>
      </c>
      <c r="E285" t="str">
        <f>IF(AND('Q42028'!B46&lt;&gt;"",'Q42028'!E46&lt;&gt;""),'Q42028'!H46,"")</f>
        <v/>
      </c>
      <c r="F285" t="str">
        <f>IF(AND('Q42028'!B46&lt;&gt;"",'Q42028'!E46&lt;&gt;""),'Q42028'!F46,"")</f>
        <v/>
      </c>
      <c r="G285" t="str">
        <f>IF(AND('Q42028'!B46&lt;&gt;"",'Q42028'!E46&lt;&gt;""),'Q42028'!G46,"")</f>
        <v/>
      </c>
      <c r="H285" t="str">
        <f>IF(AND('Q42028'!B46&lt;&gt;"",'Q42028'!E46&lt;&gt;""),"Q42028","")</f>
        <v/>
      </c>
      <c r="I285" t="str">
        <f>IF(A285="Q12028",COUNTIF($A$2:$A285,"Q12028"),"")</f>
        <v/>
      </c>
      <c r="J285" t="str">
        <f>IF(A285="Q22028",COUNTIF($A$2:$A285,"Q22028"),"")</f>
        <v/>
      </c>
      <c r="K285" t="str">
        <f>IF(A285="Q32028",COUNTIF($A$2:$A285,"Q32028"),"")</f>
        <v/>
      </c>
      <c r="L285" t="str">
        <f>IF(A285="Q42028",COUNTIF($A$2:$A285,"Q42028"),"")</f>
        <v/>
      </c>
      <c r="M285" t="str">
        <f>IF(A285="Backlog",COUNTIF($A$2:$A285,"Backlog"),"")</f>
        <v/>
      </c>
    </row>
    <row r="286" spans="1:13">
      <c r="A286" t="str">
        <f>IF(AND('Q42028'!B47&lt;&gt;"",'Q42028'!E47&lt;&gt;""),'Q42028'!E47,"")</f>
        <v/>
      </c>
      <c r="B286" t="str">
        <f>IF(AND('Q42028'!B47&lt;&gt;"",'Q42028'!E47&lt;&gt;""),'Q42028'!B47,"")</f>
        <v/>
      </c>
      <c r="C286" t="str">
        <f>IF(AND('Q42028'!B47&lt;&gt;"",'Q42028'!E47&lt;&gt;""),'Q42028'!C47,"")</f>
        <v/>
      </c>
      <c r="D286" t="str">
        <f>IF(AND('Q42028'!B47&lt;&gt;"",'Q42028'!E47&lt;&gt;""),'Q42028'!D47,"")</f>
        <v/>
      </c>
      <c r="E286" t="str">
        <f>IF(AND('Q42028'!B47&lt;&gt;"",'Q42028'!E47&lt;&gt;""),'Q42028'!H47,"")</f>
        <v/>
      </c>
      <c r="F286" t="str">
        <f>IF(AND('Q42028'!B47&lt;&gt;"",'Q42028'!E47&lt;&gt;""),'Q42028'!F47,"")</f>
        <v/>
      </c>
      <c r="G286" t="str">
        <f>IF(AND('Q42028'!B47&lt;&gt;"",'Q42028'!E47&lt;&gt;""),'Q42028'!G47,"")</f>
        <v/>
      </c>
      <c r="H286" t="str">
        <f>IF(AND('Q42028'!B47&lt;&gt;"",'Q42028'!E47&lt;&gt;""),"Q42028","")</f>
        <v/>
      </c>
      <c r="I286" t="str">
        <f>IF(A286="Q12028",COUNTIF($A$2:$A286,"Q12028"),"")</f>
        <v/>
      </c>
      <c r="J286" t="str">
        <f>IF(A286="Q22028",COUNTIF($A$2:$A286,"Q22028"),"")</f>
        <v/>
      </c>
      <c r="K286" t="str">
        <f>IF(A286="Q32028",COUNTIF($A$2:$A286,"Q32028"),"")</f>
        <v/>
      </c>
      <c r="L286" t="str">
        <f>IF(A286="Q42028",COUNTIF($A$2:$A286,"Q42028"),"")</f>
        <v/>
      </c>
      <c r="M286" t="str">
        <f>IF(A286="Backlog",COUNTIF($A$2:$A286,"Backlog"),"")</f>
        <v/>
      </c>
    </row>
    <row r="287" spans="1:13">
      <c r="A287" t="str">
        <f>IF(AND('Q42028'!B48&lt;&gt;"",'Q42028'!E48&lt;&gt;""),'Q42028'!E48,"")</f>
        <v/>
      </c>
      <c r="B287" t="str">
        <f>IF(AND('Q42028'!B48&lt;&gt;"",'Q42028'!E48&lt;&gt;""),'Q42028'!B48,"")</f>
        <v/>
      </c>
      <c r="C287" t="str">
        <f>IF(AND('Q42028'!B48&lt;&gt;"",'Q42028'!E48&lt;&gt;""),'Q42028'!C48,"")</f>
        <v/>
      </c>
      <c r="D287" t="str">
        <f>IF(AND('Q42028'!B48&lt;&gt;"",'Q42028'!E48&lt;&gt;""),'Q42028'!D48,"")</f>
        <v/>
      </c>
      <c r="E287" t="str">
        <f>IF(AND('Q42028'!B48&lt;&gt;"",'Q42028'!E48&lt;&gt;""),'Q42028'!H48,"")</f>
        <v/>
      </c>
      <c r="F287" t="str">
        <f>IF(AND('Q42028'!B48&lt;&gt;"",'Q42028'!E48&lt;&gt;""),'Q42028'!F48,"")</f>
        <v/>
      </c>
      <c r="G287" t="str">
        <f>IF(AND('Q42028'!B48&lt;&gt;"",'Q42028'!E48&lt;&gt;""),'Q42028'!G48,"")</f>
        <v/>
      </c>
      <c r="H287" t="str">
        <f>IF(AND('Q42028'!B48&lt;&gt;"",'Q42028'!E48&lt;&gt;""),"Q42028","")</f>
        <v/>
      </c>
      <c r="I287" t="str">
        <f>IF(A287="Q12028",COUNTIF($A$2:$A287,"Q12028"),"")</f>
        <v/>
      </c>
      <c r="J287" t="str">
        <f>IF(A287="Q22028",COUNTIF($A$2:$A287,"Q22028"),"")</f>
        <v/>
      </c>
      <c r="K287" t="str">
        <f>IF(A287="Q32028",COUNTIF($A$2:$A287,"Q32028"),"")</f>
        <v/>
      </c>
      <c r="L287" t="str">
        <f>IF(A287="Q42028",COUNTIF($A$2:$A287,"Q42028"),"")</f>
        <v/>
      </c>
      <c r="M287" t="str">
        <f>IF(A287="Backlog",COUNTIF($A$2:$A287,"Backlog"),"")</f>
        <v/>
      </c>
    </row>
    <row r="288" spans="1:13">
      <c r="A288" t="str">
        <f>IF(AND('Q42028'!B49&lt;&gt;"",'Q42028'!E49&lt;&gt;""),'Q42028'!E49,"")</f>
        <v/>
      </c>
      <c r="B288" t="str">
        <f>IF(AND('Q42028'!B49&lt;&gt;"",'Q42028'!E49&lt;&gt;""),'Q42028'!B49,"")</f>
        <v/>
      </c>
      <c r="C288" t="str">
        <f>IF(AND('Q42028'!B49&lt;&gt;"",'Q42028'!E49&lt;&gt;""),'Q42028'!C49,"")</f>
        <v/>
      </c>
      <c r="D288" t="str">
        <f>IF(AND('Q42028'!B49&lt;&gt;"",'Q42028'!E49&lt;&gt;""),'Q42028'!D49,"")</f>
        <v/>
      </c>
      <c r="E288" t="str">
        <f>IF(AND('Q42028'!B49&lt;&gt;"",'Q42028'!E49&lt;&gt;""),'Q42028'!H49,"")</f>
        <v/>
      </c>
      <c r="F288" t="str">
        <f>IF(AND('Q42028'!B49&lt;&gt;"",'Q42028'!E49&lt;&gt;""),'Q42028'!F49,"")</f>
        <v/>
      </c>
      <c r="G288" t="str">
        <f>IF(AND('Q42028'!B49&lt;&gt;"",'Q42028'!E49&lt;&gt;""),'Q42028'!G49,"")</f>
        <v/>
      </c>
      <c r="H288" t="str">
        <f>IF(AND('Q42028'!B49&lt;&gt;"",'Q42028'!E49&lt;&gt;""),"Q42028","")</f>
        <v/>
      </c>
      <c r="I288" t="str">
        <f>IF(A288="Q12028",COUNTIF($A$2:$A288,"Q12028"),"")</f>
        <v/>
      </c>
      <c r="J288" t="str">
        <f>IF(A288="Q22028",COUNTIF($A$2:$A288,"Q22028"),"")</f>
        <v/>
      </c>
      <c r="K288" t="str">
        <f>IF(A288="Q32028",COUNTIF($A$2:$A288,"Q32028"),"")</f>
        <v/>
      </c>
      <c r="L288" t="str">
        <f>IF(A288="Q42028",COUNTIF($A$2:$A288,"Q42028"),"")</f>
        <v/>
      </c>
      <c r="M288" t="str">
        <f>IF(A288="Backlog",COUNTIF($A$2:$A288,"Backlog"),"")</f>
        <v/>
      </c>
    </row>
    <row r="289" spans="1:13">
      <c r="A289" t="str">
        <f>IF(AND('Q42028'!B50&lt;&gt;"",'Q42028'!E50&lt;&gt;""),'Q42028'!E50,"")</f>
        <v/>
      </c>
      <c r="B289" t="str">
        <f>IF(AND('Q42028'!B50&lt;&gt;"",'Q42028'!E50&lt;&gt;""),'Q42028'!B50,"")</f>
        <v/>
      </c>
      <c r="C289" t="str">
        <f>IF(AND('Q42028'!B50&lt;&gt;"",'Q42028'!E50&lt;&gt;""),'Q42028'!C50,"")</f>
        <v/>
      </c>
      <c r="D289" t="str">
        <f>IF(AND('Q42028'!B50&lt;&gt;"",'Q42028'!E50&lt;&gt;""),'Q42028'!D50,"")</f>
        <v/>
      </c>
      <c r="E289" t="str">
        <f>IF(AND('Q42028'!B50&lt;&gt;"",'Q42028'!E50&lt;&gt;""),'Q42028'!H50,"")</f>
        <v/>
      </c>
      <c r="F289" t="str">
        <f>IF(AND('Q42028'!B50&lt;&gt;"",'Q42028'!E50&lt;&gt;""),'Q42028'!F50,"")</f>
        <v/>
      </c>
      <c r="G289" t="str">
        <f>IF(AND('Q42028'!B50&lt;&gt;"",'Q42028'!E50&lt;&gt;""),'Q42028'!G50,"")</f>
        <v/>
      </c>
      <c r="H289" t="str">
        <f>IF(AND('Q42028'!B50&lt;&gt;"",'Q42028'!E50&lt;&gt;""),"Q42028","")</f>
        <v/>
      </c>
      <c r="I289" t="str">
        <f>IF(A289="Q12028",COUNTIF($A$2:$A289,"Q12028"),"")</f>
        <v/>
      </c>
      <c r="J289" t="str">
        <f>IF(A289="Q22028",COUNTIF($A$2:$A289,"Q22028"),"")</f>
        <v/>
      </c>
      <c r="K289" t="str">
        <f>IF(A289="Q32028",COUNTIF($A$2:$A289,"Q32028"),"")</f>
        <v/>
      </c>
      <c r="L289" t="str">
        <f>IF(A289="Q42028",COUNTIF($A$2:$A289,"Q42028"),"")</f>
        <v/>
      </c>
      <c r="M289" t="str">
        <f>IF(A289="Backlog",COUNTIF($A$2:$A289,"Backlog"),"")</f>
        <v/>
      </c>
    </row>
    <row r="290" spans="1:13">
      <c r="A290" t="str">
        <f>IF(AND('Q42028'!B51&lt;&gt;"",'Q42028'!E51&lt;&gt;""),'Q42028'!E51,"")</f>
        <v/>
      </c>
      <c r="B290" t="str">
        <f>IF(AND('Q42028'!B51&lt;&gt;"",'Q42028'!E51&lt;&gt;""),'Q42028'!B51,"")</f>
        <v/>
      </c>
      <c r="C290" t="str">
        <f>IF(AND('Q42028'!B51&lt;&gt;"",'Q42028'!E51&lt;&gt;""),'Q42028'!C51,"")</f>
        <v/>
      </c>
      <c r="D290" t="str">
        <f>IF(AND('Q42028'!B51&lt;&gt;"",'Q42028'!E51&lt;&gt;""),'Q42028'!D51,"")</f>
        <v/>
      </c>
      <c r="E290" t="str">
        <f>IF(AND('Q42028'!B51&lt;&gt;"",'Q42028'!E51&lt;&gt;""),'Q42028'!H51,"")</f>
        <v/>
      </c>
      <c r="F290" t="str">
        <f>IF(AND('Q42028'!B51&lt;&gt;"",'Q42028'!E51&lt;&gt;""),'Q42028'!F51,"")</f>
        <v/>
      </c>
      <c r="G290" t="str">
        <f>IF(AND('Q42028'!B51&lt;&gt;"",'Q42028'!E51&lt;&gt;""),'Q42028'!G51,"")</f>
        <v/>
      </c>
      <c r="H290" t="str">
        <f>IF(AND('Q42028'!B51&lt;&gt;"",'Q42028'!E51&lt;&gt;""),"Q42028","")</f>
        <v/>
      </c>
      <c r="I290" t="str">
        <f>IF(A290="Q12028",COUNTIF($A$2:$A290,"Q12028"),"")</f>
        <v/>
      </c>
      <c r="J290" t="str">
        <f>IF(A290="Q22028",COUNTIF($A$2:$A290,"Q22028"),"")</f>
        <v/>
      </c>
      <c r="K290" t="str">
        <f>IF(A290="Q32028",COUNTIF($A$2:$A290,"Q32028"),"")</f>
        <v/>
      </c>
      <c r="L290" t="str">
        <f>IF(A290="Q42028",COUNTIF($A$2:$A290,"Q42028"),"")</f>
        <v/>
      </c>
      <c r="M290" t="str">
        <f>IF(A290="Backlog",COUNTIF($A$2:$A290,"Backlog"),"")</f>
        <v/>
      </c>
    </row>
    <row r="291" spans="1:13">
      <c r="A291" t="str">
        <f>IF(AND('Q42028'!B52&lt;&gt;"",'Q42028'!E52&lt;&gt;""),'Q42028'!E52,"")</f>
        <v/>
      </c>
      <c r="B291" t="str">
        <f>IF(AND('Q42028'!B52&lt;&gt;"",'Q42028'!E52&lt;&gt;""),'Q42028'!B52,"")</f>
        <v/>
      </c>
      <c r="C291" t="str">
        <f>IF(AND('Q42028'!B52&lt;&gt;"",'Q42028'!E52&lt;&gt;""),'Q42028'!C52,"")</f>
        <v/>
      </c>
      <c r="D291" t="str">
        <f>IF(AND('Q42028'!B52&lt;&gt;"",'Q42028'!E52&lt;&gt;""),'Q42028'!D52,"")</f>
        <v/>
      </c>
      <c r="E291" t="str">
        <f>IF(AND('Q42028'!B52&lt;&gt;"",'Q42028'!E52&lt;&gt;""),'Q42028'!H52,"")</f>
        <v/>
      </c>
      <c r="F291" t="str">
        <f>IF(AND('Q42028'!B52&lt;&gt;"",'Q42028'!E52&lt;&gt;""),'Q42028'!F52,"")</f>
        <v/>
      </c>
      <c r="G291" t="str">
        <f>IF(AND('Q42028'!B52&lt;&gt;"",'Q42028'!E52&lt;&gt;""),'Q42028'!G52,"")</f>
        <v/>
      </c>
      <c r="H291" t="str">
        <f>IF(AND('Q42028'!B52&lt;&gt;"",'Q42028'!E52&lt;&gt;""),"Q42028","")</f>
        <v/>
      </c>
      <c r="I291" t="str">
        <f>IF(A291="Q12028",COUNTIF($A$2:$A291,"Q12028"),"")</f>
        <v/>
      </c>
      <c r="J291" t="str">
        <f>IF(A291="Q22028",COUNTIF($A$2:$A291,"Q22028"),"")</f>
        <v/>
      </c>
      <c r="K291" t="str">
        <f>IF(A291="Q32028",COUNTIF($A$2:$A291,"Q32028"),"")</f>
        <v/>
      </c>
      <c r="L291" t="str">
        <f>IF(A291="Q42028",COUNTIF($A$2:$A291,"Q42028"),"")</f>
        <v/>
      </c>
      <c r="M291" t="str">
        <f>IF(A291="Backlog",COUNTIF($A$2:$A291,"Backlog"),"")</f>
        <v/>
      </c>
    </row>
    <row r="292" spans="1:13">
      <c r="A292" t="str">
        <f>IF(AND('Q42028'!B53&lt;&gt;"",'Q42028'!E53&lt;&gt;""),'Q42028'!E53,"")</f>
        <v/>
      </c>
      <c r="B292" t="str">
        <f>IF(AND('Q42028'!B53&lt;&gt;"",'Q42028'!E53&lt;&gt;""),'Q42028'!B53,"")</f>
        <v/>
      </c>
      <c r="C292" t="str">
        <f>IF(AND('Q42028'!B53&lt;&gt;"",'Q42028'!E53&lt;&gt;""),'Q42028'!C53,"")</f>
        <v/>
      </c>
      <c r="D292" t="str">
        <f>IF(AND('Q42028'!B53&lt;&gt;"",'Q42028'!E53&lt;&gt;""),'Q42028'!D53,"")</f>
        <v/>
      </c>
      <c r="E292" t="str">
        <f>IF(AND('Q42028'!B53&lt;&gt;"",'Q42028'!E53&lt;&gt;""),'Q42028'!H53,"")</f>
        <v/>
      </c>
      <c r="F292" t="str">
        <f>IF(AND('Q42028'!B53&lt;&gt;"",'Q42028'!E53&lt;&gt;""),'Q42028'!F53,"")</f>
        <v/>
      </c>
      <c r="G292" t="str">
        <f>IF(AND('Q42028'!B53&lt;&gt;"",'Q42028'!E53&lt;&gt;""),'Q42028'!G53,"")</f>
        <v/>
      </c>
      <c r="H292" t="str">
        <f>IF(AND('Q42028'!B53&lt;&gt;"",'Q42028'!E53&lt;&gt;""),"Q42028","")</f>
        <v/>
      </c>
      <c r="I292" t="str">
        <f>IF(A292="Q12028",COUNTIF($A$2:$A292,"Q12028"),"")</f>
        <v/>
      </c>
      <c r="J292" t="str">
        <f>IF(A292="Q22028",COUNTIF($A$2:$A292,"Q22028"),"")</f>
        <v/>
      </c>
      <c r="K292" t="str">
        <f>IF(A292="Q32028",COUNTIF($A$2:$A292,"Q32028"),"")</f>
        <v/>
      </c>
      <c r="L292" t="str">
        <f>IF(A292="Q42028",COUNTIF($A$2:$A292,"Q42028"),"")</f>
        <v/>
      </c>
      <c r="M292" t="str">
        <f>IF(A292="Backlog",COUNTIF($A$2:$A292,"Backlog"),"")</f>
        <v/>
      </c>
    </row>
    <row r="293" spans="1:13">
      <c r="A293" t="str">
        <f>IF(AND('Q42028'!B54&lt;&gt;"",'Q42028'!E54&lt;&gt;""),'Q42028'!E54,"")</f>
        <v/>
      </c>
      <c r="B293" t="str">
        <f>IF(AND('Q42028'!B54&lt;&gt;"",'Q42028'!E54&lt;&gt;""),'Q42028'!B54,"")</f>
        <v/>
      </c>
      <c r="C293" t="str">
        <f>IF(AND('Q42028'!B54&lt;&gt;"",'Q42028'!E54&lt;&gt;""),'Q42028'!C54,"")</f>
        <v/>
      </c>
      <c r="D293" t="str">
        <f>IF(AND('Q42028'!B54&lt;&gt;"",'Q42028'!E54&lt;&gt;""),'Q42028'!D54,"")</f>
        <v/>
      </c>
      <c r="E293" t="str">
        <f>IF(AND('Q42028'!B54&lt;&gt;"",'Q42028'!E54&lt;&gt;""),'Q42028'!H54,"")</f>
        <v/>
      </c>
      <c r="F293" t="str">
        <f>IF(AND('Q42028'!B54&lt;&gt;"",'Q42028'!E54&lt;&gt;""),'Q42028'!F54,"")</f>
        <v/>
      </c>
      <c r="G293" t="str">
        <f>IF(AND('Q42028'!B54&lt;&gt;"",'Q42028'!E54&lt;&gt;""),'Q42028'!G54,"")</f>
        <v/>
      </c>
      <c r="H293" t="str">
        <f>IF(AND('Q42028'!B54&lt;&gt;"",'Q42028'!E54&lt;&gt;""),"Q42028","")</f>
        <v/>
      </c>
      <c r="I293" t="str">
        <f>IF(A293="Q12028",COUNTIF($A$2:$A293,"Q12028"),"")</f>
        <v/>
      </c>
      <c r="J293" t="str">
        <f>IF(A293="Q22028",COUNTIF($A$2:$A293,"Q22028"),"")</f>
        <v/>
      </c>
      <c r="K293" t="str">
        <f>IF(A293="Q32028",COUNTIF($A$2:$A293,"Q32028"),"")</f>
        <v/>
      </c>
      <c r="L293" t="str">
        <f>IF(A293="Q42028",COUNTIF($A$2:$A293,"Q42028"),"")</f>
        <v/>
      </c>
      <c r="M293" t="str">
        <f>IF(A293="Backlog",COUNTIF($A$2:$A293,"Backlog"),"")</f>
        <v/>
      </c>
    </row>
    <row r="294" spans="1:13">
      <c r="A294" t="str">
        <f>IF(AND('Q42028'!B55&lt;&gt;"",'Q42028'!E55&lt;&gt;""),'Q42028'!E55,"")</f>
        <v/>
      </c>
      <c r="B294" t="str">
        <f>IF(AND('Q42028'!B55&lt;&gt;"",'Q42028'!E55&lt;&gt;""),'Q42028'!B55,"")</f>
        <v/>
      </c>
      <c r="C294" t="str">
        <f>IF(AND('Q42028'!B55&lt;&gt;"",'Q42028'!E55&lt;&gt;""),'Q42028'!C55,"")</f>
        <v/>
      </c>
      <c r="D294" t="str">
        <f>IF(AND('Q42028'!B55&lt;&gt;"",'Q42028'!E55&lt;&gt;""),'Q42028'!D55,"")</f>
        <v/>
      </c>
      <c r="E294" t="str">
        <f>IF(AND('Q42028'!B55&lt;&gt;"",'Q42028'!E55&lt;&gt;""),'Q42028'!H55,"")</f>
        <v/>
      </c>
      <c r="F294" t="str">
        <f>IF(AND('Q42028'!B55&lt;&gt;"",'Q42028'!E55&lt;&gt;""),'Q42028'!F55,"")</f>
        <v/>
      </c>
      <c r="G294" t="str">
        <f>IF(AND('Q42028'!B55&lt;&gt;"",'Q42028'!E55&lt;&gt;""),'Q42028'!G55,"")</f>
        <v/>
      </c>
      <c r="H294" t="str">
        <f>IF(AND('Q42028'!B55&lt;&gt;"",'Q42028'!E55&lt;&gt;""),"Q42028","")</f>
        <v/>
      </c>
      <c r="I294" t="str">
        <f>IF(A294="Q12028",COUNTIF($A$2:$A294,"Q12028"),"")</f>
        <v/>
      </c>
      <c r="J294" t="str">
        <f>IF(A294="Q22028",COUNTIF($A$2:$A294,"Q22028"),"")</f>
        <v/>
      </c>
      <c r="K294" t="str">
        <f>IF(A294="Q32028",COUNTIF($A$2:$A294,"Q32028"),"")</f>
        <v/>
      </c>
      <c r="L294" t="str">
        <f>IF(A294="Q42028",COUNTIF($A$2:$A294,"Q42028"),"")</f>
        <v/>
      </c>
      <c r="M294" t="str">
        <f>IF(A294="Backlog",COUNTIF($A$2:$A294,"Backlog"),"")</f>
        <v/>
      </c>
    </row>
    <row r="295" spans="1:13">
      <c r="A295" t="str">
        <f>IF(AND('Q42028'!B56&lt;&gt;"",'Q42028'!E56&lt;&gt;""),'Q42028'!E56,"")</f>
        <v/>
      </c>
      <c r="B295" t="str">
        <f>IF(AND('Q42028'!B56&lt;&gt;"",'Q42028'!E56&lt;&gt;""),'Q42028'!B56,"")</f>
        <v/>
      </c>
      <c r="C295" t="str">
        <f>IF(AND('Q42028'!B56&lt;&gt;"",'Q42028'!E56&lt;&gt;""),'Q42028'!C56,"")</f>
        <v/>
      </c>
      <c r="D295" t="str">
        <f>IF(AND('Q42028'!B56&lt;&gt;"",'Q42028'!E56&lt;&gt;""),'Q42028'!D56,"")</f>
        <v/>
      </c>
      <c r="E295" t="str">
        <f>IF(AND('Q42028'!B56&lt;&gt;"",'Q42028'!E56&lt;&gt;""),'Q42028'!H56,"")</f>
        <v/>
      </c>
      <c r="F295" t="str">
        <f>IF(AND('Q42028'!B56&lt;&gt;"",'Q42028'!E56&lt;&gt;""),'Q42028'!F56,"")</f>
        <v/>
      </c>
      <c r="G295" t="str">
        <f>IF(AND('Q42028'!B56&lt;&gt;"",'Q42028'!E56&lt;&gt;""),'Q42028'!G56,"")</f>
        <v/>
      </c>
      <c r="H295" t="str">
        <f>IF(AND('Q42028'!B56&lt;&gt;"",'Q42028'!E56&lt;&gt;""),"Q42028","")</f>
        <v/>
      </c>
      <c r="I295" t="str">
        <f>IF(A295="Q12028",COUNTIF($A$2:$A295,"Q12028"),"")</f>
        <v/>
      </c>
      <c r="J295" t="str">
        <f>IF(A295="Q22028",COUNTIF($A$2:$A295,"Q22028"),"")</f>
        <v/>
      </c>
      <c r="K295" t="str">
        <f>IF(A295="Q32028",COUNTIF($A$2:$A295,"Q32028"),"")</f>
        <v/>
      </c>
      <c r="L295" t="str">
        <f>IF(A295="Q42028",COUNTIF($A$2:$A295,"Q42028"),"")</f>
        <v/>
      </c>
      <c r="M295" t="str">
        <f>IF(A295="Backlog",COUNTIF($A$2:$A295,"Backlog"),"")</f>
        <v/>
      </c>
    </row>
    <row r="296" spans="1:13">
      <c r="A296" t="str">
        <f>IF(AND('Q42028'!B57&lt;&gt;"",'Q42028'!E57&lt;&gt;""),'Q42028'!E57,"")</f>
        <v/>
      </c>
      <c r="B296" t="str">
        <f>IF(AND('Q42028'!B57&lt;&gt;"",'Q42028'!E57&lt;&gt;""),'Q42028'!B57,"")</f>
        <v/>
      </c>
      <c r="C296" t="str">
        <f>IF(AND('Q42028'!B57&lt;&gt;"",'Q42028'!E57&lt;&gt;""),'Q42028'!C57,"")</f>
        <v/>
      </c>
      <c r="D296" t="str">
        <f>IF(AND('Q42028'!B57&lt;&gt;"",'Q42028'!E57&lt;&gt;""),'Q42028'!D57,"")</f>
        <v/>
      </c>
      <c r="E296" t="str">
        <f>IF(AND('Q42028'!B57&lt;&gt;"",'Q42028'!E57&lt;&gt;""),'Q42028'!H57,"")</f>
        <v/>
      </c>
      <c r="F296" t="str">
        <f>IF(AND('Q42028'!B57&lt;&gt;"",'Q42028'!E57&lt;&gt;""),'Q42028'!F57,"")</f>
        <v/>
      </c>
      <c r="G296" t="str">
        <f>IF(AND('Q42028'!B57&lt;&gt;"",'Q42028'!E57&lt;&gt;""),'Q42028'!G57,"")</f>
        <v/>
      </c>
      <c r="H296" t="str">
        <f>IF(AND('Q42028'!B57&lt;&gt;"",'Q42028'!E57&lt;&gt;""),"Q42028","")</f>
        <v/>
      </c>
      <c r="I296" t="str">
        <f>IF(A296="Q12028",COUNTIF($A$2:$A296,"Q12028"),"")</f>
        <v/>
      </c>
      <c r="J296" t="str">
        <f>IF(A296="Q22028",COUNTIF($A$2:$A296,"Q22028"),"")</f>
        <v/>
      </c>
      <c r="K296" t="str">
        <f>IF(A296="Q32028",COUNTIF($A$2:$A296,"Q32028"),"")</f>
        <v/>
      </c>
      <c r="L296" t="str">
        <f>IF(A296="Q42028",COUNTIF($A$2:$A296,"Q42028"),"")</f>
        <v/>
      </c>
      <c r="M296" t="str">
        <f>IF(A296="Backlog",COUNTIF($A$2:$A296,"Backlog"),"")</f>
        <v/>
      </c>
    </row>
    <row r="297" spans="1:13">
      <c r="A297" t="str">
        <f>IF(AND('Q42028'!B58&lt;&gt;"",'Q42028'!E58&lt;&gt;""),'Q42028'!E58,"")</f>
        <v/>
      </c>
      <c r="B297" t="str">
        <f>IF(AND('Q42028'!B58&lt;&gt;"",'Q42028'!E58&lt;&gt;""),'Q42028'!B58,"")</f>
        <v/>
      </c>
      <c r="C297" t="str">
        <f>IF(AND('Q42028'!B58&lt;&gt;"",'Q42028'!E58&lt;&gt;""),'Q42028'!C58,"")</f>
        <v/>
      </c>
      <c r="D297" t="str">
        <f>IF(AND('Q42028'!B58&lt;&gt;"",'Q42028'!E58&lt;&gt;""),'Q42028'!D58,"")</f>
        <v/>
      </c>
      <c r="E297" t="str">
        <f>IF(AND('Q42028'!B58&lt;&gt;"",'Q42028'!E58&lt;&gt;""),'Q42028'!H58,"")</f>
        <v/>
      </c>
      <c r="F297" t="str">
        <f>IF(AND('Q42028'!B58&lt;&gt;"",'Q42028'!E58&lt;&gt;""),'Q42028'!F58,"")</f>
        <v/>
      </c>
      <c r="G297" t="str">
        <f>IF(AND('Q42028'!B58&lt;&gt;"",'Q42028'!E58&lt;&gt;""),'Q42028'!G58,"")</f>
        <v/>
      </c>
      <c r="H297" t="str">
        <f>IF(AND('Q42028'!B58&lt;&gt;"",'Q42028'!E58&lt;&gt;""),"Q42028","")</f>
        <v/>
      </c>
      <c r="I297" t="str">
        <f>IF(A297="Q12028",COUNTIF($A$2:$A297,"Q12028"),"")</f>
        <v/>
      </c>
      <c r="J297" t="str">
        <f>IF(A297="Q22028",COUNTIF($A$2:$A297,"Q22028"),"")</f>
        <v/>
      </c>
      <c r="K297" t="str">
        <f>IF(A297="Q32028",COUNTIF($A$2:$A297,"Q32028"),"")</f>
        <v/>
      </c>
      <c r="L297" t="str">
        <f>IF(A297="Q42028",COUNTIF($A$2:$A297,"Q42028"),"")</f>
        <v/>
      </c>
      <c r="M297" t="str">
        <f>IF(A297="Backlog",COUNTIF($A$2:$A297,"Backlog"),"")</f>
        <v/>
      </c>
    </row>
    <row r="298" spans="1:13">
      <c r="A298" t="str">
        <f>IF(AND('Q42028'!B59&lt;&gt;"",'Q42028'!E59&lt;&gt;""),'Q42028'!E59,"")</f>
        <v/>
      </c>
      <c r="B298" t="str">
        <f>IF(AND('Q42028'!B59&lt;&gt;"",'Q42028'!E59&lt;&gt;""),'Q42028'!B59,"")</f>
        <v/>
      </c>
      <c r="C298" t="str">
        <f>IF(AND('Q42028'!B59&lt;&gt;"",'Q42028'!E59&lt;&gt;""),'Q42028'!C59,"")</f>
        <v/>
      </c>
      <c r="D298" t="str">
        <f>IF(AND('Q42028'!B59&lt;&gt;"",'Q42028'!E59&lt;&gt;""),'Q42028'!D59,"")</f>
        <v/>
      </c>
      <c r="E298" t="str">
        <f>IF(AND('Q42028'!B59&lt;&gt;"",'Q42028'!E59&lt;&gt;""),'Q42028'!H59,"")</f>
        <v/>
      </c>
      <c r="F298" t="str">
        <f>IF(AND('Q42028'!B59&lt;&gt;"",'Q42028'!E59&lt;&gt;""),'Q42028'!F59,"")</f>
        <v/>
      </c>
      <c r="G298" t="str">
        <f>IF(AND('Q42028'!B59&lt;&gt;"",'Q42028'!E59&lt;&gt;""),'Q42028'!G59,"")</f>
        <v/>
      </c>
      <c r="H298" t="str">
        <f>IF(AND('Q42028'!B59&lt;&gt;"",'Q42028'!E59&lt;&gt;""),"Q42028","")</f>
        <v/>
      </c>
      <c r="I298" t="str">
        <f>IF(A298="Q12028",COUNTIF($A$2:$A298,"Q12028"),"")</f>
        <v/>
      </c>
      <c r="J298" t="str">
        <f>IF(A298="Q22028",COUNTIF($A$2:$A298,"Q22028"),"")</f>
        <v/>
      </c>
      <c r="K298" t="str">
        <f>IF(A298="Q32028",COUNTIF($A$2:$A298,"Q32028"),"")</f>
        <v/>
      </c>
      <c r="L298" t="str">
        <f>IF(A298="Q42028",COUNTIF($A$2:$A298,"Q42028"),"")</f>
        <v/>
      </c>
      <c r="M298" t="str">
        <f>IF(A298="Backlog",COUNTIF($A$2:$A298,"Backlog"),"")</f>
        <v/>
      </c>
    </row>
    <row r="299" spans="1:13">
      <c r="A299" t="str">
        <f>IF(AND('Q42028'!B60&lt;&gt;"",'Q42028'!E60&lt;&gt;""),'Q42028'!E60,"")</f>
        <v/>
      </c>
      <c r="B299" t="str">
        <f>IF(AND('Q42028'!B60&lt;&gt;"",'Q42028'!E60&lt;&gt;""),'Q42028'!B60,"")</f>
        <v/>
      </c>
      <c r="C299" t="str">
        <f>IF(AND('Q42028'!B60&lt;&gt;"",'Q42028'!E60&lt;&gt;""),'Q42028'!C60,"")</f>
        <v/>
      </c>
      <c r="D299" t="str">
        <f>IF(AND('Q42028'!B60&lt;&gt;"",'Q42028'!E60&lt;&gt;""),'Q42028'!D60,"")</f>
        <v/>
      </c>
      <c r="E299" t="str">
        <f>IF(AND('Q42028'!B60&lt;&gt;"",'Q42028'!E60&lt;&gt;""),'Q42028'!H60,"")</f>
        <v/>
      </c>
      <c r="F299" t="str">
        <f>IF(AND('Q42028'!B60&lt;&gt;"",'Q42028'!E60&lt;&gt;""),'Q42028'!F60,"")</f>
        <v/>
      </c>
      <c r="G299" t="str">
        <f>IF(AND('Q42028'!B60&lt;&gt;"",'Q42028'!E60&lt;&gt;""),'Q42028'!G60,"")</f>
        <v/>
      </c>
      <c r="H299" t="str">
        <f>IF(AND('Q42028'!B60&lt;&gt;"",'Q42028'!E60&lt;&gt;""),"Q42028","")</f>
        <v/>
      </c>
      <c r="I299" t="str">
        <f>IF(A299="Q12028",COUNTIF($A$2:$A299,"Q12028"),"")</f>
        <v/>
      </c>
      <c r="J299" t="str">
        <f>IF(A299="Q22028",COUNTIF($A$2:$A299,"Q22028"),"")</f>
        <v/>
      </c>
      <c r="K299" t="str">
        <f>IF(A299="Q32028",COUNTIF($A$2:$A299,"Q32028"),"")</f>
        <v/>
      </c>
      <c r="L299" t="str">
        <f>IF(A299="Q42028",COUNTIF($A$2:$A299,"Q42028"),"")</f>
        <v/>
      </c>
      <c r="M299" t="str">
        <f>IF(A299="Backlog",COUNTIF($A$2:$A299,"Backlog"),"")</f>
        <v/>
      </c>
    </row>
    <row r="300" spans="1:13">
      <c r="A300" t="str">
        <f>IF(AND('Q42028'!B61&lt;&gt;"",'Q42028'!E61&lt;&gt;""),'Q42028'!E61,"")</f>
        <v/>
      </c>
      <c r="B300" t="str">
        <f>IF(AND('Q42028'!B61&lt;&gt;"",'Q42028'!E61&lt;&gt;""),'Q42028'!B61,"")</f>
        <v/>
      </c>
      <c r="C300" t="str">
        <f>IF(AND('Q42028'!B61&lt;&gt;"",'Q42028'!E61&lt;&gt;""),'Q42028'!C61,"")</f>
        <v/>
      </c>
      <c r="D300" t="str">
        <f>IF(AND('Q42028'!B61&lt;&gt;"",'Q42028'!E61&lt;&gt;""),'Q42028'!D61,"")</f>
        <v/>
      </c>
      <c r="E300" t="str">
        <f>IF(AND('Q42028'!B61&lt;&gt;"",'Q42028'!E61&lt;&gt;""),'Q42028'!H61,"")</f>
        <v/>
      </c>
      <c r="F300" t="str">
        <f>IF(AND('Q42028'!B61&lt;&gt;"",'Q42028'!E61&lt;&gt;""),'Q42028'!F61,"")</f>
        <v/>
      </c>
      <c r="G300" t="str">
        <f>IF(AND('Q42028'!B61&lt;&gt;"",'Q42028'!E61&lt;&gt;""),'Q42028'!G61,"")</f>
        <v/>
      </c>
      <c r="H300" t="str">
        <f>IF(AND('Q42028'!B61&lt;&gt;"",'Q42028'!E61&lt;&gt;""),"Q42028","")</f>
        <v/>
      </c>
      <c r="I300" t="str">
        <f>IF(A300="Q12028",COUNTIF($A$2:$A300,"Q12028"),"")</f>
        <v/>
      </c>
      <c r="J300" t="str">
        <f>IF(A300="Q22028",COUNTIF($A$2:$A300,"Q22028"),"")</f>
        <v/>
      </c>
      <c r="K300" t="str">
        <f>IF(A300="Q32028",COUNTIF($A$2:$A300,"Q32028"),"")</f>
        <v/>
      </c>
      <c r="L300" t="str">
        <f>IF(A300="Q42028",COUNTIF($A$2:$A300,"Q42028"),"")</f>
        <v/>
      </c>
      <c r="M300" t="str">
        <f>IF(A300="Backlog",COUNTIF($A$2:$A300,"Backlog"),"")</f>
        <v/>
      </c>
    </row>
    <row r="301" spans="1:13">
      <c r="A301" t="str">
        <f>IF(AND('Q42028'!B62&lt;&gt;"",'Q42028'!E62&lt;&gt;""),'Q42028'!E62,"")</f>
        <v/>
      </c>
      <c r="B301" t="str">
        <f>IF(AND('Q42028'!B62&lt;&gt;"",'Q42028'!E62&lt;&gt;""),'Q42028'!B62,"")</f>
        <v/>
      </c>
      <c r="C301" t="str">
        <f>IF(AND('Q42028'!B62&lt;&gt;"",'Q42028'!E62&lt;&gt;""),'Q42028'!C62,"")</f>
        <v/>
      </c>
      <c r="D301" t="str">
        <f>IF(AND('Q42028'!B62&lt;&gt;"",'Q42028'!E62&lt;&gt;""),'Q42028'!D62,"")</f>
        <v/>
      </c>
      <c r="E301" t="str">
        <f>IF(AND('Q42028'!B62&lt;&gt;"",'Q42028'!E62&lt;&gt;""),'Q42028'!H62,"")</f>
        <v/>
      </c>
      <c r="F301" t="str">
        <f>IF(AND('Q42028'!B62&lt;&gt;"",'Q42028'!E62&lt;&gt;""),'Q42028'!F62,"")</f>
        <v/>
      </c>
      <c r="G301" t="str">
        <f>IF(AND('Q42028'!B62&lt;&gt;"",'Q42028'!E62&lt;&gt;""),'Q42028'!G62,"")</f>
        <v/>
      </c>
      <c r="H301" t="str">
        <f>IF(AND('Q42028'!B62&lt;&gt;"",'Q42028'!E62&lt;&gt;""),"Q42028","")</f>
        <v/>
      </c>
      <c r="I301" t="str">
        <f>IF(A301="Q12028",COUNTIF($A$2:$A301,"Q12028"),"")</f>
        <v/>
      </c>
      <c r="J301" t="str">
        <f>IF(A301="Q22028",COUNTIF($A$2:$A301,"Q22028"),"")</f>
        <v/>
      </c>
      <c r="K301" t="str">
        <f>IF(A301="Q32028",COUNTIF($A$2:$A301,"Q32028"),"")</f>
        <v/>
      </c>
      <c r="L301" t="str">
        <f>IF(A301="Q42028",COUNTIF($A$2:$A301,"Q42028"),"")</f>
        <v/>
      </c>
      <c r="M301" t="str">
        <f>IF(A301="Backlog",COUNTIF($A$2:$A301,"Backlog"),"")</f>
        <v/>
      </c>
    </row>
    <row r="302" spans="1:13">
      <c r="A302" t="str">
        <f>IF(AND('Q42028'!B63&lt;&gt;"",'Q42028'!E63&lt;&gt;""),'Q42028'!E63,"")</f>
        <v/>
      </c>
      <c r="B302" t="str">
        <f>IF(AND('Q42028'!B63&lt;&gt;"",'Q42028'!E63&lt;&gt;""),'Q42028'!B63,"")</f>
        <v/>
      </c>
      <c r="C302" t="str">
        <f>IF(AND('Q42028'!B63&lt;&gt;"",'Q42028'!E63&lt;&gt;""),'Q42028'!C63,"")</f>
        <v/>
      </c>
      <c r="D302" t="str">
        <f>IF(AND('Q42028'!B63&lt;&gt;"",'Q42028'!E63&lt;&gt;""),'Q42028'!D63,"")</f>
        <v/>
      </c>
      <c r="E302" t="str">
        <f>IF(AND('Q42028'!B63&lt;&gt;"",'Q42028'!E63&lt;&gt;""),'Q42028'!H63,"")</f>
        <v/>
      </c>
      <c r="F302" t="str">
        <f>IF(AND('Q42028'!B63&lt;&gt;"",'Q42028'!E63&lt;&gt;""),'Q42028'!F63,"")</f>
        <v/>
      </c>
      <c r="G302" t="str">
        <f>IF(AND('Q42028'!B63&lt;&gt;"",'Q42028'!E63&lt;&gt;""),'Q42028'!G63,"")</f>
        <v/>
      </c>
      <c r="H302" t="str">
        <f>IF(AND('Q42028'!B63&lt;&gt;"",'Q42028'!E63&lt;&gt;""),"Q42028","")</f>
        <v/>
      </c>
      <c r="I302" t="str">
        <f>IF(A302="Q12028",COUNTIF($A$2:$A302,"Q12028"),"")</f>
        <v/>
      </c>
      <c r="J302" t="str">
        <f>IF(A302="Q22028",COUNTIF($A$2:$A302,"Q22028"),"")</f>
        <v/>
      </c>
      <c r="K302" t="str">
        <f>IF(A302="Q32028",COUNTIF($A$2:$A302,"Q32028"),"")</f>
        <v/>
      </c>
      <c r="L302" t="str">
        <f>IF(A302="Q42028",COUNTIF($A$2:$A302,"Q42028"),"")</f>
        <v/>
      </c>
      <c r="M302" t="str">
        <f>IF(A302="Backlog",COUNTIF($A$2:$A302,"Backlog"),"")</f>
        <v/>
      </c>
    </row>
    <row r="303" spans="1:13">
      <c r="A303" t="str">
        <f>IF(AND('Q42028'!B64&lt;&gt;"",'Q42028'!E64&lt;&gt;""),'Q42028'!E64,"")</f>
        <v/>
      </c>
      <c r="B303" t="str">
        <f>IF(AND('Q42028'!B64&lt;&gt;"",'Q42028'!E64&lt;&gt;""),'Q42028'!B64,"")</f>
        <v/>
      </c>
      <c r="C303" t="str">
        <f>IF(AND('Q42028'!B64&lt;&gt;"",'Q42028'!E64&lt;&gt;""),'Q42028'!C64,"")</f>
        <v/>
      </c>
      <c r="D303" t="str">
        <f>IF(AND('Q42028'!B64&lt;&gt;"",'Q42028'!E64&lt;&gt;""),'Q42028'!D64,"")</f>
        <v/>
      </c>
      <c r="E303" t="str">
        <f>IF(AND('Q42028'!B64&lt;&gt;"",'Q42028'!E64&lt;&gt;""),'Q42028'!H64,"")</f>
        <v/>
      </c>
      <c r="F303" t="str">
        <f>IF(AND('Q42028'!B64&lt;&gt;"",'Q42028'!E64&lt;&gt;""),'Q42028'!F64,"")</f>
        <v/>
      </c>
      <c r="G303" t="str">
        <f>IF(AND('Q42028'!B64&lt;&gt;"",'Q42028'!E64&lt;&gt;""),'Q42028'!G64,"")</f>
        <v/>
      </c>
      <c r="H303" t="str">
        <f>IF(AND('Q42028'!B64&lt;&gt;"",'Q42028'!E64&lt;&gt;""),"Q42028","")</f>
        <v/>
      </c>
      <c r="I303" t="str">
        <f>IF(A303="Q12028",COUNTIF($A$2:$A303,"Q12028"),"")</f>
        <v/>
      </c>
      <c r="J303" t="str">
        <f>IF(A303="Q22028",COUNTIF($A$2:$A303,"Q22028"),"")</f>
        <v/>
      </c>
      <c r="K303" t="str">
        <f>IF(A303="Q32028",COUNTIF($A$2:$A303,"Q32028"),"")</f>
        <v/>
      </c>
      <c r="L303" t="str">
        <f>IF(A303="Q42028",COUNTIF($A$2:$A303,"Q42028"),"")</f>
        <v/>
      </c>
      <c r="M303" t="str">
        <f>IF(A303="Backlog",COUNTIF($A$2:$A303,"Backlog"),"")</f>
        <v/>
      </c>
    </row>
    <row r="304" spans="1:13">
      <c r="A304" t="str">
        <f>IF(AND('Q42028'!B65&lt;&gt;"",'Q42028'!E65&lt;&gt;""),'Q42028'!E65,"")</f>
        <v/>
      </c>
      <c r="B304" t="str">
        <f>IF(AND('Q42028'!B65&lt;&gt;"",'Q42028'!E65&lt;&gt;""),'Q42028'!B65,"")</f>
        <v/>
      </c>
      <c r="C304" t="str">
        <f>IF(AND('Q42028'!B65&lt;&gt;"",'Q42028'!E65&lt;&gt;""),'Q42028'!C65,"")</f>
        <v/>
      </c>
      <c r="D304" t="str">
        <f>IF(AND('Q42028'!B65&lt;&gt;"",'Q42028'!E65&lt;&gt;""),'Q42028'!D65,"")</f>
        <v/>
      </c>
      <c r="E304" t="str">
        <f>IF(AND('Q42028'!B65&lt;&gt;"",'Q42028'!E65&lt;&gt;""),'Q42028'!H65,"")</f>
        <v/>
      </c>
      <c r="F304" t="str">
        <f>IF(AND('Q42028'!B65&lt;&gt;"",'Q42028'!E65&lt;&gt;""),'Q42028'!F65,"")</f>
        <v/>
      </c>
      <c r="G304" t="str">
        <f>IF(AND('Q42028'!B65&lt;&gt;"",'Q42028'!E65&lt;&gt;""),'Q42028'!G65,"")</f>
        <v/>
      </c>
      <c r="H304" t="str">
        <f>IF(AND('Q42028'!B65&lt;&gt;"",'Q42028'!E65&lt;&gt;""),"Q42028","")</f>
        <v/>
      </c>
      <c r="I304" t="str">
        <f>IF(A304="Q12028",COUNTIF($A$2:$A304,"Q12028"),"")</f>
        <v/>
      </c>
      <c r="J304" t="str">
        <f>IF(A304="Q22028",COUNTIF($A$2:$A304,"Q22028"),"")</f>
        <v/>
      </c>
      <c r="K304" t="str">
        <f>IF(A304="Q32028",COUNTIF($A$2:$A304,"Q32028"),"")</f>
        <v/>
      </c>
      <c r="L304" t="str">
        <f>IF(A304="Q42028",COUNTIF($A$2:$A304,"Q42028"),"")</f>
        <v/>
      </c>
      <c r="M304" t="str">
        <f>IF(A304="Backlog",COUNTIF($A$2:$A304,"Backlog"),"")</f>
        <v/>
      </c>
    </row>
    <row r="305" spans="1:13">
      <c r="A305" t="str">
        <f>IF(AND('Q42028'!B66&lt;&gt;"",'Q42028'!E66&lt;&gt;""),'Q42028'!E66,"")</f>
        <v/>
      </c>
      <c r="B305" t="str">
        <f>IF(AND('Q42028'!B66&lt;&gt;"",'Q42028'!E66&lt;&gt;""),'Q42028'!B66,"")</f>
        <v/>
      </c>
      <c r="C305" t="str">
        <f>IF(AND('Q42028'!B66&lt;&gt;"",'Q42028'!E66&lt;&gt;""),'Q42028'!C66,"")</f>
        <v/>
      </c>
      <c r="D305" t="str">
        <f>IF(AND('Q42028'!B66&lt;&gt;"",'Q42028'!E66&lt;&gt;""),'Q42028'!D66,"")</f>
        <v/>
      </c>
      <c r="E305" t="str">
        <f>IF(AND('Q42028'!B66&lt;&gt;"",'Q42028'!E66&lt;&gt;""),'Q42028'!H66,"")</f>
        <v/>
      </c>
      <c r="F305" t="str">
        <f>IF(AND('Q42028'!B66&lt;&gt;"",'Q42028'!E66&lt;&gt;""),'Q42028'!F66,"")</f>
        <v/>
      </c>
      <c r="G305" t="str">
        <f>IF(AND('Q42028'!B66&lt;&gt;"",'Q42028'!E66&lt;&gt;""),'Q42028'!G66,"")</f>
        <v/>
      </c>
      <c r="H305" t="str">
        <f>IF(AND('Q42028'!B66&lt;&gt;"",'Q42028'!E66&lt;&gt;""),"Q42028","")</f>
        <v/>
      </c>
      <c r="I305" t="str">
        <f>IF(A305="Q12028",COUNTIF($A$2:$A305,"Q12028"),"")</f>
        <v/>
      </c>
      <c r="J305" t="str">
        <f>IF(A305="Q22028",COUNTIF($A$2:$A305,"Q22028"),"")</f>
        <v/>
      </c>
      <c r="K305" t="str">
        <f>IF(A305="Q32028",COUNTIF($A$2:$A305,"Q32028"),"")</f>
        <v/>
      </c>
      <c r="L305" t="str">
        <f>IF(A305="Q42028",COUNTIF($A$2:$A305,"Q42028"),"")</f>
        <v/>
      </c>
      <c r="M305" t="str">
        <f>IF(A305="Backlog",COUNTIF($A$2:$A305,"Backlog"),"")</f>
        <v/>
      </c>
    </row>
    <row r="306" spans="1:13">
      <c r="A306" t="str">
        <f>IF(AND('Q42028'!B67&lt;&gt;"",'Q42028'!E67&lt;&gt;""),'Q42028'!E67,"")</f>
        <v/>
      </c>
      <c r="B306" t="str">
        <f>IF(AND('Q42028'!B67&lt;&gt;"",'Q42028'!E67&lt;&gt;""),'Q42028'!B67,"")</f>
        <v/>
      </c>
      <c r="C306" t="str">
        <f>IF(AND('Q42028'!B67&lt;&gt;"",'Q42028'!E67&lt;&gt;""),'Q42028'!C67,"")</f>
        <v/>
      </c>
      <c r="D306" t="str">
        <f>IF(AND('Q42028'!B67&lt;&gt;"",'Q42028'!E67&lt;&gt;""),'Q42028'!D67,"")</f>
        <v/>
      </c>
      <c r="E306" t="str">
        <f>IF(AND('Q42028'!B67&lt;&gt;"",'Q42028'!E67&lt;&gt;""),'Q42028'!H67,"")</f>
        <v/>
      </c>
      <c r="F306" t="str">
        <f>IF(AND('Q42028'!B67&lt;&gt;"",'Q42028'!E67&lt;&gt;""),'Q42028'!F67,"")</f>
        <v/>
      </c>
      <c r="G306" t="str">
        <f>IF(AND('Q42028'!B67&lt;&gt;"",'Q42028'!E67&lt;&gt;""),'Q42028'!G67,"")</f>
        <v/>
      </c>
      <c r="H306" t="str">
        <f>IF(AND('Q42028'!B67&lt;&gt;"",'Q42028'!E67&lt;&gt;""),"Q42028","")</f>
        <v/>
      </c>
      <c r="I306" t="str">
        <f>IF(A306="Q12028",COUNTIF($A$2:$A306,"Q12028"),"")</f>
        <v/>
      </c>
      <c r="J306" t="str">
        <f>IF(A306="Q22028",COUNTIF($A$2:$A306,"Q22028"),"")</f>
        <v/>
      </c>
      <c r="K306" t="str">
        <f>IF(A306="Q32028",COUNTIF($A$2:$A306,"Q32028"),"")</f>
        <v/>
      </c>
      <c r="L306" t="str">
        <f>IF(A306="Q42028",COUNTIF($A$2:$A306,"Q42028"),"")</f>
        <v/>
      </c>
      <c r="M306" t="str">
        <f>IF(A306="Backlog",COUNTIF($A$2:$A306,"Backlog"),"")</f>
        <v/>
      </c>
    </row>
    <row r="307" spans="1:13">
      <c r="A307" t="str">
        <f>IF(AND('Q42028'!B68&lt;&gt;"",'Q42028'!E68&lt;&gt;""),'Q42028'!E68,"")</f>
        <v/>
      </c>
      <c r="B307" t="str">
        <f>IF(AND('Q42028'!B68&lt;&gt;"",'Q42028'!E68&lt;&gt;""),'Q42028'!B68,"")</f>
        <v/>
      </c>
      <c r="C307" t="str">
        <f>IF(AND('Q42028'!B68&lt;&gt;"",'Q42028'!E68&lt;&gt;""),'Q42028'!C68,"")</f>
        <v/>
      </c>
      <c r="D307" t="str">
        <f>IF(AND('Q42028'!B68&lt;&gt;"",'Q42028'!E68&lt;&gt;""),'Q42028'!D68,"")</f>
        <v/>
      </c>
      <c r="E307" t="str">
        <f>IF(AND('Q42028'!B68&lt;&gt;"",'Q42028'!E68&lt;&gt;""),'Q42028'!H68,"")</f>
        <v/>
      </c>
      <c r="F307" t="str">
        <f>IF(AND('Q42028'!B68&lt;&gt;"",'Q42028'!E68&lt;&gt;""),'Q42028'!F68,"")</f>
        <v/>
      </c>
      <c r="G307" t="str">
        <f>IF(AND('Q42028'!B68&lt;&gt;"",'Q42028'!E68&lt;&gt;""),'Q42028'!G68,"")</f>
        <v/>
      </c>
      <c r="H307" t="str">
        <f>IF(AND('Q42028'!B68&lt;&gt;"",'Q42028'!E68&lt;&gt;""),"Q42028","")</f>
        <v/>
      </c>
      <c r="I307" t="str">
        <f>IF(A307="Q12028",COUNTIF($A$2:$A307,"Q12028"),"")</f>
        <v/>
      </c>
      <c r="J307" t="str">
        <f>IF(A307="Q22028",COUNTIF($A$2:$A307,"Q22028"),"")</f>
        <v/>
      </c>
      <c r="K307" t="str">
        <f>IF(A307="Q32028",COUNTIF($A$2:$A307,"Q32028"),"")</f>
        <v/>
      </c>
      <c r="L307" t="str">
        <f>IF(A307="Q42028",COUNTIF($A$2:$A307,"Q42028"),"")</f>
        <v/>
      </c>
      <c r="M307" t="str">
        <f>IF(A307="Backlog",COUNTIF($A$2:$A307,"Backlog"),"")</f>
        <v/>
      </c>
    </row>
    <row r="308" spans="1:13">
      <c r="A308" t="str">
        <f>IF(AND('Q42028'!B69&lt;&gt;"",'Q42028'!E69&lt;&gt;""),'Q42028'!E69,"")</f>
        <v/>
      </c>
      <c r="B308" t="str">
        <f>IF(AND('Q42028'!B69&lt;&gt;"",'Q42028'!E69&lt;&gt;""),'Q42028'!B69,"")</f>
        <v/>
      </c>
      <c r="C308" t="str">
        <f>IF(AND('Q42028'!B69&lt;&gt;"",'Q42028'!E69&lt;&gt;""),'Q42028'!C69,"")</f>
        <v/>
      </c>
      <c r="D308" t="str">
        <f>IF(AND('Q42028'!B69&lt;&gt;"",'Q42028'!E69&lt;&gt;""),'Q42028'!D69,"")</f>
        <v/>
      </c>
      <c r="E308" t="str">
        <f>IF(AND('Q42028'!B69&lt;&gt;"",'Q42028'!E69&lt;&gt;""),'Q42028'!H69,"")</f>
        <v/>
      </c>
      <c r="F308" t="str">
        <f>IF(AND('Q42028'!B69&lt;&gt;"",'Q42028'!E69&lt;&gt;""),'Q42028'!F69,"")</f>
        <v/>
      </c>
      <c r="G308" t="str">
        <f>IF(AND('Q42028'!B69&lt;&gt;"",'Q42028'!E69&lt;&gt;""),'Q42028'!G69,"")</f>
        <v/>
      </c>
      <c r="H308" t="str">
        <f>IF(AND('Q42028'!B69&lt;&gt;"",'Q42028'!E69&lt;&gt;""),"Q42028","")</f>
        <v/>
      </c>
      <c r="I308" t="str">
        <f>IF(A308="Q12028",COUNTIF($A$2:$A308,"Q12028"),"")</f>
        <v/>
      </c>
      <c r="J308" t="str">
        <f>IF(A308="Q22028",COUNTIF($A$2:$A308,"Q22028"),"")</f>
        <v/>
      </c>
      <c r="K308" t="str">
        <f>IF(A308="Q32028",COUNTIF($A$2:$A308,"Q32028"),"")</f>
        <v/>
      </c>
      <c r="L308" t="str">
        <f>IF(A308="Q42028",COUNTIF($A$2:$A308,"Q42028"),"")</f>
        <v/>
      </c>
      <c r="M308" t="str">
        <f>IF(A308="Backlog",COUNTIF($A$2:$A308,"Backlog"),"")</f>
        <v/>
      </c>
    </row>
    <row r="309" spans="1:13">
      <c r="A309" t="str">
        <f>IF(AND('Q42028'!B70&lt;&gt;"",'Q42028'!E70&lt;&gt;""),'Q42028'!E70,"")</f>
        <v/>
      </c>
      <c r="B309" t="str">
        <f>IF(AND('Q42028'!B70&lt;&gt;"",'Q42028'!E70&lt;&gt;""),'Q42028'!B70,"")</f>
        <v/>
      </c>
      <c r="C309" t="str">
        <f>IF(AND('Q42028'!B70&lt;&gt;"",'Q42028'!E70&lt;&gt;""),'Q42028'!C70,"")</f>
        <v/>
      </c>
      <c r="D309" t="str">
        <f>IF(AND('Q42028'!B70&lt;&gt;"",'Q42028'!E70&lt;&gt;""),'Q42028'!D70,"")</f>
        <v/>
      </c>
      <c r="E309" t="str">
        <f>IF(AND('Q42028'!B70&lt;&gt;"",'Q42028'!E70&lt;&gt;""),'Q42028'!H70,"")</f>
        <v/>
      </c>
      <c r="F309" t="str">
        <f>IF(AND('Q42028'!B70&lt;&gt;"",'Q42028'!E70&lt;&gt;""),'Q42028'!F70,"")</f>
        <v/>
      </c>
      <c r="G309" t="str">
        <f>IF(AND('Q42028'!B70&lt;&gt;"",'Q42028'!E70&lt;&gt;""),'Q42028'!G70,"")</f>
        <v/>
      </c>
      <c r="H309" t="str">
        <f>IF(AND('Q42028'!B70&lt;&gt;"",'Q42028'!E70&lt;&gt;""),"Q42028","")</f>
        <v/>
      </c>
      <c r="I309" t="str">
        <f>IF(A309="Q12028",COUNTIF($A$2:$A309,"Q12028"),"")</f>
        <v/>
      </c>
      <c r="J309" t="str">
        <f>IF(A309="Q22028",COUNTIF($A$2:$A309,"Q22028"),"")</f>
        <v/>
      </c>
      <c r="K309" t="str">
        <f>IF(A309="Q32028",COUNTIF($A$2:$A309,"Q32028"),"")</f>
        <v/>
      </c>
      <c r="L309" t="str">
        <f>IF(A309="Q42028",COUNTIF($A$2:$A309,"Q42028"),"")</f>
        <v/>
      </c>
      <c r="M309" t="str">
        <f>IF(A309="Backlog",COUNTIF($A$2:$A309,"Backlog"),"")</f>
        <v/>
      </c>
    </row>
    <row r="310" spans="1:13">
      <c r="A310" t="str">
        <f>IF(AND('Q42028'!B71&lt;&gt;"",'Q42028'!E71&lt;&gt;""),'Q42028'!E71,"")</f>
        <v/>
      </c>
      <c r="B310" t="str">
        <f>IF(AND('Q42028'!B71&lt;&gt;"",'Q42028'!E71&lt;&gt;""),'Q42028'!B71,"")</f>
        <v/>
      </c>
      <c r="C310" t="str">
        <f>IF(AND('Q42028'!B71&lt;&gt;"",'Q42028'!E71&lt;&gt;""),'Q42028'!C71,"")</f>
        <v/>
      </c>
      <c r="D310" t="str">
        <f>IF(AND('Q42028'!B71&lt;&gt;"",'Q42028'!E71&lt;&gt;""),'Q42028'!D71,"")</f>
        <v/>
      </c>
      <c r="E310" t="str">
        <f>IF(AND('Q42028'!B71&lt;&gt;"",'Q42028'!E71&lt;&gt;""),'Q42028'!H71,"")</f>
        <v/>
      </c>
      <c r="F310" t="str">
        <f>IF(AND('Q42028'!B71&lt;&gt;"",'Q42028'!E71&lt;&gt;""),'Q42028'!F71,"")</f>
        <v/>
      </c>
      <c r="G310" t="str">
        <f>IF(AND('Q42028'!B71&lt;&gt;"",'Q42028'!E71&lt;&gt;""),'Q42028'!G71,"")</f>
        <v/>
      </c>
      <c r="H310" t="str">
        <f>IF(AND('Q42028'!B71&lt;&gt;"",'Q42028'!E71&lt;&gt;""),"Q42028","")</f>
        <v/>
      </c>
      <c r="I310" t="str">
        <f>IF(A310="Q12028",COUNTIF($A$2:$A310,"Q12028"),"")</f>
        <v/>
      </c>
      <c r="J310" t="str">
        <f>IF(A310="Q22028",COUNTIF($A$2:$A310,"Q22028"),"")</f>
        <v/>
      </c>
      <c r="K310" t="str">
        <f>IF(A310="Q32028",COUNTIF($A$2:$A310,"Q32028"),"")</f>
        <v/>
      </c>
      <c r="L310" t="str">
        <f>IF(A310="Q42028",COUNTIF($A$2:$A310,"Q42028"),"")</f>
        <v/>
      </c>
      <c r="M310" t="str">
        <f>IF(A310="Backlog",COUNTIF($A$2:$A310,"Backlog"),"")</f>
        <v/>
      </c>
    </row>
    <row r="311" spans="1:13">
      <c r="A311" t="str">
        <f>IF(AND('Q42028'!B72&lt;&gt;"",'Q42028'!E72&lt;&gt;""),'Q42028'!E72,"")</f>
        <v/>
      </c>
      <c r="B311" t="str">
        <f>IF(AND('Q42028'!B72&lt;&gt;"",'Q42028'!E72&lt;&gt;""),'Q42028'!B72,"")</f>
        <v/>
      </c>
      <c r="C311" t="str">
        <f>IF(AND('Q42028'!B72&lt;&gt;"",'Q42028'!E72&lt;&gt;""),'Q42028'!C72,"")</f>
        <v/>
      </c>
      <c r="D311" t="str">
        <f>IF(AND('Q42028'!B72&lt;&gt;"",'Q42028'!E72&lt;&gt;""),'Q42028'!D72,"")</f>
        <v/>
      </c>
      <c r="E311" t="str">
        <f>IF(AND('Q42028'!B72&lt;&gt;"",'Q42028'!E72&lt;&gt;""),'Q42028'!H72,"")</f>
        <v/>
      </c>
      <c r="F311" t="str">
        <f>IF(AND('Q42028'!B72&lt;&gt;"",'Q42028'!E72&lt;&gt;""),'Q42028'!F72,"")</f>
        <v/>
      </c>
      <c r="G311" t="str">
        <f>IF(AND('Q42028'!B72&lt;&gt;"",'Q42028'!E72&lt;&gt;""),'Q42028'!G72,"")</f>
        <v/>
      </c>
      <c r="H311" t="str">
        <f>IF(AND('Q42028'!B72&lt;&gt;"",'Q42028'!E72&lt;&gt;""),"Q42028","")</f>
        <v/>
      </c>
      <c r="I311" t="str">
        <f>IF(A311="Q12028",COUNTIF($A$2:$A311,"Q12028"),"")</f>
        <v/>
      </c>
      <c r="J311" t="str">
        <f>IF(A311="Q22028",COUNTIF($A$2:$A311,"Q22028"),"")</f>
        <v/>
      </c>
      <c r="K311" t="str">
        <f>IF(A311="Q32028",COUNTIF($A$2:$A311,"Q32028"),"")</f>
        <v/>
      </c>
      <c r="L311" t="str">
        <f>IF(A311="Q42028",COUNTIF($A$2:$A311,"Q42028"),"")</f>
        <v/>
      </c>
      <c r="M311" t="str">
        <f>IF(A311="Backlog",COUNTIF($A$2:$A311,"Backlog"),"")</f>
        <v/>
      </c>
    </row>
    <row r="312" spans="1:13">
      <c r="A312" t="str">
        <f>IF(AND('Q42028'!B73&lt;&gt;"",'Q42028'!E73&lt;&gt;""),'Q42028'!E73,"")</f>
        <v/>
      </c>
      <c r="B312" t="str">
        <f>IF(AND('Q42028'!B73&lt;&gt;"",'Q42028'!E73&lt;&gt;""),'Q42028'!B73,"")</f>
        <v/>
      </c>
      <c r="C312" t="str">
        <f>IF(AND('Q42028'!B73&lt;&gt;"",'Q42028'!E73&lt;&gt;""),'Q42028'!C73,"")</f>
        <v/>
      </c>
      <c r="D312" t="str">
        <f>IF(AND('Q42028'!B73&lt;&gt;"",'Q42028'!E73&lt;&gt;""),'Q42028'!D73,"")</f>
        <v/>
      </c>
      <c r="E312" t="str">
        <f>IF(AND('Q42028'!B73&lt;&gt;"",'Q42028'!E73&lt;&gt;""),'Q42028'!H73,"")</f>
        <v/>
      </c>
      <c r="F312" t="str">
        <f>IF(AND('Q42028'!B73&lt;&gt;"",'Q42028'!E73&lt;&gt;""),'Q42028'!F73,"")</f>
        <v/>
      </c>
      <c r="G312" t="str">
        <f>IF(AND('Q42028'!B73&lt;&gt;"",'Q42028'!E73&lt;&gt;""),'Q42028'!G73,"")</f>
        <v/>
      </c>
      <c r="H312" t="str">
        <f>IF(AND('Q42028'!B73&lt;&gt;"",'Q42028'!E73&lt;&gt;""),"Q42028","")</f>
        <v/>
      </c>
      <c r="I312" t="str">
        <f>IF(A312="Q12028",COUNTIF($A$2:$A312,"Q12028"),"")</f>
        <v/>
      </c>
      <c r="J312" t="str">
        <f>IF(A312="Q22028",COUNTIF($A$2:$A312,"Q22028"),"")</f>
        <v/>
      </c>
      <c r="K312" t="str">
        <f>IF(A312="Q32028",COUNTIF($A$2:$A312,"Q32028"),"")</f>
        <v/>
      </c>
      <c r="L312" t="str">
        <f>IF(A312="Q42028",COUNTIF($A$2:$A312,"Q42028"),"")</f>
        <v/>
      </c>
      <c r="M312" t="str">
        <f>IF(A312="Backlog",COUNTIF($A$2:$A312,"Backlog"),"")</f>
        <v/>
      </c>
    </row>
    <row r="313" spans="1:13">
      <c r="A313" t="str">
        <f>IF(AND('Q42028'!B74&lt;&gt;"",'Q42028'!E74&lt;&gt;""),'Q42028'!E74,"")</f>
        <v/>
      </c>
      <c r="B313" t="str">
        <f>IF(AND('Q42028'!B74&lt;&gt;"",'Q42028'!E74&lt;&gt;""),'Q42028'!B74,"")</f>
        <v/>
      </c>
      <c r="C313" t="str">
        <f>IF(AND('Q42028'!B74&lt;&gt;"",'Q42028'!E74&lt;&gt;""),'Q42028'!C74,"")</f>
        <v/>
      </c>
      <c r="D313" t="str">
        <f>IF(AND('Q42028'!B74&lt;&gt;"",'Q42028'!E74&lt;&gt;""),'Q42028'!D74,"")</f>
        <v/>
      </c>
      <c r="E313" t="str">
        <f>IF(AND('Q42028'!B74&lt;&gt;"",'Q42028'!E74&lt;&gt;""),'Q42028'!H74,"")</f>
        <v/>
      </c>
      <c r="F313" t="str">
        <f>IF(AND('Q42028'!B74&lt;&gt;"",'Q42028'!E74&lt;&gt;""),'Q42028'!F74,"")</f>
        <v/>
      </c>
      <c r="G313" t="str">
        <f>IF(AND('Q42028'!B74&lt;&gt;"",'Q42028'!E74&lt;&gt;""),'Q42028'!G74,"")</f>
        <v/>
      </c>
      <c r="H313" t="str">
        <f>IF(AND('Q42028'!B74&lt;&gt;"",'Q42028'!E74&lt;&gt;""),"Q42028","")</f>
        <v/>
      </c>
      <c r="I313" t="str">
        <f>IF(A313="Q12028",COUNTIF($A$2:$A313,"Q12028"),"")</f>
        <v/>
      </c>
      <c r="J313" t="str">
        <f>IF(A313="Q22028",COUNTIF($A$2:$A313,"Q22028"),"")</f>
        <v/>
      </c>
      <c r="K313" t="str">
        <f>IF(A313="Q32028",COUNTIF($A$2:$A313,"Q32028"),"")</f>
        <v/>
      </c>
      <c r="L313" t="str">
        <f>IF(A313="Q42028",COUNTIF($A$2:$A313,"Q42028"),"")</f>
        <v/>
      </c>
      <c r="M313" t="str">
        <f>IF(A313="Backlog",COUNTIF($A$2:$A313,"Backlog"),"")</f>
        <v/>
      </c>
    </row>
    <row r="314" spans="1:13">
      <c r="A314" t="str">
        <f>IF(AND('Q42028'!B75&lt;&gt;"",'Q42028'!E75&lt;&gt;""),'Q42028'!E75,"")</f>
        <v/>
      </c>
      <c r="B314" t="str">
        <f>IF(AND('Q42028'!B75&lt;&gt;"",'Q42028'!E75&lt;&gt;""),'Q42028'!B75,"")</f>
        <v/>
      </c>
      <c r="C314" t="str">
        <f>IF(AND('Q42028'!B75&lt;&gt;"",'Q42028'!E75&lt;&gt;""),'Q42028'!C75,"")</f>
        <v/>
      </c>
      <c r="D314" t="str">
        <f>IF(AND('Q42028'!B75&lt;&gt;"",'Q42028'!E75&lt;&gt;""),'Q42028'!D75,"")</f>
        <v/>
      </c>
      <c r="E314" t="str">
        <f>IF(AND('Q42028'!B75&lt;&gt;"",'Q42028'!E75&lt;&gt;""),'Q42028'!H75,"")</f>
        <v/>
      </c>
      <c r="F314" t="str">
        <f>IF(AND('Q42028'!B75&lt;&gt;"",'Q42028'!E75&lt;&gt;""),'Q42028'!F75,"")</f>
        <v/>
      </c>
      <c r="G314" t="str">
        <f>IF(AND('Q42028'!B75&lt;&gt;"",'Q42028'!E75&lt;&gt;""),'Q42028'!G75,"")</f>
        <v/>
      </c>
      <c r="H314" t="str">
        <f>IF(AND('Q42028'!B75&lt;&gt;"",'Q42028'!E75&lt;&gt;""),"Q42028","")</f>
        <v/>
      </c>
      <c r="I314" t="str">
        <f>IF(A314="Q12028",COUNTIF($A$2:$A314,"Q12028"),"")</f>
        <v/>
      </c>
      <c r="J314" t="str">
        <f>IF(A314="Q22028",COUNTIF($A$2:$A314,"Q22028"),"")</f>
        <v/>
      </c>
      <c r="K314" t="str">
        <f>IF(A314="Q32028",COUNTIF($A$2:$A314,"Q32028"),"")</f>
        <v/>
      </c>
      <c r="L314" t="str">
        <f>IF(A314="Q42028",COUNTIF($A$2:$A314,"Q42028"),"")</f>
        <v/>
      </c>
      <c r="M314" t="str">
        <f>IF(A314="Backlog",COUNTIF($A$2:$A314,"Backlog"),"")</f>
        <v/>
      </c>
    </row>
    <row r="315" spans="1:13">
      <c r="A315" t="str">
        <f>IF(AND('Q42028'!B76&lt;&gt;"",'Q42028'!E76&lt;&gt;""),'Q42028'!E76,"")</f>
        <v/>
      </c>
      <c r="B315" t="str">
        <f>IF(AND('Q42028'!B76&lt;&gt;"",'Q42028'!E76&lt;&gt;""),'Q42028'!B76,"")</f>
        <v/>
      </c>
      <c r="C315" t="str">
        <f>IF(AND('Q42028'!B76&lt;&gt;"",'Q42028'!E76&lt;&gt;""),'Q42028'!C76,"")</f>
        <v/>
      </c>
      <c r="D315" t="str">
        <f>IF(AND('Q42028'!B76&lt;&gt;"",'Q42028'!E76&lt;&gt;""),'Q42028'!D76,"")</f>
        <v/>
      </c>
      <c r="E315" t="str">
        <f>IF(AND('Q42028'!B76&lt;&gt;"",'Q42028'!E76&lt;&gt;""),'Q42028'!H76,"")</f>
        <v/>
      </c>
      <c r="F315" t="str">
        <f>IF(AND('Q42028'!B76&lt;&gt;"",'Q42028'!E76&lt;&gt;""),'Q42028'!F76,"")</f>
        <v/>
      </c>
      <c r="G315" t="str">
        <f>IF(AND('Q42028'!B76&lt;&gt;"",'Q42028'!E76&lt;&gt;""),'Q42028'!G76,"")</f>
        <v/>
      </c>
      <c r="H315" t="str">
        <f>IF(AND('Q42028'!B76&lt;&gt;"",'Q42028'!E76&lt;&gt;""),"Q42028","")</f>
        <v/>
      </c>
      <c r="I315" t="str">
        <f>IF(A315="Q12028",COUNTIF($A$2:$A315,"Q12028"),"")</f>
        <v/>
      </c>
      <c r="J315" t="str">
        <f>IF(A315="Q22028",COUNTIF($A$2:$A315,"Q22028"),"")</f>
        <v/>
      </c>
      <c r="K315" t="str">
        <f>IF(A315="Q32028",COUNTIF($A$2:$A315,"Q32028"),"")</f>
        <v/>
      </c>
      <c r="L315" t="str">
        <f>IF(A315="Q42028",COUNTIF($A$2:$A315,"Q42028"),"")</f>
        <v/>
      </c>
      <c r="M315" t="str">
        <f>IF(A315="Backlog",COUNTIF($A$2:$A315,"Backlog"),"")</f>
        <v/>
      </c>
    </row>
    <row r="316" spans="1:13">
      <c r="A316" t="str">
        <f>IF(AND('Q42028'!B77&lt;&gt;"",'Q42028'!E77&lt;&gt;""),'Q42028'!E77,"")</f>
        <v/>
      </c>
      <c r="B316" t="str">
        <f>IF(AND('Q42028'!B77&lt;&gt;"",'Q42028'!E77&lt;&gt;""),'Q42028'!B77,"")</f>
        <v/>
      </c>
      <c r="C316" t="str">
        <f>IF(AND('Q42028'!B77&lt;&gt;"",'Q42028'!E77&lt;&gt;""),'Q42028'!C77,"")</f>
        <v/>
      </c>
      <c r="D316" t="str">
        <f>IF(AND('Q42028'!B77&lt;&gt;"",'Q42028'!E77&lt;&gt;""),'Q42028'!D77,"")</f>
        <v/>
      </c>
      <c r="E316" t="str">
        <f>IF(AND('Q42028'!B77&lt;&gt;"",'Q42028'!E77&lt;&gt;""),'Q42028'!H77,"")</f>
        <v/>
      </c>
      <c r="F316" t="str">
        <f>IF(AND('Q42028'!B77&lt;&gt;"",'Q42028'!E77&lt;&gt;""),'Q42028'!F77,"")</f>
        <v/>
      </c>
      <c r="G316" t="str">
        <f>IF(AND('Q42028'!B77&lt;&gt;"",'Q42028'!E77&lt;&gt;""),'Q42028'!G77,"")</f>
        <v/>
      </c>
      <c r="H316" t="str">
        <f>IF(AND('Q42028'!B77&lt;&gt;"",'Q42028'!E77&lt;&gt;""),"Q42028","")</f>
        <v/>
      </c>
      <c r="I316" t="str">
        <f>IF(A316="Q12028",COUNTIF($A$2:$A316,"Q12028"),"")</f>
        <v/>
      </c>
      <c r="J316" t="str">
        <f>IF(A316="Q22028",COUNTIF($A$2:$A316,"Q22028"),"")</f>
        <v/>
      </c>
      <c r="K316" t="str">
        <f>IF(A316="Q32028",COUNTIF($A$2:$A316,"Q32028"),"")</f>
        <v/>
      </c>
      <c r="L316" t="str">
        <f>IF(A316="Q42028",COUNTIF($A$2:$A316,"Q42028"),"")</f>
        <v/>
      </c>
      <c r="M316" t="str">
        <f>IF(A316="Backlog",COUNTIF($A$2:$A316,"Backlog"),"")</f>
        <v/>
      </c>
    </row>
    <row r="317" spans="1:13">
      <c r="A317" t="str">
        <f>IF(AND('Q42028'!B78&lt;&gt;"",'Q42028'!E78&lt;&gt;""),'Q42028'!E78,"")</f>
        <v/>
      </c>
      <c r="B317" t="str">
        <f>IF(AND('Q42028'!B78&lt;&gt;"",'Q42028'!E78&lt;&gt;""),'Q42028'!B78,"")</f>
        <v/>
      </c>
      <c r="C317" t="str">
        <f>IF(AND('Q42028'!B78&lt;&gt;"",'Q42028'!E78&lt;&gt;""),'Q42028'!C78,"")</f>
        <v/>
      </c>
      <c r="D317" t="str">
        <f>IF(AND('Q42028'!B78&lt;&gt;"",'Q42028'!E78&lt;&gt;""),'Q42028'!D78,"")</f>
        <v/>
      </c>
      <c r="E317" t="str">
        <f>IF(AND('Q42028'!B78&lt;&gt;"",'Q42028'!E78&lt;&gt;""),'Q42028'!H78,"")</f>
        <v/>
      </c>
      <c r="F317" t="str">
        <f>IF(AND('Q42028'!B78&lt;&gt;"",'Q42028'!E78&lt;&gt;""),'Q42028'!F78,"")</f>
        <v/>
      </c>
      <c r="G317" t="str">
        <f>IF(AND('Q42028'!B78&lt;&gt;"",'Q42028'!E78&lt;&gt;""),'Q42028'!G78,"")</f>
        <v/>
      </c>
      <c r="H317" t="str">
        <f>IF(AND('Q42028'!B78&lt;&gt;"",'Q42028'!E78&lt;&gt;""),"Q42028","")</f>
        <v/>
      </c>
      <c r="I317" t="str">
        <f>IF(A317="Q12028",COUNTIF($A$2:$A317,"Q12028"),"")</f>
        <v/>
      </c>
      <c r="J317" t="str">
        <f>IF(A317="Q22028",COUNTIF($A$2:$A317,"Q22028"),"")</f>
        <v/>
      </c>
      <c r="K317" t="str">
        <f>IF(A317="Q32028",COUNTIF($A$2:$A317,"Q32028"),"")</f>
        <v/>
      </c>
      <c r="L317" t="str">
        <f>IF(A317="Q42028",COUNTIF($A$2:$A317,"Q42028"),"")</f>
        <v/>
      </c>
      <c r="M317" t="str">
        <f>IF(A317="Backlog",COUNTIF($A$2:$A317,"Backlog"),"")</f>
        <v/>
      </c>
    </row>
    <row r="318" spans="1:13">
      <c r="A318" t="str">
        <f>IF(AND('Q42028'!B79&lt;&gt;"",'Q42028'!E79&lt;&gt;""),'Q42028'!E79,"")</f>
        <v/>
      </c>
      <c r="B318" t="str">
        <f>IF(AND('Q42028'!B79&lt;&gt;"",'Q42028'!E79&lt;&gt;""),'Q42028'!B79,"")</f>
        <v/>
      </c>
      <c r="C318" t="str">
        <f>IF(AND('Q42028'!B79&lt;&gt;"",'Q42028'!E79&lt;&gt;""),'Q42028'!C79,"")</f>
        <v/>
      </c>
      <c r="D318" t="str">
        <f>IF(AND('Q42028'!B79&lt;&gt;"",'Q42028'!E79&lt;&gt;""),'Q42028'!D79,"")</f>
        <v/>
      </c>
      <c r="E318" t="str">
        <f>IF(AND('Q42028'!B79&lt;&gt;"",'Q42028'!E79&lt;&gt;""),'Q42028'!H79,"")</f>
        <v/>
      </c>
      <c r="F318" t="str">
        <f>IF(AND('Q42028'!B79&lt;&gt;"",'Q42028'!E79&lt;&gt;""),'Q42028'!F79,"")</f>
        <v/>
      </c>
      <c r="G318" t="str">
        <f>IF(AND('Q42028'!B79&lt;&gt;"",'Q42028'!E79&lt;&gt;""),'Q42028'!G79,"")</f>
        <v/>
      </c>
      <c r="H318" t="str">
        <f>IF(AND('Q42028'!B79&lt;&gt;"",'Q42028'!E79&lt;&gt;""),"Q42028","")</f>
        <v/>
      </c>
      <c r="I318" t="str">
        <f>IF(A318="Q12028",COUNTIF($A$2:$A318,"Q12028"),"")</f>
        <v/>
      </c>
      <c r="J318" t="str">
        <f>IF(A318="Q22028",COUNTIF($A$2:$A318,"Q22028"),"")</f>
        <v/>
      </c>
      <c r="K318" t="str">
        <f>IF(A318="Q32028",COUNTIF($A$2:$A318,"Q32028"),"")</f>
        <v/>
      </c>
      <c r="L318" t="str">
        <f>IF(A318="Q42028",COUNTIF($A$2:$A318,"Q42028"),"")</f>
        <v/>
      </c>
      <c r="M318" t="str">
        <f>IF(A318="Backlog",COUNTIF($A$2:$A318,"Backlog"),"")</f>
        <v/>
      </c>
    </row>
    <row r="319" spans="1:13">
      <c r="A319" t="str">
        <f>IF(AND('Q42028'!B80&lt;&gt;"",'Q42028'!E80&lt;&gt;""),'Q42028'!E80,"")</f>
        <v/>
      </c>
      <c r="B319" t="str">
        <f>IF(AND('Q42028'!B80&lt;&gt;"",'Q42028'!E80&lt;&gt;""),'Q42028'!B80,"")</f>
        <v/>
      </c>
      <c r="C319" t="str">
        <f>IF(AND('Q42028'!B80&lt;&gt;"",'Q42028'!E80&lt;&gt;""),'Q42028'!C80,"")</f>
        <v/>
      </c>
      <c r="D319" t="str">
        <f>IF(AND('Q42028'!B80&lt;&gt;"",'Q42028'!E80&lt;&gt;""),'Q42028'!D80,"")</f>
        <v/>
      </c>
      <c r="E319" t="str">
        <f>IF(AND('Q42028'!B80&lt;&gt;"",'Q42028'!E80&lt;&gt;""),'Q42028'!H80,"")</f>
        <v/>
      </c>
      <c r="F319" t="str">
        <f>IF(AND('Q42028'!B80&lt;&gt;"",'Q42028'!E80&lt;&gt;""),'Q42028'!F80,"")</f>
        <v/>
      </c>
      <c r="G319" t="str">
        <f>IF(AND('Q42028'!B80&lt;&gt;"",'Q42028'!E80&lt;&gt;""),'Q42028'!G80,"")</f>
        <v/>
      </c>
      <c r="H319" t="str">
        <f>IF(AND('Q42028'!B80&lt;&gt;"",'Q42028'!E80&lt;&gt;""),"Q42028","")</f>
        <v/>
      </c>
      <c r="I319" t="str">
        <f>IF(A319="Q12028",COUNTIF($A$2:$A319,"Q12028"),"")</f>
        <v/>
      </c>
      <c r="J319" t="str">
        <f>IF(A319="Q22028",COUNTIF($A$2:$A319,"Q22028"),"")</f>
        <v/>
      </c>
      <c r="K319" t="str">
        <f>IF(A319="Q32028",COUNTIF($A$2:$A319,"Q32028"),"")</f>
        <v/>
      </c>
      <c r="L319" t="str">
        <f>IF(A319="Q42028",COUNTIF($A$2:$A319,"Q42028"),"")</f>
        <v/>
      </c>
      <c r="M319" t="str">
        <f>IF(A319="Backlog",COUNTIF($A$2:$A319,"Backlog"),"")</f>
        <v/>
      </c>
    </row>
    <row r="320" spans="1:13">
      <c r="A320" t="str">
        <f>IF(AND('Q42028'!B81&lt;&gt;"",'Q42028'!E81&lt;&gt;""),'Q42028'!E81,"")</f>
        <v/>
      </c>
      <c r="B320" t="str">
        <f>IF(AND('Q42028'!B81&lt;&gt;"",'Q42028'!E81&lt;&gt;""),'Q42028'!B81,"")</f>
        <v/>
      </c>
      <c r="C320" t="str">
        <f>IF(AND('Q42028'!B81&lt;&gt;"",'Q42028'!E81&lt;&gt;""),'Q42028'!C81,"")</f>
        <v/>
      </c>
      <c r="D320" t="str">
        <f>IF(AND('Q42028'!B81&lt;&gt;"",'Q42028'!E81&lt;&gt;""),'Q42028'!D81,"")</f>
        <v/>
      </c>
      <c r="E320" t="str">
        <f>IF(AND('Q42028'!B81&lt;&gt;"",'Q42028'!E81&lt;&gt;""),'Q42028'!H81,"")</f>
        <v/>
      </c>
      <c r="F320" t="str">
        <f>IF(AND('Q42028'!B81&lt;&gt;"",'Q42028'!E81&lt;&gt;""),'Q42028'!F81,"")</f>
        <v/>
      </c>
      <c r="G320" t="str">
        <f>IF(AND('Q42028'!B81&lt;&gt;"",'Q42028'!E81&lt;&gt;""),'Q42028'!G81,"")</f>
        <v/>
      </c>
      <c r="H320" t="str">
        <f>IF(AND('Q42028'!B81&lt;&gt;"",'Q42028'!E81&lt;&gt;""),"Q42028","")</f>
        <v/>
      </c>
      <c r="I320" t="str">
        <f>IF(A320="Q12028",COUNTIF($A$2:$A320,"Q12028"),"")</f>
        <v/>
      </c>
      <c r="J320" t="str">
        <f>IF(A320="Q22028",COUNTIF($A$2:$A320,"Q22028"),"")</f>
        <v/>
      </c>
      <c r="K320" t="str">
        <f>IF(A320="Q32028",COUNTIF($A$2:$A320,"Q32028"),"")</f>
        <v/>
      </c>
      <c r="L320" t="str">
        <f>IF(A320="Q42028",COUNTIF($A$2:$A320,"Q42028"),"")</f>
        <v/>
      </c>
      <c r="M320" t="str">
        <f>IF(A320="Backlog",COUNTIF($A$2:$A320,"Backlog"),"")</f>
        <v/>
      </c>
    </row>
    <row r="321" spans="1:13">
      <c r="A321" t="str">
        <f>IF(AND('Q42028'!B82&lt;&gt;"",'Q42028'!E82&lt;&gt;""),'Q42028'!E82,"")</f>
        <v/>
      </c>
      <c r="B321" t="str">
        <f>IF(AND('Q42028'!B82&lt;&gt;"",'Q42028'!E82&lt;&gt;""),'Q42028'!B82,"")</f>
        <v/>
      </c>
      <c r="C321" t="str">
        <f>IF(AND('Q42028'!B82&lt;&gt;"",'Q42028'!E82&lt;&gt;""),'Q42028'!C82,"")</f>
        <v/>
      </c>
      <c r="D321" t="str">
        <f>IF(AND('Q42028'!B82&lt;&gt;"",'Q42028'!E82&lt;&gt;""),'Q42028'!D82,"")</f>
        <v/>
      </c>
      <c r="E321" t="str">
        <f>IF(AND('Q42028'!B82&lt;&gt;"",'Q42028'!E82&lt;&gt;""),'Q42028'!H82,"")</f>
        <v/>
      </c>
      <c r="F321" t="str">
        <f>IF(AND('Q42028'!B82&lt;&gt;"",'Q42028'!E82&lt;&gt;""),'Q42028'!F82,"")</f>
        <v/>
      </c>
      <c r="G321" t="str">
        <f>IF(AND('Q42028'!B82&lt;&gt;"",'Q42028'!E82&lt;&gt;""),'Q42028'!G82,"")</f>
        <v/>
      </c>
      <c r="H321" t="str">
        <f>IF(AND('Q42028'!B82&lt;&gt;"",'Q42028'!E82&lt;&gt;""),"Q42028","")</f>
        <v/>
      </c>
      <c r="I321" t="str">
        <f>IF(A321="Q12028",COUNTIF($A$2:$A321,"Q12028"),"")</f>
        <v/>
      </c>
      <c r="J321" t="str">
        <f>IF(A321="Q22028",COUNTIF($A$2:$A321,"Q22028"),"")</f>
        <v/>
      </c>
      <c r="K321" t="str">
        <f>IF(A321="Q32028",COUNTIF($A$2:$A321,"Q32028"),"")</f>
        <v/>
      </c>
      <c r="L321" t="str">
        <f>IF(A321="Q42028",COUNTIF($A$2:$A321,"Q42028"),"")</f>
        <v/>
      </c>
      <c r="M321" t="str">
        <f>IF(A321="Backlog",COUNTIF($A$2:$A321,"Backlog"),"")</f>
        <v/>
      </c>
    </row>
    <row r="322" spans="1:13">
      <c r="A322" t="str">
        <f>IF(AND('PO-Backlog2028'!B3&lt;&gt;"",'PO-Backlog2028'!E3&lt;&gt;""),'PO-Backlog2028'!E3,"")</f>
        <v/>
      </c>
      <c r="B322" t="str">
        <f>IF(AND('PO-Backlog2028'!B3&lt;&gt;"",'PO-Backlog2028'!E3&lt;&gt;""),'PO-Backlog2028'!B3,"")</f>
        <v/>
      </c>
      <c r="C322" t="str">
        <f>IF(AND('PO-Backlog2028'!B3&lt;&gt;"",'PO-Backlog2028'!E3&lt;&gt;""),'PO-Backlog2028'!C3,"")</f>
        <v/>
      </c>
      <c r="D322" t="str">
        <f>IF(AND('PO-Backlog2028'!B3&lt;&gt;"",'PO-Backlog2028'!E3&lt;&gt;""),'PO-Backlog2028'!D3,"")</f>
        <v/>
      </c>
      <c r="E322" t="str">
        <f>IF(AND('PO-Backlog2028'!B3&lt;&gt;"",'PO-Backlog2028'!E3&lt;&gt;""),'PO-Backlog2028'!H3,"")</f>
        <v/>
      </c>
      <c r="F322" t="str">
        <f>IF(AND('PO-Backlog2028'!B3&lt;&gt;"",'PO-Backlog2028'!E3&lt;&gt;""),'PO-Backlog2028'!F3,"")</f>
        <v/>
      </c>
      <c r="G322" t="str">
        <f>IF(AND('PO-Backlog2028'!B3&lt;&gt;"",'PO-Backlog2028'!E3&lt;&gt;""),'PO-Backlog2028'!G3,"")</f>
        <v/>
      </c>
      <c r="H322" t="str">
        <f>IF(AND('PO-Backlog2028'!B3&lt;&gt;"",'PO-Backlog2028'!E3&lt;&gt;""),"PO-Backlog2028","")</f>
        <v/>
      </c>
      <c r="I322" t="str">
        <f>IF(A322="Q12028",COUNTIF($A$2:$A322,"Q12028"),"")</f>
        <v/>
      </c>
      <c r="J322" t="str">
        <f>IF(A322="Q22028",COUNTIF($A$2:$A322,"Q22028"),"")</f>
        <v/>
      </c>
      <c r="K322" t="str">
        <f>IF(A322="Q32028",COUNTIF($A$2:$A322,"Q32028"),"")</f>
        <v/>
      </c>
      <c r="L322" t="str">
        <f>IF(A322="Q42028",COUNTIF($A$2:$A322,"Q42028"),"")</f>
        <v/>
      </c>
      <c r="M322" t="str">
        <f>IF(A322="Backlog",COUNTIF($A$2:$A322,"Backlog"),"")</f>
        <v/>
      </c>
    </row>
    <row r="323" spans="1:13">
      <c r="A323" t="str">
        <f>IF(AND('PO-Backlog2028'!B4&lt;&gt;"",'PO-Backlog2028'!E4&lt;&gt;""),'PO-Backlog2028'!E4,"")</f>
        <v/>
      </c>
      <c r="B323" t="str">
        <f>IF(AND('PO-Backlog2028'!B4&lt;&gt;"",'PO-Backlog2028'!E4&lt;&gt;""),'PO-Backlog2028'!B4,"")</f>
        <v/>
      </c>
      <c r="C323" t="str">
        <f>IF(AND('PO-Backlog2028'!B4&lt;&gt;"",'PO-Backlog2028'!E4&lt;&gt;""),'PO-Backlog2028'!C4,"")</f>
        <v/>
      </c>
      <c r="D323" t="str">
        <f>IF(AND('PO-Backlog2028'!B4&lt;&gt;"",'PO-Backlog2028'!E4&lt;&gt;""),'PO-Backlog2028'!D4,"")</f>
        <v/>
      </c>
      <c r="E323" t="str">
        <f>IF(AND('PO-Backlog2028'!B4&lt;&gt;"",'PO-Backlog2028'!E4&lt;&gt;""),'PO-Backlog2028'!H4,"")</f>
        <v/>
      </c>
      <c r="F323" t="str">
        <f>IF(AND('PO-Backlog2028'!B4&lt;&gt;"",'PO-Backlog2028'!E4&lt;&gt;""),'PO-Backlog2028'!F4,"")</f>
        <v/>
      </c>
      <c r="G323" t="str">
        <f>IF(AND('PO-Backlog2028'!B4&lt;&gt;"",'PO-Backlog2028'!E4&lt;&gt;""),'PO-Backlog2028'!G4,"")</f>
        <v/>
      </c>
      <c r="H323" t="str">
        <f>IF(AND('PO-Backlog2028'!B4&lt;&gt;"",'PO-Backlog2028'!E4&lt;&gt;""),"PO-Backlog2028","")</f>
        <v/>
      </c>
      <c r="I323" t="str">
        <f>IF(A323="Q12028",COUNTIF($A$2:$A323,"Q12028"),"")</f>
        <v/>
      </c>
      <c r="J323" t="str">
        <f>IF(A323="Q22028",COUNTIF($A$2:$A323,"Q22028"),"")</f>
        <v/>
      </c>
      <c r="K323" t="str">
        <f>IF(A323="Q32028",COUNTIF($A$2:$A323,"Q32028"),"")</f>
        <v/>
      </c>
      <c r="L323" t="str">
        <f>IF(A323="Q42028",COUNTIF($A$2:$A323,"Q42028"),"")</f>
        <v/>
      </c>
      <c r="M323" t="str">
        <f>IF(A323="Backlog",COUNTIF($A$2:$A323,"Backlog"),"")</f>
        <v/>
      </c>
    </row>
    <row r="324" spans="1:13">
      <c r="A324" t="str">
        <f>IF(AND('PO-Backlog2028'!B5&lt;&gt;"",'PO-Backlog2028'!E5&lt;&gt;""),'PO-Backlog2028'!E5,"")</f>
        <v/>
      </c>
      <c r="B324" t="str">
        <f>IF(AND('PO-Backlog2028'!B5&lt;&gt;"",'PO-Backlog2028'!E5&lt;&gt;""),'PO-Backlog2028'!B5,"")</f>
        <v/>
      </c>
      <c r="C324" t="str">
        <f>IF(AND('PO-Backlog2028'!B5&lt;&gt;"",'PO-Backlog2028'!E5&lt;&gt;""),'PO-Backlog2028'!C5,"")</f>
        <v/>
      </c>
      <c r="D324" t="str">
        <f>IF(AND('PO-Backlog2028'!B5&lt;&gt;"",'PO-Backlog2028'!E5&lt;&gt;""),'PO-Backlog2028'!D5,"")</f>
        <v/>
      </c>
      <c r="E324" t="str">
        <f>IF(AND('PO-Backlog2028'!B5&lt;&gt;"",'PO-Backlog2028'!E5&lt;&gt;""),'PO-Backlog2028'!H5,"")</f>
        <v/>
      </c>
      <c r="F324" t="str">
        <f>IF(AND('PO-Backlog2028'!B5&lt;&gt;"",'PO-Backlog2028'!E5&lt;&gt;""),'PO-Backlog2028'!F5,"")</f>
        <v/>
      </c>
      <c r="G324" t="str">
        <f>IF(AND('PO-Backlog2028'!B5&lt;&gt;"",'PO-Backlog2028'!E5&lt;&gt;""),'PO-Backlog2028'!G5,"")</f>
        <v/>
      </c>
      <c r="H324" t="str">
        <f>IF(AND('PO-Backlog2028'!B5&lt;&gt;"",'PO-Backlog2028'!E5&lt;&gt;""),"PO-Backlog2028","")</f>
        <v/>
      </c>
      <c r="I324" t="str">
        <f>IF(A324="Q12028",COUNTIF($A$2:$A324,"Q12028"),"")</f>
        <v/>
      </c>
      <c r="J324" t="str">
        <f>IF(A324="Q22028",COUNTIF($A$2:$A324,"Q22028"),"")</f>
        <v/>
      </c>
      <c r="K324" t="str">
        <f>IF(A324="Q32028",COUNTIF($A$2:$A324,"Q32028"),"")</f>
        <v/>
      </c>
      <c r="L324" t="str">
        <f>IF(A324="Q42028",COUNTIF($A$2:$A324,"Q42028"),"")</f>
        <v/>
      </c>
      <c r="M324" t="str">
        <f>IF(A324="Backlog",COUNTIF($A$2:$A324,"Backlog"),"")</f>
        <v/>
      </c>
    </row>
    <row r="325" spans="1:13">
      <c r="A325" t="str">
        <f>IF(AND('PO-Backlog2028'!B6&lt;&gt;"",'PO-Backlog2028'!E6&lt;&gt;""),'PO-Backlog2028'!E6,"")</f>
        <v/>
      </c>
      <c r="B325" t="str">
        <f>IF(AND('PO-Backlog2028'!B6&lt;&gt;"",'PO-Backlog2028'!E6&lt;&gt;""),'PO-Backlog2028'!B6,"")</f>
        <v/>
      </c>
      <c r="C325" t="str">
        <f>IF(AND('PO-Backlog2028'!B6&lt;&gt;"",'PO-Backlog2028'!E6&lt;&gt;""),'PO-Backlog2028'!C6,"")</f>
        <v/>
      </c>
      <c r="D325" t="str">
        <f>IF(AND('PO-Backlog2028'!B6&lt;&gt;"",'PO-Backlog2028'!E6&lt;&gt;""),'PO-Backlog2028'!D6,"")</f>
        <v/>
      </c>
      <c r="E325" t="str">
        <f>IF(AND('PO-Backlog2028'!B6&lt;&gt;"",'PO-Backlog2028'!E6&lt;&gt;""),'PO-Backlog2028'!H6,"")</f>
        <v/>
      </c>
      <c r="F325" t="str">
        <f>IF(AND('PO-Backlog2028'!B6&lt;&gt;"",'PO-Backlog2028'!E6&lt;&gt;""),'PO-Backlog2028'!F6,"")</f>
        <v/>
      </c>
      <c r="G325" t="str">
        <f>IF(AND('PO-Backlog2028'!B6&lt;&gt;"",'PO-Backlog2028'!E6&lt;&gt;""),'PO-Backlog2028'!G6,"")</f>
        <v/>
      </c>
      <c r="H325" t="str">
        <f>IF(AND('PO-Backlog2028'!B6&lt;&gt;"",'PO-Backlog2028'!E6&lt;&gt;""),"PO-Backlog2028","")</f>
        <v/>
      </c>
      <c r="I325" t="str">
        <f>IF(A325="Q12028",COUNTIF($A$2:$A325,"Q12028"),"")</f>
        <v/>
      </c>
      <c r="J325" t="str">
        <f>IF(A325="Q22028",COUNTIF($A$2:$A325,"Q22028"),"")</f>
        <v/>
      </c>
      <c r="K325" t="str">
        <f>IF(A325="Q32028",COUNTIF($A$2:$A325,"Q32028"),"")</f>
        <v/>
      </c>
      <c r="L325" t="str">
        <f>IF(A325="Q42028",COUNTIF($A$2:$A325,"Q42028"),"")</f>
        <v/>
      </c>
      <c r="M325" t="str">
        <f>IF(A325="Backlog",COUNTIF($A$2:$A325,"Backlog"),"")</f>
        <v/>
      </c>
    </row>
    <row r="326" spans="1:13">
      <c r="A326" t="str">
        <f>IF(AND('PO-Backlog2028'!B7&lt;&gt;"",'PO-Backlog2028'!E7&lt;&gt;""),'PO-Backlog2028'!E7,"")</f>
        <v/>
      </c>
      <c r="B326" t="str">
        <f>IF(AND('PO-Backlog2028'!B7&lt;&gt;"",'PO-Backlog2028'!E7&lt;&gt;""),'PO-Backlog2028'!B7,"")</f>
        <v/>
      </c>
      <c r="C326" t="str">
        <f>IF(AND('PO-Backlog2028'!B7&lt;&gt;"",'PO-Backlog2028'!E7&lt;&gt;""),'PO-Backlog2028'!C7,"")</f>
        <v/>
      </c>
      <c r="D326" t="str">
        <f>IF(AND('PO-Backlog2028'!B7&lt;&gt;"",'PO-Backlog2028'!E7&lt;&gt;""),'PO-Backlog2028'!D7,"")</f>
        <v/>
      </c>
      <c r="E326" t="str">
        <f>IF(AND('PO-Backlog2028'!B7&lt;&gt;"",'PO-Backlog2028'!E7&lt;&gt;""),'PO-Backlog2028'!H7,"")</f>
        <v/>
      </c>
      <c r="F326" t="str">
        <f>IF(AND('PO-Backlog2028'!B7&lt;&gt;"",'PO-Backlog2028'!E7&lt;&gt;""),'PO-Backlog2028'!F7,"")</f>
        <v/>
      </c>
      <c r="G326" t="str">
        <f>IF(AND('PO-Backlog2028'!B7&lt;&gt;"",'PO-Backlog2028'!E7&lt;&gt;""),'PO-Backlog2028'!G7,"")</f>
        <v/>
      </c>
      <c r="H326" t="str">
        <f>IF(AND('PO-Backlog2028'!B7&lt;&gt;"",'PO-Backlog2028'!E7&lt;&gt;""),"PO-Backlog2028","")</f>
        <v/>
      </c>
      <c r="I326" t="str">
        <f>IF(A326="Q12028",COUNTIF($A$2:$A326,"Q12028"),"")</f>
        <v/>
      </c>
      <c r="J326" t="str">
        <f>IF(A326="Q22028",COUNTIF($A$2:$A326,"Q22028"),"")</f>
        <v/>
      </c>
      <c r="K326" t="str">
        <f>IF(A326="Q32028",COUNTIF($A$2:$A326,"Q32028"),"")</f>
        <v/>
      </c>
      <c r="L326" t="str">
        <f>IF(A326="Q42028",COUNTIF($A$2:$A326,"Q42028"),"")</f>
        <v/>
      </c>
      <c r="M326" t="str">
        <f>IF(A326="Backlog",COUNTIF($A$2:$A326,"Backlog"),"")</f>
        <v/>
      </c>
    </row>
    <row r="327" spans="1:13">
      <c r="A327" t="str">
        <f>IF(AND('PO-Backlog2028'!B8&lt;&gt;"",'PO-Backlog2028'!E8&lt;&gt;""),'PO-Backlog2028'!E8,"")</f>
        <v/>
      </c>
      <c r="B327" t="str">
        <f>IF(AND('PO-Backlog2028'!B8&lt;&gt;"",'PO-Backlog2028'!E8&lt;&gt;""),'PO-Backlog2028'!B8,"")</f>
        <v/>
      </c>
      <c r="C327" t="str">
        <f>IF(AND('PO-Backlog2028'!B8&lt;&gt;"",'PO-Backlog2028'!E8&lt;&gt;""),'PO-Backlog2028'!C8,"")</f>
        <v/>
      </c>
      <c r="D327" t="str">
        <f>IF(AND('PO-Backlog2028'!B8&lt;&gt;"",'PO-Backlog2028'!E8&lt;&gt;""),'PO-Backlog2028'!D8,"")</f>
        <v/>
      </c>
      <c r="E327" t="str">
        <f>IF(AND('PO-Backlog2028'!B8&lt;&gt;"",'PO-Backlog2028'!E8&lt;&gt;""),'PO-Backlog2028'!H8,"")</f>
        <v/>
      </c>
      <c r="F327" t="str">
        <f>IF(AND('PO-Backlog2028'!B8&lt;&gt;"",'PO-Backlog2028'!E8&lt;&gt;""),'PO-Backlog2028'!F8,"")</f>
        <v/>
      </c>
      <c r="G327" t="str">
        <f>IF(AND('PO-Backlog2028'!B8&lt;&gt;"",'PO-Backlog2028'!E8&lt;&gt;""),'PO-Backlog2028'!G8,"")</f>
        <v/>
      </c>
      <c r="H327" t="str">
        <f>IF(AND('PO-Backlog2028'!B8&lt;&gt;"",'PO-Backlog2028'!E8&lt;&gt;""),"PO-Backlog2028","")</f>
        <v/>
      </c>
      <c r="I327" t="str">
        <f>IF(A327="Q12028",COUNTIF($A$2:$A327,"Q12028"),"")</f>
        <v/>
      </c>
      <c r="J327" t="str">
        <f>IF(A327="Q22028",COUNTIF($A$2:$A327,"Q22028"),"")</f>
        <v/>
      </c>
      <c r="K327" t="str">
        <f>IF(A327="Q32028",COUNTIF($A$2:$A327,"Q32028"),"")</f>
        <v/>
      </c>
      <c r="L327" t="str">
        <f>IF(A327="Q42028",COUNTIF($A$2:$A327,"Q42028"),"")</f>
        <v/>
      </c>
      <c r="M327" t="str">
        <f>IF(A327="Backlog",COUNTIF($A$2:$A327,"Backlog"),"")</f>
        <v/>
      </c>
    </row>
    <row r="328" spans="1:13">
      <c r="A328" t="str">
        <f>IF(AND('PO-Backlog2028'!B9&lt;&gt;"",'PO-Backlog2028'!E9&lt;&gt;""),'PO-Backlog2028'!E9,"")</f>
        <v/>
      </c>
      <c r="B328" t="str">
        <f>IF(AND('PO-Backlog2028'!B9&lt;&gt;"",'PO-Backlog2028'!E9&lt;&gt;""),'PO-Backlog2028'!B9,"")</f>
        <v/>
      </c>
      <c r="C328" t="str">
        <f>IF(AND('PO-Backlog2028'!B9&lt;&gt;"",'PO-Backlog2028'!E9&lt;&gt;""),'PO-Backlog2028'!C9,"")</f>
        <v/>
      </c>
      <c r="D328" t="str">
        <f>IF(AND('PO-Backlog2028'!B9&lt;&gt;"",'PO-Backlog2028'!E9&lt;&gt;""),'PO-Backlog2028'!D9,"")</f>
        <v/>
      </c>
      <c r="E328" t="str">
        <f>IF(AND('PO-Backlog2028'!B9&lt;&gt;"",'PO-Backlog2028'!E9&lt;&gt;""),'PO-Backlog2028'!H9,"")</f>
        <v/>
      </c>
      <c r="F328" t="str">
        <f>IF(AND('PO-Backlog2028'!B9&lt;&gt;"",'PO-Backlog2028'!E9&lt;&gt;""),'PO-Backlog2028'!F9,"")</f>
        <v/>
      </c>
      <c r="G328" t="str">
        <f>IF(AND('PO-Backlog2028'!B9&lt;&gt;"",'PO-Backlog2028'!E9&lt;&gt;""),'PO-Backlog2028'!G9,"")</f>
        <v/>
      </c>
      <c r="H328" t="str">
        <f>IF(AND('PO-Backlog2028'!B9&lt;&gt;"",'PO-Backlog2028'!E9&lt;&gt;""),"PO-Backlog2028","")</f>
        <v/>
      </c>
      <c r="I328" t="str">
        <f>IF(A328="Q12028",COUNTIF($A$2:$A328,"Q12028"),"")</f>
        <v/>
      </c>
      <c r="J328" t="str">
        <f>IF(A328="Q22028",COUNTIF($A$2:$A328,"Q22028"),"")</f>
        <v/>
      </c>
      <c r="K328" t="str">
        <f>IF(A328="Q32028",COUNTIF($A$2:$A328,"Q32028"),"")</f>
        <v/>
      </c>
      <c r="L328" t="str">
        <f>IF(A328="Q42028",COUNTIF($A$2:$A328,"Q42028"),"")</f>
        <v/>
      </c>
      <c r="M328" t="str">
        <f>IF(A328="Backlog",COUNTIF($A$2:$A328,"Backlog"),"")</f>
        <v/>
      </c>
    </row>
    <row r="329" spans="1:13">
      <c r="A329" t="str">
        <f>IF(AND('PO-Backlog2028'!B10&lt;&gt;"",'PO-Backlog2028'!E10&lt;&gt;""),'PO-Backlog2028'!E10,"")</f>
        <v/>
      </c>
      <c r="B329" t="str">
        <f>IF(AND('PO-Backlog2028'!B10&lt;&gt;"",'PO-Backlog2028'!E10&lt;&gt;""),'PO-Backlog2028'!B10,"")</f>
        <v/>
      </c>
      <c r="C329" t="str">
        <f>IF(AND('PO-Backlog2028'!B10&lt;&gt;"",'PO-Backlog2028'!E10&lt;&gt;""),'PO-Backlog2028'!C10,"")</f>
        <v/>
      </c>
      <c r="D329" t="str">
        <f>IF(AND('PO-Backlog2028'!B10&lt;&gt;"",'PO-Backlog2028'!E10&lt;&gt;""),'PO-Backlog2028'!D10,"")</f>
        <v/>
      </c>
      <c r="E329" t="str">
        <f>IF(AND('PO-Backlog2028'!B10&lt;&gt;"",'PO-Backlog2028'!E10&lt;&gt;""),'PO-Backlog2028'!H10,"")</f>
        <v/>
      </c>
      <c r="F329" t="str">
        <f>IF(AND('PO-Backlog2028'!B10&lt;&gt;"",'PO-Backlog2028'!E10&lt;&gt;""),'PO-Backlog2028'!F10,"")</f>
        <v/>
      </c>
      <c r="G329" t="str">
        <f>IF(AND('PO-Backlog2028'!B10&lt;&gt;"",'PO-Backlog2028'!E10&lt;&gt;""),'PO-Backlog2028'!G10,"")</f>
        <v/>
      </c>
      <c r="H329" t="str">
        <f>IF(AND('PO-Backlog2028'!B10&lt;&gt;"",'PO-Backlog2028'!E10&lt;&gt;""),"PO-Backlog2028","")</f>
        <v/>
      </c>
      <c r="I329" t="str">
        <f>IF(A329="Q12028",COUNTIF($A$2:$A329,"Q12028"),"")</f>
        <v/>
      </c>
      <c r="J329" t="str">
        <f>IF(A329="Q22028",COUNTIF($A$2:$A329,"Q22028"),"")</f>
        <v/>
      </c>
      <c r="K329" t="str">
        <f>IF(A329="Q32028",COUNTIF($A$2:$A329,"Q32028"),"")</f>
        <v/>
      </c>
      <c r="L329" t="str">
        <f>IF(A329="Q42028",COUNTIF($A$2:$A329,"Q42028"),"")</f>
        <v/>
      </c>
      <c r="M329" t="str">
        <f>IF(A329="Backlog",COUNTIF($A$2:$A329,"Backlog"),"")</f>
        <v/>
      </c>
    </row>
    <row r="330" spans="1:13">
      <c r="A330" t="str">
        <f>IF(AND('PO-Backlog2028'!B11&lt;&gt;"",'PO-Backlog2028'!E11&lt;&gt;""),'PO-Backlog2028'!E11,"")</f>
        <v/>
      </c>
      <c r="B330" t="str">
        <f>IF(AND('PO-Backlog2028'!B11&lt;&gt;"",'PO-Backlog2028'!E11&lt;&gt;""),'PO-Backlog2028'!B11,"")</f>
        <v/>
      </c>
      <c r="C330" t="str">
        <f>IF(AND('PO-Backlog2028'!B11&lt;&gt;"",'PO-Backlog2028'!E11&lt;&gt;""),'PO-Backlog2028'!C11,"")</f>
        <v/>
      </c>
      <c r="D330" t="str">
        <f>IF(AND('PO-Backlog2028'!B11&lt;&gt;"",'PO-Backlog2028'!E11&lt;&gt;""),'PO-Backlog2028'!D11,"")</f>
        <v/>
      </c>
      <c r="E330" t="str">
        <f>IF(AND('PO-Backlog2028'!B11&lt;&gt;"",'PO-Backlog2028'!E11&lt;&gt;""),'PO-Backlog2028'!H11,"")</f>
        <v/>
      </c>
      <c r="F330" t="str">
        <f>IF(AND('PO-Backlog2028'!B11&lt;&gt;"",'PO-Backlog2028'!E11&lt;&gt;""),'PO-Backlog2028'!F11,"")</f>
        <v/>
      </c>
      <c r="G330" t="str">
        <f>IF(AND('PO-Backlog2028'!B11&lt;&gt;"",'PO-Backlog2028'!E11&lt;&gt;""),'PO-Backlog2028'!G11,"")</f>
        <v/>
      </c>
      <c r="H330" t="str">
        <f>IF(AND('PO-Backlog2028'!B11&lt;&gt;"",'PO-Backlog2028'!E11&lt;&gt;""),"PO-Backlog2028","")</f>
        <v/>
      </c>
      <c r="I330" t="str">
        <f>IF(A330="Q12028",COUNTIF($A$2:$A330,"Q12028"),"")</f>
        <v/>
      </c>
      <c r="J330" t="str">
        <f>IF(A330="Q22028",COUNTIF($A$2:$A330,"Q22028"),"")</f>
        <v/>
      </c>
      <c r="K330" t="str">
        <f>IF(A330="Q32028",COUNTIF($A$2:$A330,"Q32028"),"")</f>
        <v/>
      </c>
      <c r="L330" t="str">
        <f>IF(A330="Q42028",COUNTIF($A$2:$A330,"Q42028"),"")</f>
        <v/>
      </c>
      <c r="M330" t="str">
        <f>IF(A330="Backlog",COUNTIF($A$2:$A330,"Backlog"),"")</f>
        <v/>
      </c>
    </row>
    <row r="331" spans="1:13">
      <c r="A331" t="str">
        <f>IF(AND('PO-Backlog2028'!B12&lt;&gt;"",'PO-Backlog2028'!E12&lt;&gt;""),'PO-Backlog2028'!E12,"")</f>
        <v/>
      </c>
      <c r="B331" t="str">
        <f>IF(AND('PO-Backlog2028'!B12&lt;&gt;"",'PO-Backlog2028'!E12&lt;&gt;""),'PO-Backlog2028'!B12,"")</f>
        <v/>
      </c>
      <c r="C331" t="str">
        <f>IF(AND('PO-Backlog2028'!B12&lt;&gt;"",'PO-Backlog2028'!E12&lt;&gt;""),'PO-Backlog2028'!C12,"")</f>
        <v/>
      </c>
      <c r="D331" t="str">
        <f>IF(AND('PO-Backlog2028'!B12&lt;&gt;"",'PO-Backlog2028'!E12&lt;&gt;""),'PO-Backlog2028'!D12,"")</f>
        <v/>
      </c>
      <c r="E331" t="str">
        <f>IF(AND('PO-Backlog2028'!B12&lt;&gt;"",'PO-Backlog2028'!E12&lt;&gt;""),'PO-Backlog2028'!H12,"")</f>
        <v/>
      </c>
      <c r="F331" t="str">
        <f>IF(AND('PO-Backlog2028'!B12&lt;&gt;"",'PO-Backlog2028'!E12&lt;&gt;""),'PO-Backlog2028'!F12,"")</f>
        <v/>
      </c>
      <c r="G331" t="str">
        <f>IF(AND('PO-Backlog2028'!B12&lt;&gt;"",'PO-Backlog2028'!E12&lt;&gt;""),'PO-Backlog2028'!G12,"")</f>
        <v/>
      </c>
      <c r="H331" t="str">
        <f>IF(AND('PO-Backlog2028'!B12&lt;&gt;"",'PO-Backlog2028'!E12&lt;&gt;""),"PO-Backlog2028","")</f>
        <v/>
      </c>
      <c r="I331" t="str">
        <f>IF(A331="Q12028",COUNTIF($A$2:$A331,"Q12028"),"")</f>
        <v/>
      </c>
      <c r="J331" t="str">
        <f>IF(A331="Q22028",COUNTIF($A$2:$A331,"Q22028"),"")</f>
        <v/>
      </c>
      <c r="K331" t="str">
        <f>IF(A331="Q32028",COUNTIF($A$2:$A331,"Q32028"),"")</f>
        <v/>
      </c>
      <c r="L331" t="str">
        <f>IF(A331="Q42028",COUNTIF($A$2:$A331,"Q42028"),"")</f>
        <v/>
      </c>
      <c r="M331" t="str">
        <f>IF(A331="Backlog",COUNTIF($A$2:$A331,"Backlog"),"")</f>
        <v/>
      </c>
    </row>
    <row r="332" spans="1:13">
      <c r="A332" t="str">
        <f>IF(AND('PO-Backlog2028'!B13&lt;&gt;"",'PO-Backlog2028'!E13&lt;&gt;""),'PO-Backlog2028'!E13,"")</f>
        <v/>
      </c>
      <c r="B332" t="str">
        <f>IF(AND('PO-Backlog2028'!B13&lt;&gt;"",'PO-Backlog2028'!E13&lt;&gt;""),'PO-Backlog2028'!B13,"")</f>
        <v/>
      </c>
      <c r="C332" t="str">
        <f>IF(AND('PO-Backlog2028'!B13&lt;&gt;"",'PO-Backlog2028'!E13&lt;&gt;""),'PO-Backlog2028'!C13,"")</f>
        <v/>
      </c>
      <c r="D332" t="str">
        <f>IF(AND('PO-Backlog2028'!B13&lt;&gt;"",'PO-Backlog2028'!E13&lt;&gt;""),'PO-Backlog2028'!D13,"")</f>
        <v/>
      </c>
      <c r="E332" t="str">
        <f>IF(AND('PO-Backlog2028'!B13&lt;&gt;"",'PO-Backlog2028'!E13&lt;&gt;""),'PO-Backlog2028'!H13,"")</f>
        <v/>
      </c>
      <c r="F332" t="str">
        <f>IF(AND('PO-Backlog2028'!B13&lt;&gt;"",'PO-Backlog2028'!E13&lt;&gt;""),'PO-Backlog2028'!F13,"")</f>
        <v/>
      </c>
      <c r="G332" t="str">
        <f>IF(AND('PO-Backlog2028'!B13&lt;&gt;"",'PO-Backlog2028'!E13&lt;&gt;""),'PO-Backlog2028'!G13,"")</f>
        <v/>
      </c>
      <c r="H332" t="str">
        <f>IF(AND('PO-Backlog2028'!B13&lt;&gt;"",'PO-Backlog2028'!E13&lt;&gt;""),"PO-Backlog2028","")</f>
        <v/>
      </c>
      <c r="I332" t="str">
        <f>IF(A332="Q12028",COUNTIF($A$2:$A332,"Q12028"),"")</f>
        <v/>
      </c>
      <c r="J332" t="str">
        <f>IF(A332="Q22028",COUNTIF($A$2:$A332,"Q22028"),"")</f>
        <v/>
      </c>
      <c r="K332" t="str">
        <f>IF(A332="Q32028",COUNTIF($A$2:$A332,"Q32028"),"")</f>
        <v/>
      </c>
      <c r="L332" t="str">
        <f>IF(A332="Q42028",COUNTIF($A$2:$A332,"Q42028"),"")</f>
        <v/>
      </c>
      <c r="M332" t="str">
        <f>IF(A332="Backlog",COUNTIF($A$2:$A332,"Backlog"),"")</f>
        <v/>
      </c>
    </row>
    <row r="333" spans="1:13">
      <c r="A333" t="str">
        <f>IF(AND('PO-Backlog2028'!B14&lt;&gt;"",'PO-Backlog2028'!E14&lt;&gt;""),'PO-Backlog2028'!E14,"")</f>
        <v/>
      </c>
      <c r="B333" t="str">
        <f>IF(AND('PO-Backlog2028'!B14&lt;&gt;"",'PO-Backlog2028'!E14&lt;&gt;""),'PO-Backlog2028'!B14,"")</f>
        <v/>
      </c>
      <c r="C333" t="str">
        <f>IF(AND('PO-Backlog2028'!B14&lt;&gt;"",'PO-Backlog2028'!E14&lt;&gt;""),'PO-Backlog2028'!C14,"")</f>
        <v/>
      </c>
      <c r="D333" t="str">
        <f>IF(AND('PO-Backlog2028'!B14&lt;&gt;"",'PO-Backlog2028'!E14&lt;&gt;""),'PO-Backlog2028'!D14,"")</f>
        <v/>
      </c>
      <c r="E333" t="str">
        <f>IF(AND('PO-Backlog2028'!B14&lt;&gt;"",'PO-Backlog2028'!E14&lt;&gt;""),'PO-Backlog2028'!H14,"")</f>
        <v/>
      </c>
      <c r="F333" t="str">
        <f>IF(AND('PO-Backlog2028'!B14&lt;&gt;"",'PO-Backlog2028'!E14&lt;&gt;""),'PO-Backlog2028'!F14,"")</f>
        <v/>
      </c>
      <c r="G333" t="str">
        <f>IF(AND('PO-Backlog2028'!B14&lt;&gt;"",'PO-Backlog2028'!E14&lt;&gt;""),'PO-Backlog2028'!G14,"")</f>
        <v/>
      </c>
      <c r="H333" t="str">
        <f>IF(AND('PO-Backlog2028'!B14&lt;&gt;"",'PO-Backlog2028'!E14&lt;&gt;""),"PO-Backlog2028","")</f>
        <v/>
      </c>
      <c r="I333" t="str">
        <f>IF(A333="Q12028",COUNTIF($A$2:$A333,"Q12028"),"")</f>
        <v/>
      </c>
      <c r="J333" t="str">
        <f>IF(A333="Q22028",COUNTIF($A$2:$A333,"Q22028"),"")</f>
        <v/>
      </c>
      <c r="K333" t="str">
        <f>IF(A333="Q32028",COUNTIF($A$2:$A333,"Q32028"),"")</f>
        <v/>
      </c>
      <c r="L333" t="str">
        <f>IF(A333="Q42028",COUNTIF($A$2:$A333,"Q42028"),"")</f>
        <v/>
      </c>
      <c r="M333" t="str">
        <f>IF(A333="Backlog",COUNTIF($A$2:$A333,"Backlog"),"")</f>
        <v/>
      </c>
    </row>
    <row r="334" spans="1:13">
      <c r="A334" t="str">
        <f>IF(AND('PO-Backlog2028'!B15&lt;&gt;"",'PO-Backlog2028'!E15&lt;&gt;""),'PO-Backlog2028'!E15,"")</f>
        <v/>
      </c>
      <c r="B334" t="str">
        <f>IF(AND('PO-Backlog2028'!B15&lt;&gt;"",'PO-Backlog2028'!E15&lt;&gt;""),'PO-Backlog2028'!B15,"")</f>
        <v/>
      </c>
      <c r="C334" t="str">
        <f>IF(AND('PO-Backlog2028'!B15&lt;&gt;"",'PO-Backlog2028'!E15&lt;&gt;""),'PO-Backlog2028'!C15,"")</f>
        <v/>
      </c>
      <c r="D334" t="str">
        <f>IF(AND('PO-Backlog2028'!B15&lt;&gt;"",'PO-Backlog2028'!E15&lt;&gt;""),'PO-Backlog2028'!D15,"")</f>
        <v/>
      </c>
      <c r="E334" t="str">
        <f>IF(AND('PO-Backlog2028'!B15&lt;&gt;"",'PO-Backlog2028'!E15&lt;&gt;""),'PO-Backlog2028'!H15,"")</f>
        <v/>
      </c>
      <c r="F334" t="str">
        <f>IF(AND('PO-Backlog2028'!B15&lt;&gt;"",'PO-Backlog2028'!E15&lt;&gt;""),'PO-Backlog2028'!F15,"")</f>
        <v/>
      </c>
      <c r="G334" t="str">
        <f>IF(AND('PO-Backlog2028'!B15&lt;&gt;"",'PO-Backlog2028'!E15&lt;&gt;""),'PO-Backlog2028'!G15,"")</f>
        <v/>
      </c>
      <c r="H334" t="str">
        <f>IF(AND('PO-Backlog2028'!B15&lt;&gt;"",'PO-Backlog2028'!E15&lt;&gt;""),"PO-Backlog2028","")</f>
        <v/>
      </c>
      <c r="I334" t="str">
        <f>IF(A334="Q12028",COUNTIF($A$2:$A334,"Q12028"),"")</f>
        <v/>
      </c>
      <c r="J334" t="str">
        <f>IF(A334="Q22028",COUNTIF($A$2:$A334,"Q22028"),"")</f>
        <v/>
      </c>
      <c r="K334" t="str">
        <f>IF(A334="Q32028",COUNTIF($A$2:$A334,"Q32028"),"")</f>
        <v/>
      </c>
      <c r="L334" t="str">
        <f>IF(A334="Q42028",COUNTIF($A$2:$A334,"Q42028"),"")</f>
        <v/>
      </c>
      <c r="M334" t="str">
        <f>IF(A334="Backlog",COUNTIF($A$2:$A334,"Backlog"),"")</f>
        <v/>
      </c>
    </row>
    <row r="335" spans="1:13">
      <c r="A335" t="str">
        <f>IF(AND('PO-Backlog2028'!B16&lt;&gt;"",'PO-Backlog2028'!E16&lt;&gt;""),'PO-Backlog2028'!E16,"")</f>
        <v/>
      </c>
      <c r="B335" t="str">
        <f>IF(AND('PO-Backlog2028'!B16&lt;&gt;"",'PO-Backlog2028'!E16&lt;&gt;""),'PO-Backlog2028'!B16,"")</f>
        <v/>
      </c>
      <c r="C335" t="str">
        <f>IF(AND('PO-Backlog2028'!B16&lt;&gt;"",'PO-Backlog2028'!E16&lt;&gt;""),'PO-Backlog2028'!C16,"")</f>
        <v/>
      </c>
      <c r="D335" t="str">
        <f>IF(AND('PO-Backlog2028'!B16&lt;&gt;"",'PO-Backlog2028'!E16&lt;&gt;""),'PO-Backlog2028'!D16,"")</f>
        <v/>
      </c>
      <c r="E335" t="str">
        <f>IF(AND('PO-Backlog2028'!B16&lt;&gt;"",'PO-Backlog2028'!E16&lt;&gt;""),'PO-Backlog2028'!H16,"")</f>
        <v/>
      </c>
      <c r="F335" t="str">
        <f>IF(AND('PO-Backlog2028'!B16&lt;&gt;"",'PO-Backlog2028'!E16&lt;&gt;""),'PO-Backlog2028'!F16,"")</f>
        <v/>
      </c>
      <c r="G335" t="str">
        <f>IF(AND('PO-Backlog2028'!B16&lt;&gt;"",'PO-Backlog2028'!E16&lt;&gt;""),'PO-Backlog2028'!G16,"")</f>
        <v/>
      </c>
      <c r="H335" t="str">
        <f>IF(AND('PO-Backlog2028'!B16&lt;&gt;"",'PO-Backlog2028'!E16&lt;&gt;""),"PO-Backlog2028","")</f>
        <v/>
      </c>
      <c r="I335" t="str">
        <f>IF(A335="Q12028",COUNTIF($A$2:$A335,"Q12028"),"")</f>
        <v/>
      </c>
      <c r="J335" t="str">
        <f>IF(A335="Q22028",COUNTIF($A$2:$A335,"Q22028"),"")</f>
        <v/>
      </c>
      <c r="K335" t="str">
        <f>IF(A335="Q32028",COUNTIF($A$2:$A335,"Q32028"),"")</f>
        <v/>
      </c>
      <c r="L335" t="str">
        <f>IF(A335="Q42028",COUNTIF($A$2:$A335,"Q42028"),"")</f>
        <v/>
      </c>
      <c r="M335" t="str">
        <f>IF(A335="Backlog",COUNTIF($A$2:$A335,"Backlog"),"")</f>
        <v/>
      </c>
    </row>
    <row r="336" spans="1:13">
      <c r="A336" t="str">
        <f>IF(AND('PO-Backlog2028'!B17&lt;&gt;"",'PO-Backlog2028'!E17&lt;&gt;""),'PO-Backlog2028'!E17,"")</f>
        <v/>
      </c>
      <c r="B336" t="str">
        <f>IF(AND('PO-Backlog2028'!B17&lt;&gt;"",'PO-Backlog2028'!E17&lt;&gt;""),'PO-Backlog2028'!B17,"")</f>
        <v/>
      </c>
      <c r="C336" t="str">
        <f>IF(AND('PO-Backlog2028'!B17&lt;&gt;"",'PO-Backlog2028'!E17&lt;&gt;""),'PO-Backlog2028'!C17,"")</f>
        <v/>
      </c>
      <c r="D336" t="str">
        <f>IF(AND('PO-Backlog2028'!B17&lt;&gt;"",'PO-Backlog2028'!E17&lt;&gt;""),'PO-Backlog2028'!D17,"")</f>
        <v/>
      </c>
      <c r="E336" t="str">
        <f>IF(AND('PO-Backlog2028'!B17&lt;&gt;"",'PO-Backlog2028'!E17&lt;&gt;""),'PO-Backlog2028'!H17,"")</f>
        <v/>
      </c>
      <c r="F336" t="str">
        <f>IF(AND('PO-Backlog2028'!B17&lt;&gt;"",'PO-Backlog2028'!E17&lt;&gt;""),'PO-Backlog2028'!F17,"")</f>
        <v/>
      </c>
      <c r="G336" t="str">
        <f>IF(AND('PO-Backlog2028'!B17&lt;&gt;"",'PO-Backlog2028'!E17&lt;&gt;""),'PO-Backlog2028'!G17,"")</f>
        <v/>
      </c>
      <c r="H336" t="str">
        <f>IF(AND('PO-Backlog2028'!B17&lt;&gt;"",'PO-Backlog2028'!E17&lt;&gt;""),"PO-Backlog2028","")</f>
        <v/>
      </c>
      <c r="I336" t="str">
        <f>IF(A336="Q12028",COUNTIF($A$2:$A336,"Q12028"),"")</f>
        <v/>
      </c>
      <c r="J336" t="str">
        <f>IF(A336="Q22028",COUNTIF($A$2:$A336,"Q22028"),"")</f>
        <v/>
      </c>
      <c r="K336" t="str">
        <f>IF(A336="Q32028",COUNTIF($A$2:$A336,"Q32028"),"")</f>
        <v/>
      </c>
      <c r="L336" t="str">
        <f>IF(A336="Q42028",COUNTIF($A$2:$A336,"Q42028"),"")</f>
        <v/>
      </c>
      <c r="M336" t="str">
        <f>IF(A336="Backlog",COUNTIF($A$2:$A336,"Backlog"),"")</f>
        <v/>
      </c>
    </row>
    <row r="337" spans="1:13">
      <c r="A337" t="str">
        <f>IF(AND('PO-Backlog2028'!B18&lt;&gt;"",'PO-Backlog2028'!E18&lt;&gt;""),'PO-Backlog2028'!E18,"")</f>
        <v/>
      </c>
      <c r="B337" t="str">
        <f>IF(AND('PO-Backlog2028'!B18&lt;&gt;"",'PO-Backlog2028'!E18&lt;&gt;""),'PO-Backlog2028'!B18,"")</f>
        <v/>
      </c>
      <c r="C337" t="str">
        <f>IF(AND('PO-Backlog2028'!B18&lt;&gt;"",'PO-Backlog2028'!E18&lt;&gt;""),'PO-Backlog2028'!C18,"")</f>
        <v/>
      </c>
      <c r="D337" t="str">
        <f>IF(AND('PO-Backlog2028'!B18&lt;&gt;"",'PO-Backlog2028'!E18&lt;&gt;""),'PO-Backlog2028'!D18,"")</f>
        <v/>
      </c>
      <c r="E337" t="str">
        <f>IF(AND('PO-Backlog2028'!B18&lt;&gt;"",'PO-Backlog2028'!E18&lt;&gt;""),'PO-Backlog2028'!H18,"")</f>
        <v/>
      </c>
      <c r="F337" t="str">
        <f>IF(AND('PO-Backlog2028'!B18&lt;&gt;"",'PO-Backlog2028'!E18&lt;&gt;""),'PO-Backlog2028'!F18,"")</f>
        <v/>
      </c>
      <c r="G337" t="str">
        <f>IF(AND('PO-Backlog2028'!B18&lt;&gt;"",'PO-Backlog2028'!E18&lt;&gt;""),'PO-Backlog2028'!G18,"")</f>
        <v/>
      </c>
      <c r="H337" t="str">
        <f>IF(AND('PO-Backlog2028'!B18&lt;&gt;"",'PO-Backlog2028'!E18&lt;&gt;""),"PO-Backlog2028","")</f>
        <v/>
      </c>
      <c r="I337" t="str">
        <f>IF(A337="Q12028",COUNTIF($A$2:$A337,"Q12028"),"")</f>
        <v/>
      </c>
      <c r="J337" t="str">
        <f>IF(A337="Q22028",COUNTIF($A$2:$A337,"Q22028"),"")</f>
        <v/>
      </c>
      <c r="K337" t="str">
        <f>IF(A337="Q32028",COUNTIF($A$2:$A337,"Q32028"),"")</f>
        <v/>
      </c>
      <c r="L337" t="str">
        <f>IF(A337="Q42028",COUNTIF($A$2:$A337,"Q42028"),"")</f>
        <v/>
      </c>
      <c r="M337" t="str">
        <f>IF(A337="Backlog",COUNTIF($A$2:$A337,"Backlog"),"")</f>
        <v/>
      </c>
    </row>
    <row r="338" spans="1:13">
      <c r="A338" t="str">
        <f>IF(AND('PO-Backlog2028'!B19&lt;&gt;"",'PO-Backlog2028'!E19&lt;&gt;""),'PO-Backlog2028'!E19,"")</f>
        <v/>
      </c>
      <c r="B338" t="str">
        <f>IF(AND('PO-Backlog2028'!B19&lt;&gt;"",'PO-Backlog2028'!E19&lt;&gt;""),'PO-Backlog2028'!B19,"")</f>
        <v/>
      </c>
      <c r="C338" t="str">
        <f>IF(AND('PO-Backlog2028'!B19&lt;&gt;"",'PO-Backlog2028'!E19&lt;&gt;""),'PO-Backlog2028'!C19,"")</f>
        <v/>
      </c>
      <c r="D338" t="str">
        <f>IF(AND('PO-Backlog2028'!B19&lt;&gt;"",'PO-Backlog2028'!E19&lt;&gt;""),'PO-Backlog2028'!D19,"")</f>
        <v/>
      </c>
      <c r="E338" t="str">
        <f>IF(AND('PO-Backlog2028'!B19&lt;&gt;"",'PO-Backlog2028'!E19&lt;&gt;""),'PO-Backlog2028'!H19,"")</f>
        <v/>
      </c>
      <c r="F338" t="str">
        <f>IF(AND('PO-Backlog2028'!B19&lt;&gt;"",'PO-Backlog2028'!E19&lt;&gt;""),'PO-Backlog2028'!F19,"")</f>
        <v/>
      </c>
      <c r="G338" t="str">
        <f>IF(AND('PO-Backlog2028'!B19&lt;&gt;"",'PO-Backlog2028'!E19&lt;&gt;""),'PO-Backlog2028'!G19,"")</f>
        <v/>
      </c>
      <c r="H338" t="str">
        <f>IF(AND('PO-Backlog2028'!B19&lt;&gt;"",'PO-Backlog2028'!E19&lt;&gt;""),"PO-Backlog2028","")</f>
        <v/>
      </c>
      <c r="I338" t="str">
        <f>IF(A338="Q12028",COUNTIF($A$2:$A338,"Q12028"),"")</f>
        <v/>
      </c>
      <c r="J338" t="str">
        <f>IF(A338="Q22028",COUNTIF($A$2:$A338,"Q22028"),"")</f>
        <v/>
      </c>
      <c r="K338" t="str">
        <f>IF(A338="Q32028",COUNTIF($A$2:$A338,"Q32028"),"")</f>
        <v/>
      </c>
      <c r="L338" t="str">
        <f>IF(A338="Q42028",COUNTIF($A$2:$A338,"Q42028"),"")</f>
        <v/>
      </c>
      <c r="M338" t="str">
        <f>IF(A338="Backlog",COUNTIF($A$2:$A338,"Backlog"),"")</f>
        <v/>
      </c>
    </row>
    <row r="339" spans="1:13">
      <c r="A339" t="str">
        <f>IF(AND('PO-Backlog2028'!B20&lt;&gt;"",'PO-Backlog2028'!E20&lt;&gt;""),'PO-Backlog2028'!E20,"")</f>
        <v/>
      </c>
      <c r="B339" t="str">
        <f>IF(AND('PO-Backlog2028'!B20&lt;&gt;"",'PO-Backlog2028'!E20&lt;&gt;""),'PO-Backlog2028'!B20,"")</f>
        <v/>
      </c>
      <c r="C339" t="str">
        <f>IF(AND('PO-Backlog2028'!B20&lt;&gt;"",'PO-Backlog2028'!E20&lt;&gt;""),'PO-Backlog2028'!C20,"")</f>
        <v/>
      </c>
      <c r="D339" t="str">
        <f>IF(AND('PO-Backlog2028'!B20&lt;&gt;"",'PO-Backlog2028'!E20&lt;&gt;""),'PO-Backlog2028'!D20,"")</f>
        <v/>
      </c>
      <c r="E339" t="str">
        <f>IF(AND('PO-Backlog2028'!B20&lt;&gt;"",'PO-Backlog2028'!E20&lt;&gt;""),'PO-Backlog2028'!H20,"")</f>
        <v/>
      </c>
      <c r="F339" t="str">
        <f>IF(AND('PO-Backlog2028'!B20&lt;&gt;"",'PO-Backlog2028'!E20&lt;&gt;""),'PO-Backlog2028'!F20,"")</f>
        <v/>
      </c>
      <c r="G339" t="str">
        <f>IF(AND('PO-Backlog2028'!B20&lt;&gt;"",'PO-Backlog2028'!E20&lt;&gt;""),'PO-Backlog2028'!G20,"")</f>
        <v/>
      </c>
      <c r="H339" t="str">
        <f>IF(AND('PO-Backlog2028'!B20&lt;&gt;"",'PO-Backlog2028'!E20&lt;&gt;""),"PO-Backlog2028","")</f>
        <v/>
      </c>
      <c r="I339" t="str">
        <f>IF(A339="Q12028",COUNTIF($A$2:$A339,"Q12028"),"")</f>
        <v/>
      </c>
      <c r="J339" t="str">
        <f>IF(A339="Q22028",COUNTIF($A$2:$A339,"Q22028"),"")</f>
        <v/>
      </c>
      <c r="K339" t="str">
        <f>IF(A339="Q32028",COUNTIF($A$2:$A339,"Q32028"),"")</f>
        <v/>
      </c>
      <c r="L339" t="str">
        <f>IF(A339="Q42028",COUNTIF($A$2:$A339,"Q42028"),"")</f>
        <v/>
      </c>
      <c r="M339" t="str">
        <f>IF(A339="Backlog",COUNTIF($A$2:$A339,"Backlog"),"")</f>
        <v/>
      </c>
    </row>
    <row r="340" spans="1:13">
      <c r="A340" t="str">
        <f>IF(AND('PO-Backlog2028'!B21&lt;&gt;"",'PO-Backlog2028'!E21&lt;&gt;""),'PO-Backlog2028'!E21,"")</f>
        <v/>
      </c>
      <c r="B340" t="str">
        <f>IF(AND('PO-Backlog2028'!B21&lt;&gt;"",'PO-Backlog2028'!E21&lt;&gt;""),'PO-Backlog2028'!B21,"")</f>
        <v/>
      </c>
      <c r="C340" t="str">
        <f>IF(AND('PO-Backlog2028'!B21&lt;&gt;"",'PO-Backlog2028'!E21&lt;&gt;""),'PO-Backlog2028'!C21,"")</f>
        <v/>
      </c>
      <c r="D340" t="str">
        <f>IF(AND('PO-Backlog2028'!B21&lt;&gt;"",'PO-Backlog2028'!E21&lt;&gt;""),'PO-Backlog2028'!D21,"")</f>
        <v/>
      </c>
      <c r="E340" t="str">
        <f>IF(AND('PO-Backlog2028'!B21&lt;&gt;"",'PO-Backlog2028'!E21&lt;&gt;""),'PO-Backlog2028'!H21,"")</f>
        <v/>
      </c>
      <c r="F340" t="str">
        <f>IF(AND('PO-Backlog2028'!B21&lt;&gt;"",'PO-Backlog2028'!E21&lt;&gt;""),'PO-Backlog2028'!F21,"")</f>
        <v/>
      </c>
      <c r="G340" t="str">
        <f>IF(AND('PO-Backlog2028'!B21&lt;&gt;"",'PO-Backlog2028'!E21&lt;&gt;""),'PO-Backlog2028'!G21,"")</f>
        <v/>
      </c>
      <c r="H340" t="str">
        <f>IF(AND('PO-Backlog2028'!B21&lt;&gt;"",'PO-Backlog2028'!E21&lt;&gt;""),"PO-Backlog2028","")</f>
        <v/>
      </c>
      <c r="I340" t="str">
        <f>IF(A340="Q12028",COUNTIF($A$2:$A340,"Q12028"),"")</f>
        <v/>
      </c>
      <c r="J340" t="str">
        <f>IF(A340="Q22028",COUNTIF($A$2:$A340,"Q22028"),"")</f>
        <v/>
      </c>
      <c r="K340" t="str">
        <f>IF(A340="Q32028",COUNTIF($A$2:$A340,"Q32028"),"")</f>
        <v/>
      </c>
      <c r="L340" t="str">
        <f>IF(A340="Q42028",COUNTIF($A$2:$A340,"Q42028"),"")</f>
        <v/>
      </c>
      <c r="M340" t="str">
        <f>IF(A340="Backlog",COUNTIF($A$2:$A340,"Backlog"),"")</f>
        <v/>
      </c>
    </row>
    <row r="341" spans="1:13">
      <c r="A341" t="str">
        <f>IF(AND('PO-Backlog2028'!B22&lt;&gt;"",'PO-Backlog2028'!E22&lt;&gt;""),'PO-Backlog2028'!E22,"")</f>
        <v/>
      </c>
      <c r="B341" t="str">
        <f>IF(AND('PO-Backlog2028'!B22&lt;&gt;"",'PO-Backlog2028'!E22&lt;&gt;""),'PO-Backlog2028'!B22,"")</f>
        <v/>
      </c>
      <c r="C341" t="str">
        <f>IF(AND('PO-Backlog2028'!B22&lt;&gt;"",'PO-Backlog2028'!E22&lt;&gt;""),'PO-Backlog2028'!C22,"")</f>
        <v/>
      </c>
      <c r="D341" t="str">
        <f>IF(AND('PO-Backlog2028'!B22&lt;&gt;"",'PO-Backlog2028'!E22&lt;&gt;""),'PO-Backlog2028'!D22,"")</f>
        <v/>
      </c>
      <c r="E341" t="str">
        <f>IF(AND('PO-Backlog2028'!B22&lt;&gt;"",'PO-Backlog2028'!E22&lt;&gt;""),'PO-Backlog2028'!H22,"")</f>
        <v/>
      </c>
      <c r="F341" t="str">
        <f>IF(AND('PO-Backlog2028'!B22&lt;&gt;"",'PO-Backlog2028'!E22&lt;&gt;""),'PO-Backlog2028'!F22,"")</f>
        <v/>
      </c>
      <c r="G341" t="str">
        <f>IF(AND('PO-Backlog2028'!B22&lt;&gt;"",'PO-Backlog2028'!E22&lt;&gt;""),'PO-Backlog2028'!G22,"")</f>
        <v/>
      </c>
      <c r="H341" t="str">
        <f>IF(AND('PO-Backlog2028'!B22&lt;&gt;"",'PO-Backlog2028'!E22&lt;&gt;""),"PO-Backlog2028","")</f>
        <v/>
      </c>
      <c r="I341" t="str">
        <f>IF(A341="Q12028",COUNTIF($A$2:$A341,"Q12028"),"")</f>
        <v/>
      </c>
      <c r="J341" t="str">
        <f>IF(A341="Q22028",COUNTIF($A$2:$A341,"Q22028"),"")</f>
        <v/>
      </c>
      <c r="K341" t="str">
        <f>IF(A341="Q32028",COUNTIF($A$2:$A341,"Q32028"),"")</f>
        <v/>
      </c>
      <c r="L341" t="str">
        <f>IF(A341="Q42028",COUNTIF($A$2:$A341,"Q42028"),"")</f>
        <v/>
      </c>
      <c r="M341" t="str">
        <f>IF(A341="Backlog",COUNTIF($A$2:$A341,"Backlog"),"")</f>
        <v/>
      </c>
    </row>
    <row r="342" spans="1:13">
      <c r="A342" t="str">
        <f>IF(AND('PO-Backlog2028'!B23&lt;&gt;"",'PO-Backlog2028'!E23&lt;&gt;""),'PO-Backlog2028'!E23,"")</f>
        <v/>
      </c>
      <c r="B342" t="str">
        <f>IF(AND('PO-Backlog2028'!B23&lt;&gt;"",'PO-Backlog2028'!E23&lt;&gt;""),'PO-Backlog2028'!B23,"")</f>
        <v/>
      </c>
      <c r="C342" t="str">
        <f>IF(AND('PO-Backlog2028'!B23&lt;&gt;"",'PO-Backlog2028'!E23&lt;&gt;""),'PO-Backlog2028'!C23,"")</f>
        <v/>
      </c>
      <c r="D342" t="str">
        <f>IF(AND('PO-Backlog2028'!B23&lt;&gt;"",'PO-Backlog2028'!E23&lt;&gt;""),'PO-Backlog2028'!D23,"")</f>
        <v/>
      </c>
      <c r="E342" t="str">
        <f>IF(AND('PO-Backlog2028'!B23&lt;&gt;"",'PO-Backlog2028'!E23&lt;&gt;""),'PO-Backlog2028'!H23,"")</f>
        <v/>
      </c>
      <c r="F342" t="str">
        <f>IF(AND('PO-Backlog2028'!B23&lt;&gt;"",'PO-Backlog2028'!E23&lt;&gt;""),'PO-Backlog2028'!F23,"")</f>
        <v/>
      </c>
      <c r="G342" t="str">
        <f>IF(AND('PO-Backlog2028'!B23&lt;&gt;"",'PO-Backlog2028'!E23&lt;&gt;""),'PO-Backlog2028'!G23,"")</f>
        <v/>
      </c>
      <c r="H342" t="str">
        <f>IF(AND('PO-Backlog2028'!B23&lt;&gt;"",'PO-Backlog2028'!E23&lt;&gt;""),"PO-Backlog2028","")</f>
        <v/>
      </c>
      <c r="I342" t="str">
        <f>IF(A342="Q12028",COUNTIF($A$2:$A342,"Q12028"),"")</f>
        <v/>
      </c>
      <c r="J342" t="str">
        <f>IF(A342="Q22028",COUNTIF($A$2:$A342,"Q22028"),"")</f>
        <v/>
      </c>
      <c r="K342" t="str">
        <f>IF(A342="Q32028",COUNTIF($A$2:$A342,"Q32028"),"")</f>
        <v/>
      </c>
      <c r="L342" t="str">
        <f>IF(A342="Q42028",COUNTIF($A$2:$A342,"Q42028"),"")</f>
        <v/>
      </c>
      <c r="M342" t="str">
        <f>IF(A342="Backlog",COUNTIF($A$2:$A342,"Backlog"),"")</f>
        <v/>
      </c>
    </row>
    <row r="343" spans="1:13">
      <c r="A343" t="str">
        <f>IF(AND('PO-Backlog2028'!B24&lt;&gt;"",'PO-Backlog2028'!E24&lt;&gt;""),'PO-Backlog2028'!E24,"")</f>
        <v/>
      </c>
      <c r="B343" t="str">
        <f>IF(AND('PO-Backlog2028'!B24&lt;&gt;"",'PO-Backlog2028'!E24&lt;&gt;""),'PO-Backlog2028'!B24,"")</f>
        <v/>
      </c>
      <c r="C343" t="str">
        <f>IF(AND('PO-Backlog2028'!B24&lt;&gt;"",'PO-Backlog2028'!E24&lt;&gt;""),'PO-Backlog2028'!C24,"")</f>
        <v/>
      </c>
      <c r="D343" t="str">
        <f>IF(AND('PO-Backlog2028'!B24&lt;&gt;"",'PO-Backlog2028'!E24&lt;&gt;""),'PO-Backlog2028'!D24,"")</f>
        <v/>
      </c>
      <c r="E343" t="str">
        <f>IF(AND('PO-Backlog2028'!B24&lt;&gt;"",'PO-Backlog2028'!E24&lt;&gt;""),'PO-Backlog2028'!H24,"")</f>
        <v/>
      </c>
      <c r="F343" t="str">
        <f>IF(AND('PO-Backlog2028'!B24&lt;&gt;"",'PO-Backlog2028'!E24&lt;&gt;""),'PO-Backlog2028'!F24,"")</f>
        <v/>
      </c>
      <c r="G343" t="str">
        <f>IF(AND('PO-Backlog2028'!B24&lt;&gt;"",'PO-Backlog2028'!E24&lt;&gt;""),'PO-Backlog2028'!G24,"")</f>
        <v/>
      </c>
      <c r="H343" t="str">
        <f>IF(AND('PO-Backlog2028'!B24&lt;&gt;"",'PO-Backlog2028'!E24&lt;&gt;""),"PO-Backlog2028","")</f>
        <v/>
      </c>
      <c r="I343" t="str">
        <f>IF(A343="Q12028",COUNTIF($A$2:$A343,"Q12028"),"")</f>
        <v/>
      </c>
      <c r="J343" t="str">
        <f>IF(A343="Q22028",COUNTIF($A$2:$A343,"Q22028"),"")</f>
        <v/>
      </c>
      <c r="K343" t="str">
        <f>IF(A343="Q32028",COUNTIF($A$2:$A343,"Q32028"),"")</f>
        <v/>
      </c>
      <c r="L343" t="str">
        <f>IF(A343="Q42028",COUNTIF($A$2:$A343,"Q42028"),"")</f>
        <v/>
      </c>
      <c r="M343" t="str">
        <f>IF(A343="Backlog",COUNTIF($A$2:$A343,"Backlog"),"")</f>
        <v/>
      </c>
    </row>
    <row r="344" spans="1:13">
      <c r="A344" t="str">
        <f>IF(AND('PO-Backlog2028'!B25&lt;&gt;"",'PO-Backlog2028'!E25&lt;&gt;""),'PO-Backlog2028'!E25,"")</f>
        <v/>
      </c>
      <c r="B344" t="str">
        <f>IF(AND('PO-Backlog2028'!B25&lt;&gt;"",'PO-Backlog2028'!E25&lt;&gt;""),'PO-Backlog2028'!B25,"")</f>
        <v/>
      </c>
      <c r="C344" t="str">
        <f>IF(AND('PO-Backlog2028'!B25&lt;&gt;"",'PO-Backlog2028'!E25&lt;&gt;""),'PO-Backlog2028'!C25,"")</f>
        <v/>
      </c>
      <c r="D344" t="str">
        <f>IF(AND('PO-Backlog2028'!B25&lt;&gt;"",'PO-Backlog2028'!E25&lt;&gt;""),'PO-Backlog2028'!D25,"")</f>
        <v/>
      </c>
      <c r="E344" t="str">
        <f>IF(AND('PO-Backlog2028'!B25&lt;&gt;"",'PO-Backlog2028'!E25&lt;&gt;""),'PO-Backlog2028'!H25,"")</f>
        <v/>
      </c>
      <c r="F344" t="str">
        <f>IF(AND('PO-Backlog2028'!B25&lt;&gt;"",'PO-Backlog2028'!E25&lt;&gt;""),'PO-Backlog2028'!F25,"")</f>
        <v/>
      </c>
      <c r="G344" t="str">
        <f>IF(AND('PO-Backlog2028'!B25&lt;&gt;"",'PO-Backlog2028'!E25&lt;&gt;""),'PO-Backlog2028'!G25,"")</f>
        <v/>
      </c>
      <c r="H344" t="str">
        <f>IF(AND('PO-Backlog2028'!B25&lt;&gt;"",'PO-Backlog2028'!E25&lt;&gt;""),"PO-Backlog2028","")</f>
        <v/>
      </c>
      <c r="I344" t="str">
        <f>IF(A344="Q12028",COUNTIF($A$2:$A344,"Q12028"),"")</f>
        <v/>
      </c>
      <c r="J344" t="str">
        <f>IF(A344="Q22028",COUNTIF($A$2:$A344,"Q22028"),"")</f>
        <v/>
      </c>
      <c r="K344" t="str">
        <f>IF(A344="Q32028",COUNTIF($A$2:$A344,"Q32028"),"")</f>
        <v/>
      </c>
      <c r="L344" t="str">
        <f>IF(A344="Q42028",COUNTIF($A$2:$A344,"Q42028"),"")</f>
        <v/>
      </c>
      <c r="M344" t="str">
        <f>IF(A344="Backlog",COUNTIF($A$2:$A344,"Backlog"),"")</f>
        <v/>
      </c>
    </row>
    <row r="345" spans="1:13">
      <c r="A345" t="str">
        <f>IF(AND('PO-Backlog2028'!B26&lt;&gt;"",'PO-Backlog2028'!E26&lt;&gt;""),'PO-Backlog2028'!E26,"")</f>
        <v/>
      </c>
      <c r="B345" t="str">
        <f>IF(AND('PO-Backlog2028'!B26&lt;&gt;"",'PO-Backlog2028'!E26&lt;&gt;""),'PO-Backlog2028'!B26,"")</f>
        <v/>
      </c>
      <c r="C345" t="str">
        <f>IF(AND('PO-Backlog2028'!B26&lt;&gt;"",'PO-Backlog2028'!E26&lt;&gt;""),'PO-Backlog2028'!C26,"")</f>
        <v/>
      </c>
      <c r="D345" t="str">
        <f>IF(AND('PO-Backlog2028'!B26&lt;&gt;"",'PO-Backlog2028'!E26&lt;&gt;""),'PO-Backlog2028'!D26,"")</f>
        <v/>
      </c>
      <c r="E345" t="str">
        <f>IF(AND('PO-Backlog2028'!B26&lt;&gt;"",'PO-Backlog2028'!E26&lt;&gt;""),'PO-Backlog2028'!H26,"")</f>
        <v/>
      </c>
      <c r="F345" t="str">
        <f>IF(AND('PO-Backlog2028'!B26&lt;&gt;"",'PO-Backlog2028'!E26&lt;&gt;""),'PO-Backlog2028'!F26,"")</f>
        <v/>
      </c>
      <c r="G345" t="str">
        <f>IF(AND('PO-Backlog2028'!B26&lt;&gt;"",'PO-Backlog2028'!E26&lt;&gt;""),'PO-Backlog2028'!G26,"")</f>
        <v/>
      </c>
      <c r="H345" t="str">
        <f>IF(AND('PO-Backlog2028'!B26&lt;&gt;"",'PO-Backlog2028'!E26&lt;&gt;""),"PO-Backlog2028","")</f>
        <v/>
      </c>
      <c r="I345" t="str">
        <f>IF(A345="Q12028",COUNTIF($A$2:$A345,"Q12028"),"")</f>
        <v/>
      </c>
      <c r="J345" t="str">
        <f>IF(A345="Q22028",COUNTIF($A$2:$A345,"Q22028"),"")</f>
        <v/>
      </c>
      <c r="K345" t="str">
        <f>IF(A345="Q32028",COUNTIF($A$2:$A345,"Q32028"),"")</f>
        <v/>
      </c>
      <c r="L345" t="str">
        <f>IF(A345="Q42028",COUNTIF($A$2:$A345,"Q42028"),"")</f>
        <v/>
      </c>
      <c r="M345" t="str">
        <f>IF(A345="Backlog",COUNTIF($A$2:$A345,"Backlog"),"")</f>
        <v/>
      </c>
    </row>
    <row r="346" spans="1:13">
      <c r="A346" t="str">
        <f>IF(AND('PO-Backlog2028'!B27&lt;&gt;"",'PO-Backlog2028'!E27&lt;&gt;""),'PO-Backlog2028'!E27,"")</f>
        <v/>
      </c>
      <c r="B346" t="str">
        <f>IF(AND('PO-Backlog2028'!B27&lt;&gt;"",'PO-Backlog2028'!E27&lt;&gt;""),'PO-Backlog2028'!B27,"")</f>
        <v/>
      </c>
      <c r="C346" t="str">
        <f>IF(AND('PO-Backlog2028'!B27&lt;&gt;"",'PO-Backlog2028'!E27&lt;&gt;""),'PO-Backlog2028'!C27,"")</f>
        <v/>
      </c>
      <c r="D346" t="str">
        <f>IF(AND('PO-Backlog2028'!B27&lt;&gt;"",'PO-Backlog2028'!E27&lt;&gt;""),'PO-Backlog2028'!D27,"")</f>
        <v/>
      </c>
      <c r="E346" t="str">
        <f>IF(AND('PO-Backlog2028'!B27&lt;&gt;"",'PO-Backlog2028'!E27&lt;&gt;""),'PO-Backlog2028'!H27,"")</f>
        <v/>
      </c>
      <c r="F346" t="str">
        <f>IF(AND('PO-Backlog2028'!B27&lt;&gt;"",'PO-Backlog2028'!E27&lt;&gt;""),'PO-Backlog2028'!F27,"")</f>
        <v/>
      </c>
      <c r="G346" t="str">
        <f>IF(AND('PO-Backlog2028'!B27&lt;&gt;"",'PO-Backlog2028'!E27&lt;&gt;""),'PO-Backlog2028'!G27,"")</f>
        <v/>
      </c>
      <c r="H346" t="str">
        <f>IF(AND('PO-Backlog2028'!B27&lt;&gt;"",'PO-Backlog2028'!E27&lt;&gt;""),"PO-Backlog2028","")</f>
        <v/>
      </c>
      <c r="I346" t="str">
        <f>IF(A346="Q12028",COUNTIF($A$2:$A346,"Q12028"),"")</f>
        <v/>
      </c>
      <c r="J346" t="str">
        <f>IF(A346="Q22028",COUNTIF($A$2:$A346,"Q22028"),"")</f>
        <v/>
      </c>
      <c r="K346" t="str">
        <f>IF(A346="Q32028",COUNTIF($A$2:$A346,"Q32028"),"")</f>
        <v/>
      </c>
      <c r="L346" t="str">
        <f>IF(A346="Q42028",COUNTIF($A$2:$A346,"Q42028"),"")</f>
        <v/>
      </c>
      <c r="M346" t="str">
        <f>IF(A346="Backlog",COUNTIF($A$2:$A346,"Backlog"),"")</f>
        <v/>
      </c>
    </row>
    <row r="347" spans="1:13">
      <c r="A347" t="str">
        <f>IF(AND('PO-Backlog2028'!B28&lt;&gt;"",'PO-Backlog2028'!E28&lt;&gt;""),'PO-Backlog2028'!E28,"")</f>
        <v/>
      </c>
      <c r="B347" t="str">
        <f>IF(AND('PO-Backlog2028'!B28&lt;&gt;"",'PO-Backlog2028'!E28&lt;&gt;""),'PO-Backlog2028'!B28,"")</f>
        <v/>
      </c>
      <c r="C347" t="str">
        <f>IF(AND('PO-Backlog2028'!B28&lt;&gt;"",'PO-Backlog2028'!E28&lt;&gt;""),'PO-Backlog2028'!C28,"")</f>
        <v/>
      </c>
      <c r="D347" t="str">
        <f>IF(AND('PO-Backlog2028'!B28&lt;&gt;"",'PO-Backlog2028'!E28&lt;&gt;""),'PO-Backlog2028'!D28,"")</f>
        <v/>
      </c>
      <c r="E347" t="str">
        <f>IF(AND('PO-Backlog2028'!B28&lt;&gt;"",'PO-Backlog2028'!E28&lt;&gt;""),'PO-Backlog2028'!H28,"")</f>
        <v/>
      </c>
      <c r="F347" t="str">
        <f>IF(AND('PO-Backlog2028'!B28&lt;&gt;"",'PO-Backlog2028'!E28&lt;&gt;""),'PO-Backlog2028'!F28,"")</f>
        <v/>
      </c>
      <c r="G347" t="str">
        <f>IF(AND('PO-Backlog2028'!B28&lt;&gt;"",'PO-Backlog2028'!E28&lt;&gt;""),'PO-Backlog2028'!G28,"")</f>
        <v/>
      </c>
      <c r="H347" t="str">
        <f>IF(AND('PO-Backlog2028'!B28&lt;&gt;"",'PO-Backlog2028'!E28&lt;&gt;""),"PO-Backlog2028","")</f>
        <v/>
      </c>
      <c r="I347" t="str">
        <f>IF(A347="Q12028",COUNTIF($A$2:$A347,"Q12028"),"")</f>
        <v/>
      </c>
      <c r="J347" t="str">
        <f>IF(A347="Q22028",COUNTIF($A$2:$A347,"Q22028"),"")</f>
        <v/>
      </c>
      <c r="K347" t="str">
        <f>IF(A347="Q32028",COUNTIF($A$2:$A347,"Q32028"),"")</f>
        <v/>
      </c>
      <c r="L347" t="str">
        <f>IF(A347="Q42028",COUNTIF($A$2:$A347,"Q42028"),"")</f>
        <v/>
      </c>
      <c r="M347" t="str">
        <f>IF(A347="Backlog",COUNTIF($A$2:$A347,"Backlog"),"")</f>
        <v/>
      </c>
    </row>
    <row r="348" spans="1:13">
      <c r="A348" t="str">
        <f>IF(AND('PO-Backlog2028'!B29&lt;&gt;"",'PO-Backlog2028'!E29&lt;&gt;""),'PO-Backlog2028'!E29,"")</f>
        <v/>
      </c>
      <c r="B348" t="str">
        <f>IF(AND('PO-Backlog2028'!B29&lt;&gt;"",'PO-Backlog2028'!E29&lt;&gt;""),'PO-Backlog2028'!B29,"")</f>
        <v/>
      </c>
      <c r="C348" t="str">
        <f>IF(AND('PO-Backlog2028'!B29&lt;&gt;"",'PO-Backlog2028'!E29&lt;&gt;""),'PO-Backlog2028'!C29,"")</f>
        <v/>
      </c>
      <c r="D348" t="str">
        <f>IF(AND('PO-Backlog2028'!B29&lt;&gt;"",'PO-Backlog2028'!E29&lt;&gt;""),'PO-Backlog2028'!D29,"")</f>
        <v/>
      </c>
      <c r="E348" t="str">
        <f>IF(AND('PO-Backlog2028'!B29&lt;&gt;"",'PO-Backlog2028'!E29&lt;&gt;""),'PO-Backlog2028'!H29,"")</f>
        <v/>
      </c>
      <c r="F348" t="str">
        <f>IF(AND('PO-Backlog2028'!B29&lt;&gt;"",'PO-Backlog2028'!E29&lt;&gt;""),'PO-Backlog2028'!F29,"")</f>
        <v/>
      </c>
      <c r="G348" t="str">
        <f>IF(AND('PO-Backlog2028'!B29&lt;&gt;"",'PO-Backlog2028'!E29&lt;&gt;""),'PO-Backlog2028'!G29,"")</f>
        <v/>
      </c>
      <c r="H348" t="str">
        <f>IF(AND('PO-Backlog2028'!B29&lt;&gt;"",'PO-Backlog2028'!E29&lt;&gt;""),"PO-Backlog2028","")</f>
        <v/>
      </c>
      <c r="I348" t="str">
        <f>IF(A348="Q12028",COUNTIF($A$2:$A348,"Q12028"),"")</f>
        <v/>
      </c>
      <c r="J348" t="str">
        <f>IF(A348="Q22028",COUNTIF($A$2:$A348,"Q22028"),"")</f>
        <v/>
      </c>
      <c r="K348" t="str">
        <f>IF(A348="Q32028",COUNTIF($A$2:$A348,"Q32028"),"")</f>
        <v/>
      </c>
      <c r="L348" t="str">
        <f>IF(A348="Q42028",COUNTIF($A$2:$A348,"Q42028"),"")</f>
        <v/>
      </c>
      <c r="M348" t="str">
        <f>IF(A348="Backlog",COUNTIF($A$2:$A348,"Backlog"),"")</f>
        <v/>
      </c>
    </row>
    <row r="349" spans="1:13">
      <c r="A349" t="str">
        <f>IF(AND('PO-Backlog2028'!B30&lt;&gt;"",'PO-Backlog2028'!E30&lt;&gt;""),'PO-Backlog2028'!E30,"")</f>
        <v/>
      </c>
      <c r="B349" t="str">
        <f>IF(AND('PO-Backlog2028'!B30&lt;&gt;"",'PO-Backlog2028'!E30&lt;&gt;""),'PO-Backlog2028'!B30,"")</f>
        <v/>
      </c>
      <c r="C349" t="str">
        <f>IF(AND('PO-Backlog2028'!B30&lt;&gt;"",'PO-Backlog2028'!E30&lt;&gt;""),'PO-Backlog2028'!C30,"")</f>
        <v/>
      </c>
      <c r="D349" t="str">
        <f>IF(AND('PO-Backlog2028'!B30&lt;&gt;"",'PO-Backlog2028'!E30&lt;&gt;""),'PO-Backlog2028'!D30,"")</f>
        <v/>
      </c>
      <c r="E349" t="str">
        <f>IF(AND('PO-Backlog2028'!B30&lt;&gt;"",'PO-Backlog2028'!E30&lt;&gt;""),'PO-Backlog2028'!H30,"")</f>
        <v/>
      </c>
      <c r="F349" t="str">
        <f>IF(AND('PO-Backlog2028'!B30&lt;&gt;"",'PO-Backlog2028'!E30&lt;&gt;""),'PO-Backlog2028'!F30,"")</f>
        <v/>
      </c>
      <c r="G349" t="str">
        <f>IF(AND('PO-Backlog2028'!B30&lt;&gt;"",'PO-Backlog2028'!E30&lt;&gt;""),'PO-Backlog2028'!G30,"")</f>
        <v/>
      </c>
      <c r="H349" t="str">
        <f>IF(AND('PO-Backlog2028'!B30&lt;&gt;"",'PO-Backlog2028'!E30&lt;&gt;""),"PO-Backlog2028","")</f>
        <v/>
      </c>
      <c r="I349" t="str">
        <f>IF(A349="Q12028",COUNTIF($A$2:$A349,"Q12028"),"")</f>
        <v/>
      </c>
      <c r="J349" t="str">
        <f>IF(A349="Q22028",COUNTIF($A$2:$A349,"Q22028"),"")</f>
        <v/>
      </c>
      <c r="K349" t="str">
        <f>IF(A349="Q32028",COUNTIF($A$2:$A349,"Q32028"),"")</f>
        <v/>
      </c>
      <c r="L349" t="str">
        <f>IF(A349="Q42028",COUNTIF($A$2:$A349,"Q42028"),"")</f>
        <v/>
      </c>
      <c r="M349" t="str">
        <f>IF(A349="Backlog",COUNTIF($A$2:$A349,"Backlog"),"")</f>
        <v/>
      </c>
    </row>
    <row r="350" spans="1:13">
      <c r="A350" t="str">
        <f>IF(AND('PO-Backlog2028'!B31&lt;&gt;"",'PO-Backlog2028'!E31&lt;&gt;""),'PO-Backlog2028'!E31,"")</f>
        <v/>
      </c>
      <c r="B350" t="str">
        <f>IF(AND('PO-Backlog2028'!B31&lt;&gt;"",'PO-Backlog2028'!E31&lt;&gt;""),'PO-Backlog2028'!B31,"")</f>
        <v/>
      </c>
      <c r="C350" t="str">
        <f>IF(AND('PO-Backlog2028'!B31&lt;&gt;"",'PO-Backlog2028'!E31&lt;&gt;""),'PO-Backlog2028'!C31,"")</f>
        <v/>
      </c>
      <c r="D350" t="str">
        <f>IF(AND('PO-Backlog2028'!B31&lt;&gt;"",'PO-Backlog2028'!E31&lt;&gt;""),'PO-Backlog2028'!D31,"")</f>
        <v/>
      </c>
      <c r="E350" t="str">
        <f>IF(AND('PO-Backlog2028'!B31&lt;&gt;"",'PO-Backlog2028'!E31&lt;&gt;""),'PO-Backlog2028'!H31,"")</f>
        <v/>
      </c>
      <c r="F350" t="str">
        <f>IF(AND('PO-Backlog2028'!B31&lt;&gt;"",'PO-Backlog2028'!E31&lt;&gt;""),'PO-Backlog2028'!F31,"")</f>
        <v/>
      </c>
      <c r="G350" t="str">
        <f>IF(AND('PO-Backlog2028'!B31&lt;&gt;"",'PO-Backlog2028'!E31&lt;&gt;""),'PO-Backlog2028'!G31,"")</f>
        <v/>
      </c>
      <c r="H350" t="str">
        <f>IF(AND('PO-Backlog2028'!B31&lt;&gt;"",'PO-Backlog2028'!E31&lt;&gt;""),"PO-Backlog2028","")</f>
        <v/>
      </c>
      <c r="I350" t="str">
        <f>IF(A350="Q12028",COUNTIF($A$2:$A350,"Q12028"),"")</f>
        <v/>
      </c>
      <c r="J350" t="str">
        <f>IF(A350="Q22028",COUNTIF($A$2:$A350,"Q22028"),"")</f>
        <v/>
      </c>
      <c r="K350" t="str">
        <f>IF(A350="Q32028",COUNTIF($A$2:$A350,"Q32028"),"")</f>
        <v/>
      </c>
      <c r="L350" t="str">
        <f>IF(A350="Q42028",COUNTIF($A$2:$A350,"Q42028"),"")</f>
        <v/>
      </c>
      <c r="M350" t="str">
        <f>IF(A350="Backlog",COUNTIF($A$2:$A350,"Backlog"),"")</f>
        <v/>
      </c>
    </row>
    <row r="351" spans="1:13">
      <c r="A351" t="str">
        <f>IF(AND('PO-Backlog2028'!B32&lt;&gt;"",'PO-Backlog2028'!E32&lt;&gt;""),'PO-Backlog2028'!E32,"")</f>
        <v/>
      </c>
      <c r="B351" t="str">
        <f>IF(AND('PO-Backlog2028'!B32&lt;&gt;"",'PO-Backlog2028'!E32&lt;&gt;""),'PO-Backlog2028'!B32,"")</f>
        <v/>
      </c>
      <c r="C351" t="str">
        <f>IF(AND('PO-Backlog2028'!B32&lt;&gt;"",'PO-Backlog2028'!E32&lt;&gt;""),'PO-Backlog2028'!C32,"")</f>
        <v/>
      </c>
      <c r="D351" t="str">
        <f>IF(AND('PO-Backlog2028'!B32&lt;&gt;"",'PO-Backlog2028'!E32&lt;&gt;""),'PO-Backlog2028'!D32,"")</f>
        <v/>
      </c>
      <c r="E351" t="str">
        <f>IF(AND('PO-Backlog2028'!B32&lt;&gt;"",'PO-Backlog2028'!E32&lt;&gt;""),'PO-Backlog2028'!H32,"")</f>
        <v/>
      </c>
      <c r="F351" t="str">
        <f>IF(AND('PO-Backlog2028'!B32&lt;&gt;"",'PO-Backlog2028'!E32&lt;&gt;""),'PO-Backlog2028'!F32,"")</f>
        <v/>
      </c>
      <c r="G351" t="str">
        <f>IF(AND('PO-Backlog2028'!B32&lt;&gt;"",'PO-Backlog2028'!E32&lt;&gt;""),'PO-Backlog2028'!G32,"")</f>
        <v/>
      </c>
      <c r="H351" t="str">
        <f>IF(AND('PO-Backlog2028'!B32&lt;&gt;"",'PO-Backlog2028'!E32&lt;&gt;""),"PO-Backlog2028","")</f>
        <v/>
      </c>
      <c r="I351" t="str">
        <f>IF(A351="Q12028",COUNTIF($A$2:$A351,"Q12028"),"")</f>
        <v/>
      </c>
      <c r="J351" t="str">
        <f>IF(A351="Q22028",COUNTIF($A$2:$A351,"Q22028"),"")</f>
        <v/>
      </c>
      <c r="K351" t="str">
        <f>IF(A351="Q32028",COUNTIF($A$2:$A351,"Q32028"),"")</f>
        <v/>
      </c>
      <c r="L351" t="str">
        <f>IF(A351="Q42028",COUNTIF($A$2:$A351,"Q42028"),"")</f>
        <v/>
      </c>
      <c r="M351" t="str">
        <f>IF(A351="Backlog",COUNTIF($A$2:$A351,"Backlog"),"")</f>
        <v/>
      </c>
    </row>
    <row r="352" spans="1:13">
      <c r="A352" t="str">
        <f>IF(AND('PO-Backlog2028'!B33&lt;&gt;"",'PO-Backlog2028'!E33&lt;&gt;""),'PO-Backlog2028'!E33,"")</f>
        <v/>
      </c>
      <c r="B352" t="str">
        <f>IF(AND('PO-Backlog2028'!B33&lt;&gt;"",'PO-Backlog2028'!E33&lt;&gt;""),'PO-Backlog2028'!B33,"")</f>
        <v/>
      </c>
      <c r="C352" t="str">
        <f>IF(AND('PO-Backlog2028'!B33&lt;&gt;"",'PO-Backlog2028'!E33&lt;&gt;""),'PO-Backlog2028'!C33,"")</f>
        <v/>
      </c>
      <c r="D352" t="str">
        <f>IF(AND('PO-Backlog2028'!B33&lt;&gt;"",'PO-Backlog2028'!E33&lt;&gt;""),'PO-Backlog2028'!D33,"")</f>
        <v/>
      </c>
      <c r="E352" t="str">
        <f>IF(AND('PO-Backlog2028'!B33&lt;&gt;"",'PO-Backlog2028'!E33&lt;&gt;""),'PO-Backlog2028'!H33,"")</f>
        <v/>
      </c>
      <c r="F352" t="str">
        <f>IF(AND('PO-Backlog2028'!B33&lt;&gt;"",'PO-Backlog2028'!E33&lt;&gt;""),'PO-Backlog2028'!F33,"")</f>
        <v/>
      </c>
      <c r="G352" t="str">
        <f>IF(AND('PO-Backlog2028'!B33&lt;&gt;"",'PO-Backlog2028'!E33&lt;&gt;""),'PO-Backlog2028'!G33,"")</f>
        <v/>
      </c>
      <c r="H352" t="str">
        <f>IF(AND('PO-Backlog2028'!B33&lt;&gt;"",'PO-Backlog2028'!E33&lt;&gt;""),"PO-Backlog2028","")</f>
        <v/>
      </c>
      <c r="I352" t="str">
        <f>IF(A352="Q12028",COUNTIF($A$2:$A352,"Q12028"),"")</f>
        <v/>
      </c>
      <c r="J352" t="str">
        <f>IF(A352="Q22028",COUNTIF($A$2:$A352,"Q22028"),"")</f>
        <v/>
      </c>
      <c r="K352" t="str">
        <f>IF(A352="Q32028",COUNTIF($A$2:$A352,"Q32028"),"")</f>
        <v/>
      </c>
      <c r="L352" t="str">
        <f>IF(A352="Q42028",COUNTIF($A$2:$A352,"Q42028"),"")</f>
        <v/>
      </c>
      <c r="M352" t="str">
        <f>IF(A352="Backlog",COUNTIF($A$2:$A352,"Backlog"),"")</f>
        <v/>
      </c>
    </row>
    <row r="353" spans="1:13">
      <c r="A353" t="str">
        <f>IF(AND('PO-Backlog2028'!B34&lt;&gt;"",'PO-Backlog2028'!E34&lt;&gt;""),'PO-Backlog2028'!E34,"")</f>
        <v/>
      </c>
      <c r="B353" t="str">
        <f>IF(AND('PO-Backlog2028'!B34&lt;&gt;"",'PO-Backlog2028'!E34&lt;&gt;""),'PO-Backlog2028'!B34,"")</f>
        <v/>
      </c>
      <c r="C353" t="str">
        <f>IF(AND('PO-Backlog2028'!B34&lt;&gt;"",'PO-Backlog2028'!E34&lt;&gt;""),'PO-Backlog2028'!C34,"")</f>
        <v/>
      </c>
      <c r="D353" t="str">
        <f>IF(AND('PO-Backlog2028'!B34&lt;&gt;"",'PO-Backlog2028'!E34&lt;&gt;""),'PO-Backlog2028'!D34,"")</f>
        <v/>
      </c>
      <c r="E353" t="str">
        <f>IF(AND('PO-Backlog2028'!B34&lt;&gt;"",'PO-Backlog2028'!E34&lt;&gt;""),'PO-Backlog2028'!H34,"")</f>
        <v/>
      </c>
      <c r="F353" t="str">
        <f>IF(AND('PO-Backlog2028'!B34&lt;&gt;"",'PO-Backlog2028'!E34&lt;&gt;""),'PO-Backlog2028'!F34,"")</f>
        <v/>
      </c>
      <c r="G353" t="str">
        <f>IF(AND('PO-Backlog2028'!B34&lt;&gt;"",'PO-Backlog2028'!E34&lt;&gt;""),'PO-Backlog2028'!G34,"")</f>
        <v/>
      </c>
      <c r="H353" t="str">
        <f>IF(AND('PO-Backlog2028'!B34&lt;&gt;"",'PO-Backlog2028'!E34&lt;&gt;""),"PO-Backlog2028","")</f>
        <v/>
      </c>
      <c r="I353" t="str">
        <f>IF(A353="Q12028",COUNTIF($A$2:$A353,"Q12028"),"")</f>
        <v/>
      </c>
      <c r="J353" t="str">
        <f>IF(A353="Q22028",COUNTIF($A$2:$A353,"Q22028"),"")</f>
        <v/>
      </c>
      <c r="K353" t="str">
        <f>IF(A353="Q32028",COUNTIF($A$2:$A353,"Q32028"),"")</f>
        <v/>
      </c>
      <c r="L353" t="str">
        <f>IF(A353="Q42028",COUNTIF($A$2:$A353,"Q42028"),"")</f>
        <v/>
      </c>
      <c r="M353" t="str">
        <f>IF(A353="Backlog",COUNTIF($A$2:$A353,"Backlog"),"")</f>
        <v/>
      </c>
    </row>
    <row r="354" spans="1:13">
      <c r="A354" t="str">
        <f>IF(AND('PO-Backlog2028'!B35&lt;&gt;"",'PO-Backlog2028'!E35&lt;&gt;""),'PO-Backlog2028'!E35,"")</f>
        <v/>
      </c>
      <c r="B354" t="str">
        <f>IF(AND('PO-Backlog2028'!B35&lt;&gt;"",'PO-Backlog2028'!E35&lt;&gt;""),'PO-Backlog2028'!B35,"")</f>
        <v/>
      </c>
      <c r="C354" t="str">
        <f>IF(AND('PO-Backlog2028'!B35&lt;&gt;"",'PO-Backlog2028'!E35&lt;&gt;""),'PO-Backlog2028'!C35,"")</f>
        <v/>
      </c>
      <c r="D354" t="str">
        <f>IF(AND('PO-Backlog2028'!B35&lt;&gt;"",'PO-Backlog2028'!E35&lt;&gt;""),'PO-Backlog2028'!D35,"")</f>
        <v/>
      </c>
      <c r="E354" t="str">
        <f>IF(AND('PO-Backlog2028'!B35&lt;&gt;"",'PO-Backlog2028'!E35&lt;&gt;""),'PO-Backlog2028'!H35,"")</f>
        <v/>
      </c>
      <c r="F354" t="str">
        <f>IF(AND('PO-Backlog2028'!B35&lt;&gt;"",'PO-Backlog2028'!E35&lt;&gt;""),'PO-Backlog2028'!F35,"")</f>
        <v/>
      </c>
      <c r="G354" t="str">
        <f>IF(AND('PO-Backlog2028'!B35&lt;&gt;"",'PO-Backlog2028'!E35&lt;&gt;""),'PO-Backlog2028'!G35,"")</f>
        <v/>
      </c>
      <c r="H354" t="str">
        <f>IF(AND('PO-Backlog2028'!B35&lt;&gt;"",'PO-Backlog2028'!E35&lt;&gt;""),"PO-Backlog2028","")</f>
        <v/>
      </c>
      <c r="I354" t="str">
        <f>IF(A354="Q12028",COUNTIF($A$2:$A354,"Q12028"),"")</f>
        <v/>
      </c>
      <c r="J354" t="str">
        <f>IF(A354="Q22028",COUNTIF($A$2:$A354,"Q22028"),"")</f>
        <v/>
      </c>
      <c r="K354" t="str">
        <f>IF(A354="Q32028",COUNTIF($A$2:$A354,"Q32028"),"")</f>
        <v/>
      </c>
      <c r="L354" t="str">
        <f>IF(A354="Q42028",COUNTIF($A$2:$A354,"Q42028"),"")</f>
        <v/>
      </c>
      <c r="M354" t="str">
        <f>IF(A354="Backlog",COUNTIF($A$2:$A354,"Backlog"),"")</f>
        <v/>
      </c>
    </row>
    <row r="355" spans="1:13">
      <c r="A355" t="str">
        <f>IF(AND('PO-Backlog2028'!B36&lt;&gt;"",'PO-Backlog2028'!E36&lt;&gt;""),'PO-Backlog2028'!E36,"")</f>
        <v/>
      </c>
      <c r="B355" t="str">
        <f>IF(AND('PO-Backlog2028'!B36&lt;&gt;"",'PO-Backlog2028'!E36&lt;&gt;""),'PO-Backlog2028'!B36,"")</f>
        <v/>
      </c>
      <c r="C355" t="str">
        <f>IF(AND('PO-Backlog2028'!B36&lt;&gt;"",'PO-Backlog2028'!E36&lt;&gt;""),'PO-Backlog2028'!C36,"")</f>
        <v/>
      </c>
      <c r="D355" t="str">
        <f>IF(AND('PO-Backlog2028'!B36&lt;&gt;"",'PO-Backlog2028'!E36&lt;&gt;""),'PO-Backlog2028'!D36,"")</f>
        <v/>
      </c>
      <c r="E355" t="str">
        <f>IF(AND('PO-Backlog2028'!B36&lt;&gt;"",'PO-Backlog2028'!E36&lt;&gt;""),'PO-Backlog2028'!H36,"")</f>
        <v/>
      </c>
      <c r="F355" t="str">
        <f>IF(AND('PO-Backlog2028'!B36&lt;&gt;"",'PO-Backlog2028'!E36&lt;&gt;""),'PO-Backlog2028'!F36,"")</f>
        <v/>
      </c>
      <c r="G355" t="str">
        <f>IF(AND('PO-Backlog2028'!B36&lt;&gt;"",'PO-Backlog2028'!E36&lt;&gt;""),'PO-Backlog2028'!G36,"")</f>
        <v/>
      </c>
      <c r="H355" t="str">
        <f>IF(AND('PO-Backlog2028'!B36&lt;&gt;"",'PO-Backlog2028'!E36&lt;&gt;""),"PO-Backlog2028","")</f>
        <v/>
      </c>
      <c r="I355" t="str">
        <f>IF(A355="Q12028",COUNTIF($A$2:$A355,"Q12028"),"")</f>
        <v/>
      </c>
      <c r="J355" t="str">
        <f>IF(A355="Q22028",COUNTIF($A$2:$A355,"Q22028"),"")</f>
        <v/>
      </c>
      <c r="K355" t="str">
        <f>IF(A355="Q32028",COUNTIF($A$2:$A355,"Q32028"),"")</f>
        <v/>
      </c>
      <c r="L355" t="str">
        <f>IF(A355="Q42028",COUNTIF($A$2:$A355,"Q42028"),"")</f>
        <v/>
      </c>
      <c r="M355" t="str">
        <f>IF(A355="Backlog",COUNTIF($A$2:$A355,"Backlog"),"")</f>
        <v/>
      </c>
    </row>
    <row r="356" spans="1:13">
      <c r="A356" t="str">
        <f>IF(AND('PO-Backlog2028'!B37&lt;&gt;"",'PO-Backlog2028'!E37&lt;&gt;""),'PO-Backlog2028'!E37,"")</f>
        <v/>
      </c>
      <c r="B356" t="str">
        <f>IF(AND('PO-Backlog2028'!B37&lt;&gt;"",'PO-Backlog2028'!E37&lt;&gt;""),'PO-Backlog2028'!B37,"")</f>
        <v/>
      </c>
      <c r="C356" t="str">
        <f>IF(AND('PO-Backlog2028'!B37&lt;&gt;"",'PO-Backlog2028'!E37&lt;&gt;""),'PO-Backlog2028'!C37,"")</f>
        <v/>
      </c>
      <c r="D356" t="str">
        <f>IF(AND('PO-Backlog2028'!B37&lt;&gt;"",'PO-Backlog2028'!E37&lt;&gt;""),'PO-Backlog2028'!D37,"")</f>
        <v/>
      </c>
      <c r="E356" t="str">
        <f>IF(AND('PO-Backlog2028'!B37&lt;&gt;"",'PO-Backlog2028'!E37&lt;&gt;""),'PO-Backlog2028'!H37,"")</f>
        <v/>
      </c>
      <c r="F356" t="str">
        <f>IF(AND('PO-Backlog2028'!B37&lt;&gt;"",'PO-Backlog2028'!E37&lt;&gt;""),'PO-Backlog2028'!F37,"")</f>
        <v/>
      </c>
      <c r="G356" t="str">
        <f>IF(AND('PO-Backlog2028'!B37&lt;&gt;"",'PO-Backlog2028'!E37&lt;&gt;""),'PO-Backlog2028'!G37,"")</f>
        <v/>
      </c>
      <c r="H356" t="str">
        <f>IF(AND('PO-Backlog2028'!B37&lt;&gt;"",'PO-Backlog2028'!E37&lt;&gt;""),"PO-Backlog2028","")</f>
        <v/>
      </c>
      <c r="I356" t="str">
        <f>IF(A356="Q12028",COUNTIF($A$2:$A356,"Q12028"),"")</f>
        <v/>
      </c>
      <c r="J356" t="str">
        <f>IF(A356="Q22028",COUNTIF($A$2:$A356,"Q22028"),"")</f>
        <v/>
      </c>
      <c r="K356" t="str">
        <f>IF(A356="Q32028",COUNTIF($A$2:$A356,"Q32028"),"")</f>
        <v/>
      </c>
      <c r="L356" t="str">
        <f>IF(A356="Q42028",COUNTIF($A$2:$A356,"Q42028"),"")</f>
        <v/>
      </c>
      <c r="M356" t="str">
        <f>IF(A356="Backlog",COUNTIF($A$2:$A356,"Backlog"),"")</f>
        <v/>
      </c>
    </row>
    <row r="357" spans="1:13">
      <c r="A357" t="str">
        <f>IF(AND('PO-Backlog2028'!B38&lt;&gt;"",'PO-Backlog2028'!E38&lt;&gt;""),'PO-Backlog2028'!E38,"")</f>
        <v/>
      </c>
      <c r="B357" t="str">
        <f>IF(AND('PO-Backlog2028'!B38&lt;&gt;"",'PO-Backlog2028'!E38&lt;&gt;""),'PO-Backlog2028'!B38,"")</f>
        <v/>
      </c>
      <c r="C357" t="str">
        <f>IF(AND('PO-Backlog2028'!B38&lt;&gt;"",'PO-Backlog2028'!E38&lt;&gt;""),'PO-Backlog2028'!C38,"")</f>
        <v/>
      </c>
      <c r="D357" t="str">
        <f>IF(AND('PO-Backlog2028'!B38&lt;&gt;"",'PO-Backlog2028'!E38&lt;&gt;""),'PO-Backlog2028'!D38,"")</f>
        <v/>
      </c>
      <c r="E357" t="str">
        <f>IF(AND('PO-Backlog2028'!B38&lt;&gt;"",'PO-Backlog2028'!E38&lt;&gt;""),'PO-Backlog2028'!H38,"")</f>
        <v/>
      </c>
      <c r="F357" t="str">
        <f>IF(AND('PO-Backlog2028'!B38&lt;&gt;"",'PO-Backlog2028'!E38&lt;&gt;""),'PO-Backlog2028'!F38,"")</f>
        <v/>
      </c>
      <c r="G357" t="str">
        <f>IF(AND('PO-Backlog2028'!B38&lt;&gt;"",'PO-Backlog2028'!E38&lt;&gt;""),'PO-Backlog2028'!G38,"")</f>
        <v/>
      </c>
      <c r="H357" t="str">
        <f>IF(AND('PO-Backlog2028'!B38&lt;&gt;"",'PO-Backlog2028'!E38&lt;&gt;""),"PO-Backlog2028","")</f>
        <v/>
      </c>
      <c r="I357" t="str">
        <f>IF(A357="Q12028",COUNTIF($A$2:$A357,"Q12028"),"")</f>
        <v/>
      </c>
      <c r="J357" t="str">
        <f>IF(A357="Q22028",COUNTIF($A$2:$A357,"Q22028"),"")</f>
        <v/>
      </c>
      <c r="K357" t="str">
        <f>IF(A357="Q32028",COUNTIF($A$2:$A357,"Q32028"),"")</f>
        <v/>
      </c>
      <c r="L357" t="str">
        <f>IF(A357="Q42028",COUNTIF($A$2:$A357,"Q42028"),"")</f>
        <v/>
      </c>
      <c r="M357" t="str">
        <f>IF(A357="Backlog",COUNTIF($A$2:$A357,"Backlog"),"")</f>
        <v/>
      </c>
    </row>
    <row r="358" spans="1:13">
      <c r="A358" t="str">
        <f>IF(AND('PO-Backlog2028'!B39&lt;&gt;"",'PO-Backlog2028'!E39&lt;&gt;""),'PO-Backlog2028'!E39,"")</f>
        <v/>
      </c>
      <c r="B358" t="str">
        <f>IF(AND('PO-Backlog2028'!B39&lt;&gt;"",'PO-Backlog2028'!E39&lt;&gt;""),'PO-Backlog2028'!B39,"")</f>
        <v/>
      </c>
      <c r="C358" t="str">
        <f>IF(AND('PO-Backlog2028'!B39&lt;&gt;"",'PO-Backlog2028'!E39&lt;&gt;""),'PO-Backlog2028'!C39,"")</f>
        <v/>
      </c>
      <c r="D358" t="str">
        <f>IF(AND('PO-Backlog2028'!B39&lt;&gt;"",'PO-Backlog2028'!E39&lt;&gt;""),'PO-Backlog2028'!D39,"")</f>
        <v/>
      </c>
      <c r="E358" t="str">
        <f>IF(AND('PO-Backlog2028'!B39&lt;&gt;"",'PO-Backlog2028'!E39&lt;&gt;""),'PO-Backlog2028'!H39,"")</f>
        <v/>
      </c>
      <c r="F358" t="str">
        <f>IF(AND('PO-Backlog2028'!B39&lt;&gt;"",'PO-Backlog2028'!E39&lt;&gt;""),'PO-Backlog2028'!F39,"")</f>
        <v/>
      </c>
      <c r="G358" t="str">
        <f>IF(AND('PO-Backlog2028'!B39&lt;&gt;"",'PO-Backlog2028'!E39&lt;&gt;""),'PO-Backlog2028'!G39,"")</f>
        <v/>
      </c>
      <c r="H358" t="str">
        <f>IF(AND('PO-Backlog2028'!B39&lt;&gt;"",'PO-Backlog2028'!E39&lt;&gt;""),"PO-Backlog2028","")</f>
        <v/>
      </c>
      <c r="I358" t="str">
        <f>IF(A358="Q12028",COUNTIF($A$2:$A358,"Q12028"),"")</f>
        <v/>
      </c>
      <c r="J358" t="str">
        <f>IF(A358="Q22028",COUNTIF($A$2:$A358,"Q22028"),"")</f>
        <v/>
      </c>
      <c r="K358" t="str">
        <f>IF(A358="Q32028",COUNTIF($A$2:$A358,"Q32028"),"")</f>
        <v/>
      </c>
      <c r="L358" t="str">
        <f>IF(A358="Q42028",COUNTIF($A$2:$A358,"Q42028"),"")</f>
        <v/>
      </c>
      <c r="M358" t="str">
        <f>IF(A358="Backlog",COUNTIF($A$2:$A358,"Backlog"),"")</f>
        <v/>
      </c>
    </row>
    <row r="359" spans="1:13">
      <c r="A359" t="str">
        <f>IF(AND('PO-Backlog2028'!B40&lt;&gt;"",'PO-Backlog2028'!E40&lt;&gt;""),'PO-Backlog2028'!E40,"")</f>
        <v/>
      </c>
      <c r="B359" t="str">
        <f>IF(AND('PO-Backlog2028'!B40&lt;&gt;"",'PO-Backlog2028'!E40&lt;&gt;""),'PO-Backlog2028'!B40,"")</f>
        <v/>
      </c>
      <c r="C359" t="str">
        <f>IF(AND('PO-Backlog2028'!B40&lt;&gt;"",'PO-Backlog2028'!E40&lt;&gt;""),'PO-Backlog2028'!C40,"")</f>
        <v/>
      </c>
      <c r="D359" t="str">
        <f>IF(AND('PO-Backlog2028'!B40&lt;&gt;"",'PO-Backlog2028'!E40&lt;&gt;""),'PO-Backlog2028'!D40,"")</f>
        <v/>
      </c>
      <c r="E359" t="str">
        <f>IF(AND('PO-Backlog2028'!B40&lt;&gt;"",'PO-Backlog2028'!E40&lt;&gt;""),'PO-Backlog2028'!H40,"")</f>
        <v/>
      </c>
      <c r="F359" t="str">
        <f>IF(AND('PO-Backlog2028'!B40&lt;&gt;"",'PO-Backlog2028'!E40&lt;&gt;""),'PO-Backlog2028'!F40,"")</f>
        <v/>
      </c>
      <c r="G359" t="str">
        <f>IF(AND('PO-Backlog2028'!B40&lt;&gt;"",'PO-Backlog2028'!E40&lt;&gt;""),'PO-Backlog2028'!G40,"")</f>
        <v/>
      </c>
      <c r="H359" t="str">
        <f>IF(AND('PO-Backlog2028'!B40&lt;&gt;"",'PO-Backlog2028'!E40&lt;&gt;""),"PO-Backlog2028","")</f>
        <v/>
      </c>
      <c r="I359" t="str">
        <f>IF(A359="Q12028",COUNTIF($A$2:$A359,"Q12028"),"")</f>
        <v/>
      </c>
      <c r="J359" t="str">
        <f>IF(A359="Q22028",COUNTIF($A$2:$A359,"Q22028"),"")</f>
        <v/>
      </c>
      <c r="K359" t="str">
        <f>IF(A359="Q32028",COUNTIF($A$2:$A359,"Q32028"),"")</f>
        <v/>
      </c>
      <c r="L359" t="str">
        <f>IF(A359="Q42028",COUNTIF($A$2:$A359,"Q42028"),"")</f>
        <v/>
      </c>
      <c r="M359" t="str">
        <f>IF(A359="Backlog",COUNTIF($A$2:$A359,"Backlog"),"")</f>
        <v/>
      </c>
    </row>
    <row r="360" spans="1:13">
      <c r="A360" t="str">
        <f>IF(AND('PO-Backlog2028'!B41&lt;&gt;"",'PO-Backlog2028'!E41&lt;&gt;""),'PO-Backlog2028'!E41,"")</f>
        <v/>
      </c>
      <c r="B360" t="str">
        <f>IF(AND('PO-Backlog2028'!B41&lt;&gt;"",'PO-Backlog2028'!E41&lt;&gt;""),'PO-Backlog2028'!B41,"")</f>
        <v/>
      </c>
      <c r="C360" t="str">
        <f>IF(AND('PO-Backlog2028'!B41&lt;&gt;"",'PO-Backlog2028'!E41&lt;&gt;""),'PO-Backlog2028'!C41,"")</f>
        <v/>
      </c>
      <c r="D360" t="str">
        <f>IF(AND('PO-Backlog2028'!B41&lt;&gt;"",'PO-Backlog2028'!E41&lt;&gt;""),'PO-Backlog2028'!D41,"")</f>
        <v/>
      </c>
      <c r="E360" t="str">
        <f>IF(AND('PO-Backlog2028'!B41&lt;&gt;"",'PO-Backlog2028'!E41&lt;&gt;""),'PO-Backlog2028'!H41,"")</f>
        <v/>
      </c>
      <c r="F360" t="str">
        <f>IF(AND('PO-Backlog2028'!B41&lt;&gt;"",'PO-Backlog2028'!E41&lt;&gt;""),'PO-Backlog2028'!F41,"")</f>
        <v/>
      </c>
      <c r="G360" t="str">
        <f>IF(AND('PO-Backlog2028'!B41&lt;&gt;"",'PO-Backlog2028'!E41&lt;&gt;""),'PO-Backlog2028'!G41,"")</f>
        <v/>
      </c>
      <c r="H360" t="str">
        <f>IF(AND('PO-Backlog2028'!B41&lt;&gt;"",'PO-Backlog2028'!E41&lt;&gt;""),"PO-Backlog2028","")</f>
        <v/>
      </c>
      <c r="I360" t="str">
        <f>IF(A360="Q12028",COUNTIF($A$2:$A360,"Q12028"),"")</f>
        <v/>
      </c>
      <c r="J360" t="str">
        <f>IF(A360="Q22028",COUNTIF($A$2:$A360,"Q22028"),"")</f>
        <v/>
      </c>
      <c r="K360" t="str">
        <f>IF(A360="Q32028",COUNTIF($A$2:$A360,"Q32028"),"")</f>
        <v/>
      </c>
      <c r="L360" t="str">
        <f>IF(A360="Q42028",COUNTIF($A$2:$A360,"Q42028"),"")</f>
        <v/>
      </c>
      <c r="M360" t="str">
        <f>IF(A360="Backlog",COUNTIF($A$2:$A360,"Backlog"),"")</f>
        <v/>
      </c>
    </row>
    <row r="361" spans="1:13">
      <c r="A361" t="str">
        <f>IF(AND('PO-Backlog2028'!B42&lt;&gt;"",'PO-Backlog2028'!E42&lt;&gt;""),'PO-Backlog2028'!E42,"")</f>
        <v/>
      </c>
      <c r="B361" t="str">
        <f>IF(AND('PO-Backlog2028'!B42&lt;&gt;"",'PO-Backlog2028'!E42&lt;&gt;""),'PO-Backlog2028'!B42,"")</f>
        <v/>
      </c>
      <c r="C361" t="str">
        <f>IF(AND('PO-Backlog2028'!B42&lt;&gt;"",'PO-Backlog2028'!E42&lt;&gt;""),'PO-Backlog2028'!C42,"")</f>
        <v/>
      </c>
      <c r="D361" t="str">
        <f>IF(AND('PO-Backlog2028'!B42&lt;&gt;"",'PO-Backlog2028'!E42&lt;&gt;""),'PO-Backlog2028'!D42,"")</f>
        <v/>
      </c>
      <c r="E361" t="str">
        <f>IF(AND('PO-Backlog2028'!B42&lt;&gt;"",'PO-Backlog2028'!E42&lt;&gt;""),'PO-Backlog2028'!H42,"")</f>
        <v/>
      </c>
      <c r="F361" t="str">
        <f>IF(AND('PO-Backlog2028'!B42&lt;&gt;"",'PO-Backlog2028'!E42&lt;&gt;""),'PO-Backlog2028'!F42,"")</f>
        <v/>
      </c>
      <c r="G361" t="str">
        <f>IF(AND('PO-Backlog2028'!B42&lt;&gt;"",'PO-Backlog2028'!E42&lt;&gt;""),'PO-Backlog2028'!G42,"")</f>
        <v/>
      </c>
      <c r="H361" t="str">
        <f>IF(AND('PO-Backlog2028'!B42&lt;&gt;"",'PO-Backlog2028'!E42&lt;&gt;""),"PO-Backlog2028","")</f>
        <v/>
      </c>
      <c r="I361" t="str">
        <f>IF(A361="Q12028",COUNTIF($A$2:$A361,"Q12028"),"")</f>
        <v/>
      </c>
      <c r="J361" t="str">
        <f>IF(A361="Q22028",COUNTIF($A$2:$A361,"Q22028"),"")</f>
        <v/>
      </c>
      <c r="K361" t="str">
        <f>IF(A361="Q32028",COUNTIF($A$2:$A361,"Q32028"),"")</f>
        <v/>
      </c>
      <c r="L361" t="str">
        <f>IF(A361="Q42028",COUNTIF($A$2:$A361,"Q42028"),"")</f>
        <v/>
      </c>
      <c r="M361" t="str">
        <f>IF(A361="Backlog",COUNTIF($A$2:$A361,"Backlog"),"")</f>
        <v/>
      </c>
    </row>
    <row r="362" spans="1:13">
      <c r="A362" t="str">
        <f>IF(AND('PO-Backlog2028'!B43&lt;&gt;"",'PO-Backlog2028'!E43&lt;&gt;""),'PO-Backlog2028'!E43,"")</f>
        <v/>
      </c>
      <c r="B362" t="str">
        <f>IF(AND('PO-Backlog2028'!B43&lt;&gt;"",'PO-Backlog2028'!E43&lt;&gt;""),'PO-Backlog2028'!B43,"")</f>
        <v/>
      </c>
      <c r="C362" t="str">
        <f>IF(AND('PO-Backlog2028'!B43&lt;&gt;"",'PO-Backlog2028'!E43&lt;&gt;""),'PO-Backlog2028'!C43,"")</f>
        <v/>
      </c>
      <c r="D362" t="str">
        <f>IF(AND('PO-Backlog2028'!B43&lt;&gt;"",'PO-Backlog2028'!E43&lt;&gt;""),'PO-Backlog2028'!D43,"")</f>
        <v/>
      </c>
      <c r="E362" t="str">
        <f>IF(AND('PO-Backlog2028'!B43&lt;&gt;"",'PO-Backlog2028'!E43&lt;&gt;""),'PO-Backlog2028'!H43,"")</f>
        <v/>
      </c>
      <c r="F362" t="str">
        <f>IF(AND('PO-Backlog2028'!B43&lt;&gt;"",'PO-Backlog2028'!E43&lt;&gt;""),'PO-Backlog2028'!F43,"")</f>
        <v/>
      </c>
      <c r="G362" t="str">
        <f>IF(AND('PO-Backlog2028'!B43&lt;&gt;"",'PO-Backlog2028'!E43&lt;&gt;""),'PO-Backlog2028'!G43,"")</f>
        <v/>
      </c>
      <c r="H362" t="str">
        <f>IF(AND('PO-Backlog2028'!B43&lt;&gt;"",'PO-Backlog2028'!E43&lt;&gt;""),"PO-Backlog2028","")</f>
        <v/>
      </c>
      <c r="I362" t="str">
        <f>IF(A362="Q12028",COUNTIF($A$2:$A362,"Q12028"),"")</f>
        <v/>
      </c>
      <c r="J362" t="str">
        <f>IF(A362="Q22028",COUNTIF($A$2:$A362,"Q22028"),"")</f>
        <v/>
      </c>
      <c r="K362" t="str">
        <f>IF(A362="Q32028",COUNTIF($A$2:$A362,"Q32028"),"")</f>
        <v/>
      </c>
      <c r="L362" t="str">
        <f>IF(A362="Q42028",COUNTIF($A$2:$A362,"Q42028"),"")</f>
        <v/>
      </c>
      <c r="M362" t="str">
        <f>IF(A362="Backlog",COUNTIF($A$2:$A362,"Backlog"),"")</f>
        <v/>
      </c>
    </row>
    <row r="363" spans="1:13">
      <c r="A363" t="str">
        <f>IF(AND('PO-Backlog2028'!B44&lt;&gt;"",'PO-Backlog2028'!E44&lt;&gt;""),'PO-Backlog2028'!E44,"")</f>
        <v/>
      </c>
      <c r="B363" t="str">
        <f>IF(AND('PO-Backlog2028'!B44&lt;&gt;"",'PO-Backlog2028'!E44&lt;&gt;""),'PO-Backlog2028'!B44,"")</f>
        <v/>
      </c>
      <c r="C363" t="str">
        <f>IF(AND('PO-Backlog2028'!B44&lt;&gt;"",'PO-Backlog2028'!E44&lt;&gt;""),'PO-Backlog2028'!C44,"")</f>
        <v/>
      </c>
      <c r="D363" t="str">
        <f>IF(AND('PO-Backlog2028'!B44&lt;&gt;"",'PO-Backlog2028'!E44&lt;&gt;""),'PO-Backlog2028'!D44,"")</f>
        <v/>
      </c>
      <c r="E363" t="str">
        <f>IF(AND('PO-Backlog2028'!B44&lt;&gt;"",'PO-Backlog2028'!E44&lt;&gt;""),'PO-Backlog2028'!H44,"")</f>
        <v/>
      </c>
      <c r="F363" t="str">
        <f>IF(AND('PO-Backlog2028'!B44&lt;&gt;"",'PO-Backlog2028'!E44&lt;&gt;""),'PO-Backlog2028'!F44,"")</f>
        <v/>
      </c>
      <c r="G363" t="str">
        <f>IF(AND('PO-Backlog2028'!B44&lt;&gt;"",'PO-Backlog2028'!E44&lt;&gt;""),'PO-Backlog2028'!G44,"")</f>
        <v/>
      </c>
      <c r="H363" t="str">
        <f>IF(AND('PO-Backlog2028'!B44&lt;&gt;"",'PO-Backlog2028'!E44&lt;&gt;""),"PO-Backlog2028","")</f>
        <v/>
      </c>
      <c r="I363" t="str">
        <f>IF(A363="Q12028",COUNTIF($A$2:$A363,"Q12028"),"")</f>
        <v/>
      </c>
      <c r="J363" t="str">
        <f>IF(A363="Q22028",COUNTIF($A$2:$A363,"Q22028"),"")</f>
        <v/>
      </c>
      <c r="K363" t="str">
        <f>IF(A363="Q32028",COUNTIF($A$2:$A363,"Q32028"),"")</f>
        <v/>
      </c>
      <c r="L363" t="str">
        <f>IF(A363="Q42028",COUNTIF($A$2:$A363,"Q42028"),"")</f>
        <v/>
      </c>
      <c r="M363" t="str">
        <f>IF(A363="Backlog",COUNTIF($A$2:$A363,"Backlog"),"")</f>
        <v/>
      </c>
    </row>
    <row r="364" spans="1:13">
      <c r="A364" t="str">
        <f>IF(AND('PO-Backlog2028'!B45&lt;&gt;"",'PO-Backlog2028'!E45&lt;&gt;""),'PO-Backlog2028'!E45,"")</f>
        <v/>
      </c>
      <c r="B364" t="str">
        <f>IF(AND('PO-Backlog2028'!B45&lt;&gt;"",'PO-Backlog2028'!E45&lt;&gt;""),'PO-Backlog2028'!B45,"")</f>
        <v/>
      </c>
      <c r="C364" t="str">
        <f>IF(AND('PO-Backlog2028'!B45&lt;&gt;"",'PO-Backlog2028'!E45&lt;&gt;""),'PO-Backlog2028'!C45,"")</f>
        <v/>
      </c>
      <c r="D364" t="str">
        <f>IF(AND('PO-Backlog2028'!B45&lt;&gt;"",'PO-Backlog2028'!E45&lt;&gt;""),'PO-Backlog2028'!D45,"")</f>
        <v/>
      </c>
      <c r="E364" t="str">
        <f>IF(AND('PO-Backlog2028'!B45&lt;&gt;"",'PO-Backlog2028'!E45&lt;&gt;""),'PO-Backlog2028'!H45,"")</f>
        <v/>
      </c>
      <c r="F364" t="str">
        <f>IF(AND('PO-Backlog2028'!B45&lt;&gt;"",'PO-Backlog2028'!E45&lt;&gt;""),'PO-Backlog2028'!F45,"")</f>
        <v/>
      </c>
      <c r="G364" t="str">
        <f>IF(AND('PO-Backlog2028'!B45&lt;&gt;"",'PO-Backlog2028'!E45&lt;&gt;""),'PO-Backlog2028'!G45,"")</f>
        <v/>
      </c>
      <c r="H364" t="str">
        <f>IF(AND('PO-Backlog2028'!B45&lt;&gt;"",'PO-Backlog2028'!E45&lt;&gt;""),"PO-Backlog2028","")</f>
        <v/>
      </c>
      <c r="I364" t="str">
        <f>IF(A364="Q12028",COUNTIF($A$2:$A364,"Q12028"),"")</f>
        <v/>
      </c>
      <c r="J364" t="str">
        <f>IF(A364="Q22028",COUNTIF($A$2:$A364,"Q22028"),"")</f>
        <v/>
      </c>
      <c r="K364" t="str">
        <f>IF(A364="Q32028",COUNTIF($A$2:$A364,"Q32028"),"")</f>
        <v/>
      </c>
      <c r="L364" t="str">
        <f>IF(A364="Q42028",COUNTIF($A$2:$A364,"Q42028"),"")</f>
        <v/>
      </c>
      <c r="M364" t="str">
        <f>IF(A364="Backlog",COUNTIF($A$2:$A364,"Backlog"),"")</f>
        <v/>
      </c>
    </row>
    <row r="365" spans="1:13">
      <c r="A365" t="str">
        <f>IF(AND('PO-Backlog2028'!B46&lt;&gt;"",'PO-Backlog2028'!E46&lt;&gt;""),'PO-Backlog2028'!E46,"")</f>
        <v/>
      </c>
      <c r="B365" t="str">
        <f>IF(AND('PO-Backlog2028'!B46&lt;&gt;"",'PO-Backlog2028'!E46&lt;&gt;""),'PO-Backlog2028'!B46,"")</f>
        <v/>
      </c>
      <c r="C365" t="str">
        <f>IF(AND('PO-Backlog2028'!B46&lt;&gt;"",'PO-Backlog2028'!E46&lt;&gt;""),'PO-Backlog2028'!C46,"")</f>
        <v/>
      </c>
      <c r="D365" t="str">
        <f>IF(AND('PO-Backlog2028'!B46&lt;&gt;"",'PO-Backlog2028'!E46&lt;&gt;""),'PO-Backlog2028'!D46,"")</f>
        <v/>
      </c>
      <c r="E365" t="str">
        <f>IF(AND('PO-Backlog2028'!B46&lt;&gt;"",'PO-Backlog2028'!E46&lt;&gt;""),'PO-Backlog2028'!H46,"")</f>
        <v/>
      </c>
      <c r="F365" t="str">
        <f>IF(AND('PO-Backlog2028'!B46&lt;&gt;"",'PO-Backlog2028'!E46&lt;&gt;""),'PO-Backlog2028'!F46,"")</f>
        <v/>
      </c>
      <c r="G365" t="str">
        <f>IF(AND('PO-Backlog2028'!B46&lt;&gt;"",'PO-Backlog2028'!E46&lt;&gt;""),'PO-Backlog2028'!G46,"")</f>
        <v/>
      </c>
      <c r="H365" t="str">
        <f>IF(AND('PO-Backlog2028'!B46&lt;&gt;"",'PO-Backlog2028'!E46&lt;&gt;""),"PO-Backlog2028","")</f>
        <v/>
      </c>
      <c r="I365" t="str">
        <f>IF(A365="Q12028",COUNTIF($A$2:$A365,"Q12028"),"")</f>
        <v/>
      </c>
      <c r="J365" t="str">
        <f>IF(A365="Q22028",COUNTIF($A$2:$A365,"Q22028"),"")</f>
        <v/>
      </c>
      <c r="K365" t="str">
        <f>IF(A365="Q32028",COUNTIF($A$2:$A365,"Q32028"),"")</f>
        <v/>
      </c>
      <c r="L365" t="str">
        <f>IF(A365="Q42028",COUNTIF($A$2:$A365,"Q42028"),"")</f>
        <v/>
      </c>
      <c r="M365" t="str">
        <f>IF(A365="Backlog",COUNTIF($A$2:$A365,"Backlog"),"")</f>
        <v/>
      </c>
    </row>
    <row r="366" spans="1:13">
      <c r="A366" t="str">
        <f>IF(AND('PO-Backlog2028'!B47&lt;&gt;"",'PO-Backlog2028'!E47&lt;&gt;""),'PO-Backlog2028'!E47,"")</f>
        <v/>
      </c>
      <c r="B366" t="str">
        <f>IF(AND('PO-Backlog2028'!B47&lt;&gt;"",'PO-Backlog2028'!E47&lt;&gt;""),'PO-Backlog2028'!B47,"")</f>
        <v/>
      </c>
      <c r="C366" t="str">
        <f>IF(AND('PO-Backlog2028'!B47&lt;&gt;"",'PO-Backlog2028'!E47&lt;&gt;""),'PO-Backlog2028'!C47,"")</f>
        <v/>
      </c>
      <c r="D366" t="str">
        <f>IF(AND('PO-Backlog2028'!B47&lt;&gt;"",'PO-Backlog2028'!E47&lt;&gt;""),'PO-Backlog2028'!D47,"")</f>
        <v/>
      </c>
      <c r="E366" t="str">
        <f>IF(AND('PO-Backlog2028'!B47&lt;&gt;"",'PO-Backlog2028'!E47&lt;&gt;""),'PO-Backlog2028'!H47,"")</f>
        <v/>
      </c>
      <c r="F366" t="str">
        <f>IF(AND('PO-Backlog2028'!B47&lt;&gt;"",'PO-Backlog2028'!E47&lt;&gt;""),'PO-Backlog2028'!F47,"")</f>
        <v/>
      </c>
      <c r="G366" t="str">
        <f>IF(AND('PO-Backlog2028'!B47&lt;&gt;"",'PO-Backlog2028'!E47&lt;&gt;""),'PO-Backlog2028'!G47,"")</f>
        <v/>
      </c>
      <c r="H366" t="str">
        <f>IF(AND('PO-Backlog2028'!B47&lt;&gt;"",'PO-Backlog2028'!E47&lt;&gt;""),"PO-Backlog2028","")</f>
        <v/>
      </c>
      <c r="I366" t="str">
        <f>IF(A366="Q12028",COUNTIF($A$2:$A366,"Q12028"),"")</f>
        <v/>
      </c>
      <c r="J366" t="str">
        <f>IF(A366="Q22028",COUNTIF($A$2:$A366,"Q22028"),"")</f>
        <v/>
      </c>
      <c r="K366" t="str">
        <f>IF(A366="Q32028",COUNTIF($A$2:$A366,"Q32028"),"")</f>
        <v/>
      </c>
      <c r="L366" t="str">
        <f>IF(A366="Q42028",COUNTIF($A$2:$A366,"Q42028"),"")</f>
        <v/>
      </c>
      <c r="M366" t="str">
        <f>IF(A366="Backlog",COUNTIF($A$2:$A366,"Backlog"),"")</f>
        <v/>
      </c>
    </row>
    <row r="367" spans="1:13">
      <c r="A367" t="str">
        <f>IF(AND('PO-Backlog2028'!B48&lt;&gt;"",'PO-Backlog2028'!E48&lt;&gt;""),'PO-Backlog2028'!E48,"")</f>
        <v/>
      </c>
      <c r="B367" t="str">
        <f>IF(AND('PO-Backlog2028'!B48&lt;&gt;"",'PO-Backlog2028'!E48&lt;&gt;""),'PO-Backlog2028'!B48,"")</f>
        <v/>
      </c>
      <c r="C367" t="str">
        <f>IF(AND('PO-Backlog2028'!B48&lt;&gt;"",'PO-Backlog2028'!E48&lt;&gt;""),'PO-Backlog2028'!C48,"")</f>
        <v/>
      </c>
      <c r="D367" t="str">
        <f>IF(AND('PO-Backlog2028'!B48&lt;&gt;"",'PO-Backlog2028'!E48&lt;&gt;""),'PO-Backlog2028'!D48,"")</f>
        <v/>
      </c>
      <c r="E367" t="str">
        <f>IF(AND('PO-Backlog2028'!B48&lt;&gt;"",'PO-Backlog2028'!E48&lt;&gt;""),'PO-Backlog2028'!H48,"")</f>
        <v/>
      </c>
      <c r="F367" t="str">
        <f>IF(AND('PO-Backlog2028'!B48&lt;&gt;"",'PO-Backlog2028'!E48&lt;&gt;""),'PO-Backlog2028'!F48,"")</f>
        <v/>
      </c>
      <c r="G367" t="str">
        <f>IF(AND('PO-Backlog2028'!B48&lt;&gt;"",'PO-Backlog2028'!E48&lt;&gt;""),'PO-Backlog2028'!G48,"")</f>
        <v/>
      </c>
      <c r="H367" t="str">
        <f>IF(AND('PO-Backlog2028'!B48&lt;&gt;"",'PO-Backlog2028'!E48&lt;&gt;""),"PO-Backlog2028","")</f>
        <v/>
      </c>
      <c r="I367" t="str">
        <f>IF(A367="Q12028",COUNTIF($A$2:$A367,"Q12028"),"")</f>
        <v/>
      </c>
      <c r="J367" t="str">
        <f>IF(A367="Q22028",COUNTIF($A$2:$A367,"Q22028"),"")</f>
        <v/>
      </c>
      <c r="K367" t="str">
        <f>IF(A367="Q32028",COUNTIF($A$2:$A367,"Q32028"),"")</f>
        <v/>
      </c>
      <c r="L367" t="str">
        <f>IF(A367="Q42028",COUNTIF($A$2:$A367,"Q42028"),"")</f>
        <v/>
      </c>
      <c r="M367" t="str">
        <f>IF(A367="Backlog",COUNTIF($A$2:$A367,"Backlog"),"")</f>
        <v/>
      </c>
    </row>
    <row r="368" spans="1:13">
      <c r="A368" t="str">
        <f>IF(AND('PO-Backlog2028'!B49&lt;&gt;"",'PO-Backlog2028'!E49&lt;&gt;""),'PO-Backlog2028'!E49,"")</f>
        <v/>
      </c>
      <c r="B368" t="str">
        <f>IF(AND('PO-Backlog2028'!B49&lt;&gt;"",'PO-Backlog2028'!E49&lt;&gt;""),'PO-Backlog2028'!B49,"")</f>
        <v/>
      </c>
      <c r="C368" t="str">
        <f>IF(AND('PO-Backlog2028'!B49&lt;&gt;"",'PO-Backlog2028'!E49&lt;&gt;""),'PO-Backlog2028'!C49,"")</f>
        <v/>
      </c>
      <c r="D368" t="str">
        <f>IF(AND('PO-Backlog2028'!B49&lt;&gt;"",'PO-Backlog2028'!E49&lt;&gt;""),'PO-Backlog2028'!D49,"")</f>
        <v/>
      </c>
      <c r="E368" t="str">
        <f>IF(AND('PO-Backlog2028'!B49&lt;&gt;"",'PO-Backlog2028'!E49&lt;&gt;""),'PO-Backlog2028'!H49,"")</f>
        <v/>
      </c>
      <c r="F368" t="str">
        <f>IF(AND('PO-Backlog2028'!B49&lt;&gt;"",'PO-Backlog2028'!E49&lt;&gt;""),'PO-Backlog2028'!F49,"")</f>
        <v/>
      </c>
      <c r="G368" t="str">
        <f>IF(AND('PO-Backlog2028'!B49&lt;&gt;"",'PO-Backlog2028'!E49&lt;&gt;""),'PO-Backlog2028'!G49,"")</f>
        <v/>
      </c>
      <c r="H368" t="str">
        <f>IF(AND('PO-Backlog2028'!B49&lt;&gt;"",'PO-Backlog2028'!E49&lt;&gt;""),"PO-Backlog2028","")</f>
        <v/>
      </c>
      <c r="I368" t="str">
        <f>IF(A368="Q12028",COUNTIF($A$2:$A368,"Q12028"),"")</f>
        <v/>
      </c>
      <c r="J368" t="str">
        <f>IF(A368="Q22028",COUNTIF($A$2:$A368,"Q22028"),"")</f>
        <v/>
      </c>
      <c r="K368" t="str">
        <f>IF(A368="Q32028",COUNTIF($A$2:$A368,"Q32028"),"")</f>
        <v/>
      </c>
      <c r="L368" t="str">
        <f>IF(A368="Q42028",COUNTIF($A$2:$A368,"Q42028"),"")</f>
        <v/>
      </c>
      <c r="M368" t="str">
        <f>IF(A368="Backlog",COUNTIF($A$2:$A368,"Backlog"),"")</f>
        <v/>
      </c>
    </row>
    <row r="369" spans="1:13">
      <c r="A369" t="str">
        <f>IF(AND('PO-Backlog2028'!B50&lt;&gt;"",'PO-Backlog2028'!E50&lt;&gt;""),'PO-Backlog2028'!E50,"")</f>
        <v/>
      </c>
      <c r="B369" t="str">
        <f>IF(AND('PO-Backlog2028'!B50&lt;&gt;"",'PO-Backlog2028'!E50&lt;&gt;""),'PO-Backlog2028'!B50,"")</f>
        <v/>
      </c>
      <c r="C369" t="str">
        <f>IF(AND('PO-Backlog2028'!B50&lt;&gt;"",'PO-Backlog2028'!E50&lt;&gt;""),'PO-Backlog2028'!C50,"")</f>
        <v/>
      </c>
      <c r="D369" t="str">
        <f>IF(AND('PO-Backlog2028'!B50&lt;&gt;"",'PO-Backlog2028'!E50&lt;&gt;""),'PO-Backlog2028'!D50,"")</f>
        <v/>
      </c>
      <c r="E369" t="str">
        <f>IF(AND('PO-Backlog2028'!B50&lt;&gt;"",'PO-Backlog2028'!E50&lt;&gt;""),'PO-Backlog2028'!H50,"")</f>
        <v/>
      </c>
      <c r="F369" t="str">
        <f>IF(AND('PO-Backlog2028'!B50&lt;&gt;"",'PO-Backlog2028'!E50&lt;&gt;""),'PO-Backlog2028'!F50,"")</f>
        <v/>
      </c>
      <c r="G369" t="str">
        <f>IF(AND('PO-Backlog2028'!B50&lt;&gt;"",'PO-Backlog2028'!E50&lt;&gt;""),'PO-Backlog2028'!G50,"")</f>
        <v/>
      </c>
      <c r="H369" t="str">
        <f>IF(AND('PO-Backlog2028'!B50&lt;&gt;"",'PO-Backlog2028'!E50&lt;&gt;""),"PO-Backlog2028","")</f>
        <v/>
      </c>
      <c r="I369" t="str">
        <f>IF(A369="Q12028",COUNTIF($A$2:$A369,"Q12028"),"")</f>
        <v/>
      </c>
      <c r="J369" t="str">
        <f>IF(A369="Q22028",COUNTIF($A$2:$A369,"Q22028"),"")</f>
        <v/>
      </c>
      <c r="K369" t="str">
        <f>IF(A369="Q32028",COUNTIF($A$2:$A369,"Q32028"),"")</f>
        <v/>
      </c>
      <c r="L369" t="str">
        <f>IF(A369="Q42028",COUNTIF($A$2:$A369,"Q42028"),"")</f>
        <v/>
      </c>
      <c r="M369" t="str">
        <f>IF(A369="Backlog",COUNTIF($A$2:$A369,"Backlog"),"")</f>
        <v/>
      </c>
    </row>
    <row r="370" spans="1:13">
      <c r="A370" t="str">
        <f>IF(AND('PO-Backlog2028'!B51&lt;&gt;"",'PO-Backlog2028'!E51&lt;&gt;""),'PO-Backlog2028'!E51,"")</f>
        <v/>
      </c>
      <c r="B370" t="str">
        <f>IF(AND('PO-Backlog2028'!B51&lt;&gt;"",'PO-Backlog2028'!E51&lt;&gt;""),'PO-Backlog2028'!B51,"")</f>
        <v/>
      </c>
      <c r="C370" t="str">
        <f>IF(AND('PO-Backlog2028'!B51&lt;&gt;"",'PO-Backlog2028'!E51&lt;&gt;""),'PO-Backlog2028'!C51,"")</f>
        <v/>
      </c>
      <c r="D370" t="str">
        <f>IF(AND('PO-Backlog2028'!B51&lt;&gt;"",'PO-Backlog2028'!E51&lt;&gt;""),'PO-Backlog2028'!D51,"")</f>
        <v/>
      </c>
      <c r="E370" t="str">
        <f>IF(AND('PO-Backlog2028'!B51&lt;&gt;"",'PO-Backlog2028'!E51&lt;&gt;""),'PO-Backlog2028'!H51,"")</f>
        <v/>
      </c>
      <c r="F370" t="str">
        <f>IF(AND('PO-Backlog2028'!B51&lt;&gt;"",'PO-Backlog2028'!E51&lt;&gt;""),'PO-Backlog2028'!F51,"")</f>
        <v/>
      </c>
      <c r="G370" t="str">
        <f>IF(AND('PO-Backlog2028'!B51&lt;&gt;"",'PO-Backlog2028'!E51&lt;&gt;""),'PO-Backlog2028'!G51,"")</f>
        <v/>
      </c>
      <c r="H370" t="str">
        <f>IF(AND('PO-Backlog2028'!B51&lt;&gt;"",'PO-Backlog2028'!E51&lt;&gt;""),"PO-Backlog2028","")</f>
        <v/>
      </c>
      <c r="I370" t="str">
        <f>IF(A370="Q12028",COUNTIF($A$2:$A370,"Q12028"),"")</f>
        <v/>
      </c>
      <c r="J370" t="str">
        <f>IF(A370="Q22028",COUNTIF($A$2:$A370,"Q22028"),"")</f>
        <v/>
      </c>
      <c r="K370" t="str">
        <f>IF(A370="Q32028",COUNTIF($A$2:$A370,"Q32028"),"")</f>
        <v/>
      </c>
      <c r="L370" t="str">
        <f>IF(A370="Q42028",COUNTIF($A$2:$A370,"Q42028"),"")</f>
        <v/>
      </c>
      <c r="M370" t="str">
        <f>IF(A370="Backlog",COUNTIF($A$2:$A370,"Backlog"),"")</f>
        <v/>
      </c>
    </row>
    <row r="371" spans="1:13">
      <c r="A371" t="str">
        <f>IF(AND('PO-Backlog2028'!B52&lt;&gt;"",'PO-Backlog2028'!E52&lt;&gt;""),'PO-Backlog2028'!E52,"")</f>
        <v/>
      </c>
      <c r="B371" t="str">
        <f>IF(AND('PO-Backlog2028'!B52&lt;&gt;"",'PO-Backlog2028'!E52&lt;&gt;""),'PO-Backlog2028'!B52,"")</f>
        <v/>
      </c>
      <c r="C371" t="str">
        <f>IF(AND('PO-Backlog2028'!B52&lt;&gt;"",'PO-Backlog2028'!E52&lt;&gt;""),'PO-Backlog2028'!C52,"")</f>
        <v/>
      </c>
      <c r="D371" t="str">
        <f>IF(AND('PO-Backlog2028'!B52&lt;&gt;"",'PO-Backlog2028'!E52&lt;&gt;""),'PO-Backlog2028'!D52,"")</f>
        <v/>
      </c>
      <c r="E371" t="str">
        <f>IF(AND('PO-Backlog2028'!B52&lt;&gt;"",'PO-Backlog2028'!E52&lt;&gt;""),'PO-Backlog2028'!H52,"")</f>
        <v/>
      </c>
      <c r="F371" t="str">
        <f>IF(AND('PO-Backlog2028'!B52&lt;&gt;"",'PO-Backlog2028'!E52&lt;&gt;""),'PO-Backlog2028'!F52,"")</f>
        <v/>
      </c>
      <c r="G371" t="str">
        <f>IF(AND('PO-Backlog2028'!B52&lt;&gt;"",'PO-Backlog2028'!E52&lt;&gt;""),'PO-Backlog2028'!G52,"")</f>
        <v/>
      </c>
      <c r="H371" t="str">
        <f>IF(AND('PO-Backlog2028'!B52&lt;&gt;"",'PO-Backlog2028'!E52&lt;&gt;""),"PO-Backlog2028","")</f>
        <v/>
      </c>
      <c r="I371" t="str">
        <f>IF(A371="Q12028",COUNTIF($A$2:$A371,"Q12028"),"")</f>
        <v/>
      </c>
      <c r="J371" t="str">
        <f>IF(A371="Q22028",COUNTIF($A$2:$A371,"Q22028"),"")</f>
        <v/>
      </c>
      <c r="K371" t="str">
        <f>IF(A371="Q32028",COUNTIF($A$2:$A371,"Q32028"),"")</f>
        <v/>
      </c>
      <c r="L371" t="str">
        <f>IF(A371="Q42028",COUNTIF($A$2:$A371,"Q42028"),"")</f>
        <v/>
      </c>
      <c r="M371" t="str">
        <f>IF(A371="Backlog",COUNTIF($A$2:$A371,"Backlog"),"")</f>
        <v/>
      </c>
    </row>
    <row r="372" spans="1:13">
      <c r="A372" t="str">
        <f>IF(AND('PO-Backlog2028'!B53&lt;&gt;"",'PO-Backlog2028'!E53&lt;&gt;""),'PO-Backlog2028'!E53,"")</f>
        <v/>
      </c>
      <c r="B372" t="str">
        <f>IF(AND('PO-Backlog2028'!B53&lt;&gt;"",'PO-Backlog2028'!E53&lt;&gt;""),'PO-Backlog2028'!B53,"")</f>
        <v/>
      </c>
      <c r="C372" t="str">
        <f>IF(AND('PO-Backlog2028'!B53&lt;&gt;"",'PO-Backlog2028'!E53&lt;&gt;""),'PO-Backlog2028'!C53,"")</f>
        <v/>
      </c>
      <c r="D372" t="str">
        <f>IF(AND('PO-Backlog2028'!B53&lt;&gt;"",'PO-Backlog2028'!E53&lt;&gt;""),'PO-Backlog2028'!D53,"")</f>
        <v/>
      </c>
      <c r="E372" t="str">
        <f>IF(AND('PO-Backlog2028'!B53&lt;&gt;"",'PO-Backlog2028'!E53&lt;&gt;""),'PO-Backlog2028'!H53,"")</f>
        <v/>
      </c>
      <c r="F372" t="str">
        <f>IF(AND('PO-Backlog2028'!B53&lt;&gt;"",'PO-Backlog2028'!E53&lt;&gt;""),'PO-Backlog2028'!F53,"")</f>
        <v/>
      </c>
      <c r="G372" t="str">
        <f>IF(AND('PO-Backlog2028'!B53&lt;&gt;"",'PO-Backlog2028'!E53&lt;&gt;""),'PO-Backlog2028'!G53,"")</f>
        <v/>
      </c>
      <c r="H372" t="str">
        <f>IF(AND('PO-Backlog2028'!B53&lt;&gt;"",'PO-Backlog2028'!E53&lt;&gt;""),"PO-Backlog2028","")</f>
        <v/>
      </c>
      <c r="I372" t="str">
        <f>IF(A372="Q12028",COUNTIF($A$2:$A372,"Q12028"),"")</f>
        <v/>
      </c>
      <c r="J372" t="str">
        <f>IF(A372="Q22028",COUNTIF($A$2:$A372,"Q22028"),"")</f>
        <v/>
      </c>
      <c r="K372" t="str">
        <f>IF(A372="Q32028",COUNTIF($A$2:$A372,"Q32028"),"")</f>
        <v/>
      </c>
      <c r="L372" t="str">
        <f>IF(A372="Q42028",COUNTIF($A$2:$A372,"Q42028"),"")</f>
        <v/>
      </c>
      <c r="M372" t="str">
        <f>IF(A372="Backlog",COUNTIF($A$2:$A372,"Backlog"),"")</f>
        <v/>
      </c>
    </row>
    <row r="373" spans="1:13">
      <c r="A373" t="str">
        <f>IF(AND('PO-Backlog2028'!B54&lt;&gt;"",'PO-Backlog2028'!E54&lt;&gt;""),'PO-Backlog2028'!E54,"")</f>
        <v/>
      </c>
      <c r="B373" t="str">
        <f>IF(AND('PO-Backlog2028'!B54&lt;&gt;"",'PO-Backlog2028'!E54&lt;&gt;""),'PO-Backlog2028'!B54,"")</f>
        <v/>
      </c>
      <c r="C373" t="str">
        <f>IF(AND('PO-Backlog2028'!B54&lt;&gt;"",'PO-Backlog2028'!E54&lt;&gt;""),'PO-Backlog2028'!C54,"")</f>
        <v/>
      </c>
      <c r="D373" t="str">
        <f>IF(AND('PO-Backlog2028'!B54&lt;&gt;"",'PO-Backlog2028'!E54&lt;&gt;""),'PO-Backlog2028'!D54,"")</f>
        <v/>
      </c>
      <c r="E373" t="str">
        <f>IF(AND('PO-Backlog2028'!B54&lt;&gt;"",'PO-Backlog2028'!E54&lt;&gt;""),'PO-Backlog2028'!H54,"")</f>
        <v/>
      </c>
      <c r="F373" t="str">
        <f>IF(AND('PO-Backlog2028'!B54&lt;&gt;"",'PO-Backlog2028'!E54&lt;&gt;""),'PO-Backlog2028'!F54,"")</f>
        <v/>
      </c>
      <c r="G373" t="str">
        <f>IF(AND('PO-Backlog2028'!B54&lt;&gt;"",'PO-Backlog2028'!E54&lt;&gt;""),'PO-Backlog2028'!G54,"")</f>
        <v/>
      </c>
      <c r="H373" t="str">
        <f>IF(AND('PO-Backlog2028'!B54&lt;&gt;"",'PO-Backlog2028'!E54&lt;&gt;""),"PO-Backlog2028","")</f>
        <v/>
      </c>
      <c r="I373" t="str">
        <f>IF(A373="Q12028",COUNTIF($A$2:$A373,"Q12028"),"")</f>
        <v/>
      </c>
      <c r="J373" t="str">
        <f>IF(A373="Q22028",COUNTIF($A$2:$A373,"Q22028"),"")</f>
        <v/>
      </c>
      <c r="K373" t="str">
        <f>IF(A373="Q32028",COUNTIF($A$2:$A373,"Q32028"),"")</f>
        <v/>
      </c>
      <c r="L373" t="str">
        <f>IF(A373="Q42028",COUNTIF($A$2:$A373,"Q42028"),"")</f>
        <v/>
      </c>
      <c r="M373" t="str">
        <f>IF(A373="Backlog",COUNTIF($A$2:$A373,"Backlog"),"")</f>
        <v/>
      </c>
    </row>
    <row r="374" spans="1:13">
      <c r="A374" t="str">
        <f>IF(AND('PO-Backlog2028'!B55&lt;&gt;"",'PO-Backlog2028'!E55&lt;&gt;""),'PO-Backlog2028'!E55,"")</f>
        <v/>
      </c>
      <c r="B374" t="str">
        <f>IF(AND('PO-Backlog2028'!B55&lt;&gt;"",'PO-Backlog2028'!E55&lt;&gt;""),'PO-Backlog2028'!B55,"")</f>
        <v/>
      </c>
      <c r="C374" t="str">
        <f>IF(AND('PO-Backlog2028'!B55&lt;&gt;"",'PO-Backlog2028'!E55&lt;&gt;""),'PO-Backlog2028'!C55,"")</f>
        <v/>
      </c>
      <c r="D374" t="str">
        <f>IF(AND('PO-Backlog2028'!B55&lt;&gt;"",'PO-Backlog2028'!E55&lt;&gt;""),'PO-Backlog2028'!D55,"")</f>
        <v/>
      </c>
      <c r="E374" t="str">
        <f>IF(AND('PO-Backlog2028'!B55&lt;&gt;"",'PO-Backlog2028'!E55&lt;&gt;""),'PO-Backlog2028'!H55,"")</f>
        <v/>
      </c>
      <c r="F374" t="str">
        <f>IF(AND('PO-Backlog2028'!B55&lt;&gt;"",'PO-Backlog2028'!E55&lt;&gt;""),'PO-Backlog2028'!F55,"")</f>
        <v/>
      </c>
      <c r="G374" t="str">
        <f>IF(AND('PO-Backlog2028'!B55&lt;&gt;"",'PO-Backlog2028'!E55&lt;&gt;""),'PO-Backlog2028'!G55,"")</f>
        <v/>
      </c>
      <c r="H374" t="str">
        <f>IF(AND('PO-Backlog2028'!B55&lt;&gt;"",'PO-Backlog2028'!E55&lt;&gt;""),"PO-Backlog2028","")</f>
        <v/>
      </c>
      <c r="I374" t="str">
        <f>IF(A374="Q12028",COUNTIF($A$2:$A374,"Q12028"),"")</f>
        <v/>
      </c>
      <c r="J374" t="str">
        <f>IF(A374="Q22028",COUNTIF($A$2:$A374,"Q22028"),"")</f>
        <v/>
      </c>
      <c r="K374" t="str">
        <f>IF(A374="Q32028",COUNTIF($A$2:$A374,"Q32028"),"")</f>
        <v/>
      </c>
      <c r="L374" t="str">
        <f>IF(A374="Q42028",COUNTIF($A$2:$A374,"Q42028"),"")</f>
        <v/>
      </c>
      <c r="M374" t="str">
        <f>IF(A374="Backlog",COUNTIF($A$2:$A374,"Backlog"),"")</f>
        <v/>
      </c>
    </row>
    <row r="375" spans="1:13">
      <c r="A375" t="str">
        <f>IF(AND('PO-Backlog2028'!B56&lt;&gt;"",'PO-Backlog2028'!E56&lt;&gt;""),'PO-Backlog2028'!E56,"")</f>
        <v/>
      </c>
      <c r="B375" t="str">
        <f>IF(AND('PO-Backlog2028'!B56&lt;&gt;"",'PO-Backlog2028'!E56&lt;&gt;""),'PO-Backlog2028'!B56,"")</f>
        <v/>
      </c>
      <c r="C375" t="str">
        <f>IF(AND('PO-Backlog2028'!B56&lt;&gt;"",'PO-Backlog2028'!E56&lt;&gt;""),'PO-Backlog2028'!C56,"")</f>
        <v/>
      </c>
      <c r="D375" t="str">
        <f>IF(AND('PO-Backlog2028'!B56&lt;&gt;"",'PO-Backlog2028'!E56&lt;&gt;""),'PO-Backlog2028'!D56,"")</f>
        <v/>
      </c>
      <c r="E375" t="str">
        <f>IF(AND('PO-Backlog2028'!B56&lt;&gt;"",'PO-Backlog2028'!E56&lt;&gt;""),'PO-Backlog2028'!H56,"")</f>
        <v/>
      </c>
      <c r="F375" t="str">
        <f>IF(AND('PO-Backlog2028'!B56&lt;&gt;"",'PO-Backlog2028'!E56&lt;&gt;""),'PO-Backlog2028'!F56,"")</f>
        <v/>
      </c>
      <c r="G375" t="str">
        <f>IF(AND('PO-Backlog2028'!B56&lt;&gt;"",'PO-Backlog2028'!E56&lt;&gt;""),'PO-Backlog2028'!G56,"")</f>
        <v/>
      </c>
      <c r="H375" t="str">
        <f>IF(AND('PO-Backlog2028'!B56&lt;&gt;"",'PO-Backlog2028'!E56&lt;&gt;""),"PO-Backlog2028","")</f>
        <v/>
      </c>
      <c r="I375" t="str">
        <f>IF(A375="Q12028",COUNTIF($A$2:$A375,"Q12028"),"")</f>
        <v/>
      </c>
      <c r="J375" t="str">
        <f>IF(A375="Q22028",COUNTIF($A$2:$A375,"Q22028"),"")</f>
        <v/>
      </c>
      <c r="K375" t="str">
        <f>IF(A375="Q32028",COUNTIF($A$2:$A375,"Q32028"),"")</f>
        <v/>
      </c>
      <c r="L375" t="str">
        <f>IF(A375="Q42028",COUNTIF($A$2:$A375,"Q42028"),"")</f>
        <v/>
      </c>
      <c r="M375" t="str">
        <f>IF(A375="Backlog",COUNTIF($A$2:$A375,"Backlog"),"")</f>
        <v/>
      </c>
    </row>
    <row r="376" spans="1:13">
      <c r="A376" t="str">
        <f>IF(AND('PO-Backlog2028'!B57&lt;&gt;"",'PO-Backlog2028'!E57&lt;&gt;""),'PO-Backlog2028'!E57,"")</f>
        <v/>
      </c>
      <c r="B376" t="str">
        <f>IF(AND('PO-Backlog2028'!B57&lt;&gt;"",'PO-Backlog2028'!E57&lt;&gt;""),'PO-Backlog2028'!B57,"")</f>
        <v/>
      </c>
      <c r="C376" t="str">
        <f>IF(AND('PO-Backlog2028'!B57&lt;&gt;"",'PO-Backlog2028'!E57&lt;&gt;""),'PO-Backlog2028'!C57,"")</f>
        <v/>
      </c>
      <c r="D376" t="str">
        <f>IF(AND('PO-Backlog2028'!B57&lt;&gt;"",'PO-Backlog2028'!E57&lt;&gt;""),'PO-Backlog2028'!D57,"")</f>
        <v/>
      </c>
      <c r="E376" t="str">
        <f>IF(AND('PO-Backlog2028'!B57&lt;&gt;"",'PO-Backlog2028'!E57&lt;&gt;""),'PO-Backlog2028'!H57,"")</f>
        <v/>
      </c>
      <c r="F376" t="str">
        <f>IF(AND('PO-Backlog2028'!B57&lt;&gt;"",'PO-Backlog2028'!E57&lt;&gt;""),'PO-Backlog2028'!F57,"")</f>
        <v/>
      </c>
      <c r="G376" t="str">
        <f>IF(AND('PO-Backlog2028'!B57&lt;&gt;"",'PO-Backlog2028'!E57&lt;&gt;""),'PO-Backlog2028'!G57,"")</f>
        <v/>
      </c>
      <c r="H376" t="str">
        <f>IF(AND('PO-Backlog2028'!B57&lt;&gt;"",'PO-Backlog2028'!E57&lt;&gt;""),"PO-Backlog2028","")</f>
        <v/>
      </c>
      <c r="I376" t="str">
        <f>IF(A376="Q12028",COUNTIF($A$2:$A376,"Q12028"),"")</f>
        <v/>
      </c>
      <c r="J376" t="str">
        <f>IF(A376="Q22028",COUNTIF($A$2:$A376,"Q22028"),"")</f>
        <v/>
      </c>
      <c r="K376" t="str">
        <f>IF(A376="Q32028",COUNTIF($A$2:$A376,"Q32028"),"")</f>
        <v/>
      </c>
      <c r="L376" t="str">
        <f>IF(A376="Q42028",COUNTIF($A$2:$A376,"Q42028"),"")</f>
        <v/>
      </c>
      <c r="M376" t="str">
        <f>IF(A376="Backlog",COUNTIF($A$2:$A376,"Backlog"),"")</f>
        <v/>
      </c>
    </row>
    <row r="377" spans="1:13">
      <c r="A377" t="str">
        <f>IF(AND('PO-Backlog2028'!B58&lt;&gt;"",'PO-Backlog2028'!E58&lt;&gt;""),'PO-Backlog2028'!E58,"")</f>
        <v/>
      </c>
      <c r="B377" t="str">
        <f>IF(AND('PO-Backlog2028'!B58&lt;&gt;"",'PO-Backlog2028'!E58&lt;&gt;""),'PO-Backlog2028'!B58,"")</f>
        <v/>
      </c>
      <c r="C377" t="str">
        <f>IF(AND('PO-Backlog2028'!B58&lt;&gt;"",'PO-Backlog2028'!E58&lt;&gt;""),'PO-Backlog2028'!C58,"")</f>
        <v/>
      </c>
      <c r="D377" t="str">
        <f>IF(AND('PO-Backlog2028'!B58&lt;&gt;"",'PO-Backlog2028'!E58&lt;&gt;""),'PO-Backlog2028'!D58,"")</f>
        <v/>
      </c>
      <c r="E377" t="str">
        <f>IF(AND('PO-Backlog2028'!B58&lt;&gt;"",'PO-Backlog2028'!E58&lt;&gt;""),'PO-Backlog2028'!H58,"")</f>
        <v/>
      </c>
      <c r="F377" t="str">
        <f>IF(AND('PO-Backlog2028'!B58&lt;&gt;"",'PO-Backlog2028'!E58&lt;&gt;""),'PO-Backlog2028'!F58,"")</f>
        <v/>
      </c>
      <c r="G377" t="str">
        <f>IF(AND('PO-Backlog2028'!B58&lt;&gt;"",'PO-Backlog2028'!E58&lt;&gt;""),'PO-Backlog2028'!G58,"")</f>
        <v/>
      </c>
      <c r="H377" t="str">
        <f>IF(AND('PO-Backlog2028'!B58&lt;&gt;"",'PO-Backlog2028'!E58&lt;&gt;""),"PO-Backlog2028","")</f>
        <v/>
      </c>
      <c r="I377" t="str">
        <f>IF(A377="Q12028",COUNTIF($A$2:$A377,"Q12028"),"")</f>
        <v/>
      </c>
      <c r="J377" t="str">
        <f>IF(A377="Q22028",COUNTIF($A$2:$A377,"Q22028"),"")</f>
        <v/>
      </c>
      <c r="K377" t="str">
        <f>IF(A377="Q32028",COUNTIF($A$2:$A377,"Q32028"),"")</f>
        <v/>
      </c>
      <c r="L377" t="str">
        <f>IF(A377="Q42028",COUNTIF($A$2:$A377,"Q42028"),"")</f>
        <v/>
      </c>
      <c r="M377" t="str">
        <f>IF(A377="Backlog",COUNTIF($A$2:$A377,"Backlog"),"")</f>
        <v/>
      </c>
    </row>
    <row r="378" spans="1:13">
      <c r="A378" t="str">
        <f>IF(AND('PO-Backlog2028'!B59&lt;&gt;"",'PO-Backlog2028'!E59&lt;&gt;""),'PO-Backlog2028'!E59,"")</f>
        <v/>
      </c>
      <c r="B378" t="str">
        <f>IF(AND('PO-Backlog2028'!B59&lt;&gt;"",'PO-Backlog2028'!E59&lt;&gt;""),'PO-Backlog2028'!B59,"")</f>
        <v/>
      </c>
      <c r="C378" t="str">
        <f>IF(AND('PO-Backlog2028'!B59&lt;&gt;"",'PO-Backlog2028'!E59&lt;&gt;""),'PO-Backlog2028'!C59,"")</f>
        <v/>
      </c>
      <c r="D378" t="str">
        <f>IF(AND('PO-Backlog2028'!B59&lt;&gt;"",'PO-Backlog2028'!E59&lt;&gt;""),'PO-Backlog2028'!D59,"")</f>
        <v/>
      </c>
      <c r="E378" t="str">
        <f>IF(AND('PO-Backlog2028'!B59&lt;&gt;"",'PO-Backlog2028'!E59&lt;&gt;""),'PO-Backlog2028'!H59,"")</f>
        <v/>
      </c>
      <c r="F378" t="str">
        <f>IF(AND('PO-Backlog2028'!B59&lt;&gt;"",'PO-Backlog2028'!E59&lt;&gt;""),'PO-Backlog2028'!F59,"")</f>
        <v/>
      </c>
      <c r="G378" t="str">
        <f>IF(AND('PO-Backlog2028'!B59&lt;&gt;"",'PO-Backlog2028'!E59&lt;&gt;""),'PO-Backlog2028'!G59,"")</f>
        <v/>
      </c>
      <c r="H378" t="str">
        <f>IF(AND('PO-Backlog2028'!B59&lt;&gt;"",'PO-Backlog2028'!E59&lt;&gt;""),"PO-Backlog2028","")</f>
        <v/>
      </c>
      <c r="I378" t="str">
        <f>IF(A378="Q12028",COUNTIF($A$2:$A378,"Q12028"),"")</f>
        <v/>
      </c>
      <c r="J378" t="str">
        <f>IF(A378="Q22028",COUNTIF($A$2:$A378,"Q22028"),"")</f>
        <v/>
      </c>
      <c r="K378" t="str">
        <f>IF(A378="Q32028",COUNTIF($A$2:$A378,"Q32028"),"")</f>
        <v/>
      </c>
      <c r="L378" t="str">
        <f>IF(A378="Q42028",COUNTIF($A$2:$A378,"Q42028"),"")</f>
        <v/>
      </c>
      <c r="M378" t="str">
        <f>IF(A378="Backlog",COUNTIF($A$2:$A378,"Backlog"),"")</f>
        <v/>
      </c>
    </row>
    <row r="379" spans="1:13">
      <c r="A379" t="str">
        <f>IF(AND('PO-Backlog2028'!B60&lt;&gt;"",'PO-Backlog2028'!E60&lt;&gt;""),'PO-Backlog2028'!E60,"")</f>
        <v/>
      </c>
      <c r="B379" t="str">
        <f>IF(AND('PO-Backlog2028'!B60&lt;&gt;"",'PO-Backlog2028'!E60&lt;&gt;""),'PO-Backlog2028'!B60,"")</f>
        <v/>
      </c>
      <c r="C379" t="str">
        <f>IF(AND('PO-Backlog2028'!B60&lt;&gt;"",'PO-Backlog2028'!E60&lt;&gt;""),'PO-Backlog2028'!C60,"")</f>
        <v/>
      </c>
      <c r="D379" t="str">
        <f>IF(AND('PO-Backlog2028'!B60&lt;&gt;"",'PO-Backlog2028'!E60&lt;&gt;""),'PO-Backlog2028'!D60,"")</f>
        <v/>
      </c>
      <c r="E379" t="str">
        <f>IF(AND('PO-Backlog2028'!B60&lt;&gt;"",'PO-Backlog2028'!E60&lt;&gt;""),'PO-Backlog2028'!H60,"")</f>
        <v/>
      </c>
      <c r="F379" t="str">
        <f>IF(AND('PO-Backlog2028'!B60&lt;&gt;"",'PO-Backlog2028'!E60&lt;&gt;""),'PO-Backlog2028'!F60,"")</f>
        <v/>
      </c>
      <c r="G379" t="str">
        <f>IF(AND('PO-Backlog2028'!B60&lt;&gt;"",'PO-Backlog2028'!E60&lt;&gt;""),'PO-Backlog2028'!G60,"")</f>
        <v/>
      </c>
      <c r="H379" t="str">
        <f>IF(AND('PO-Backlog2028'!B60&lt;&gt;"",'PO-Backlog2028'!E60&lt;&gt;""),"PO-Backlog2028","")</f>
        <v/>
      </c>
      <c r="I379" t="str">
        <f>IF(A379="Q12028",COUNTIF($A$2:$A379,"Q12028"),"")</f>
        <v/>
      </c>
      <c r="J379" t="str">
        <f>IF(A379="Q22028",COUNTIF($A$2:$A379,"Q22028"),"")</f>
        <v/>
      </c>
      <c r="K379" t="str">
        <f>IF(A379="Q32028",COUNTIF($A$2:$A379,"Q32028"),"")</f>
        <v/>
      </c>
      <c r="L379" t="str">
        <f>IF(A379="Q42028",COUNTIF($A$2:$A379,"Q42028"),"")</f>
        <v/>
      </c>
      <c r="M379" t="str">
        <f>IF(A379="Backlog",COUNTIF($A$2:$A379,"Backlog"),"")</f>
        <v/>
      </c>
    </row>
    <row r="380" spans="1:13">
      <c r="A380" t="str">
        <f>IF(AND('PO-Backlog2028'!B61&lt;&gt;"",'PO-Backlog2028'!E61&lt;&gt;""),'PO-Backlog2028'!E61,"")</f>
        <v/>
      </c>
      <c r="B380" t="str">
        <f>IF(AND('PO-Backlog2028'!B61&lt;&gt;"",'PO-Backlog2028'!E61&lt;&gt;""),'PO-Backlog2028'!B61,"")</f>
        <v/>
      </c>
      <c r="C380" t="str">
        <f>IF(AND('PO-Backlog2028'!B61&lt;&gt;"",'PO-Backlog2028'!E61&lt;&gt;""),'PO-Backlog2028'!C61,"")</f>
        <v/>
      </c>
      <c r="D380" t="str">
        <f>IF(AND('PO-Backlog2028'!B61&lt;&gt;"",'PO-Backlog2028'!E61&lt;&gt;""),'PO-Backlog2028'!D61,"")</f>
        <v/>
      </c>
      <c r="E380" t="str">
        <f>IF(AND('PO-Backlog2028'!B61&lt;&gt;"",'PO-Backlog2028'!E61&lt;&gt;""),'PO-Backlog2028'!H61,"")</f>
        <v/>
      </c>
      <c r="F380" t="str">
        <f>IF(AND('PO-Backlog2028'!B61&lt;&gt;"",'PO-Backlog2028'!E61&lt;&gt;""),'PO-Backlog2028'!F61,"")</f>
        <v/>
      </c>
      <c r="G380" t="str">
        <f>IF(AND('PO-Backlog2028'!B61&lt;&gt;"",'PO-Backlog2028'!E61&lt;&gt;""),'PO-Backlog2028'!G61,"")</f>
        <v/>
      </c>
      <c r="H380" t="str">
        <f>IF(AND('PO-Backlog2028'!B61&lt;&gt;"",'PO-Backlog2028'!E61&lt;&gt;""),"PO-Backlog2028","")</f>
        <v/>
      </c>
      <c r="I380" t="str">
        <f>IF(A380="Q12028",COUNTIF($A$2:$A380,"Q12028"),"")</f>
        <v/>
      </c>
      <c r="J380" t="str">
        <f>IF(A380="Q22028",COUNTIF($A$2:$A380,"Q22028"),"")</f>
        <v/>
      </c>
      <c r="K380" t="str">
        <f>IF(A380="Q32028",COUNTIF($A$2:$A380,"Q32028"),"")</f>
        <v/>
      </c>
      <c r="L380" t="str">
        <f>IF(A380="Q42028",COUNTIF($A$2:$A380,"Q42028"),"")</f>
        <v/>
      </c>
      <c r="M380" t="str">
        <f>IF(A380="Backlog",COUNTIF($A$2:$A380,"Backlog"),"")</f>
        <v/>
      </c>
    </row>
    <row r="381" spans="1:13">
      <c r="A381" t="str">
        <f>IF(AND('PO-Backlog2028'!B62&lt;&gt;"",'PO-Backlog2028'!E62&lt;&gt;""),'PO-Backlog2028'!E62,"")</f>
        <v/>
      </c>
      <c r="B381" t="str">
        <f>IF(AND('PO-Backlog2028'!B62&lt;&gt;"",'PO-Backlog2028'!E62&lt;&gt;""),'PO-Backlog2028'!B62,"")</f>
        <v/>
      </c>
      <c r="C381" t="str">
        <f>IF(AND('PO-Backlog2028'!B62&lt;&gt;"",'PO-Backlog2028'!E62&lt;&gt;""),'PO-Backlog2028'!C62,"")</f>
        <v/>
      </c>
      <c r="D381" t="str">
        <f>IF(AND('PO-Backlog2028'!B62&lt;&gt;"",'PO-Backlog2028'!E62&lt;&gt;""),'PO-Backlog2028'!D62,"")</f>
        <v/>
      </c>
      <c r="E381" t="str">
        <f>IF(AND('PO-Backlog2028'!B62&lt;&gt;"",'PO-Backlog2028'!E62&lt;&gt;""),'PO-Backlog2028'!H62,"")</f>
        <v/>
      </c>
      <c r="F381" t="str">
        <f>IF(AND('PO-Backlog2028'!B62&lt;&gt;"",'PO-Backlog2028'!E62&lt;&gt;""),'PO-Backlog2028'!F62,"")</f>
        <v/>
      </c>
      <c r="G381" t="str">
        <f>IF(AND('PO-Backlog2028'!B62&lt;&gt;"",'PO-Backlog2028'!E62&lt;&gt;""),'PO-Backlog2028'!G62,"")</f>
        <v/>
      </c>
      <c r="H381" t="str">
        <f>IF(AND('PO-Backlog2028'!B62&lt;&gt;"",'PO-Backlog2028'!E62&lt;&gt;""),"PO-Backlog2028","")</f>
        <v/>
      </c>
      <c r="I381" t="str">
        <f>IF(A381="Q12028",COUNTIF($A$2:$A381,"Q12028"),"")</f>
        <v/>
      </c>
      <c r="J381" t="str">
        <f>IF(A381="Q22028",COUNTIF($A$2:$A381,"Q22028"),"")</f>
        <v/>
      </c>
      <c r="K381" t="str">
        <f>IF(A381="Q32028",COUNTIF($A$2:$A381,"Q32028"),"")</f>
        <v/>
      </c>
      <c r="L381" t="str">
        <f>IF(A381="Q42028",COUNTIF($A$2:$A381,"Q42028"),"")</f>
        <v/>
      </c>
      <c r="M381" t="str">
        <f>IF(A381="Backlog",COUNTIF($A$2:$A381,"Backlog"),"")</f>
        <v/>
      </c>
    </row>
    <row r="382" spans="1:13">
      <c r="A382" t="str">
        <f>IF(AND('PO-Backlog2028'!B63&lt;&gt;"",'PO-Backlog2028'!E63&lt;&gt;""),'PO-Backlog2028'!E63,"")</f>
        <v/>
      </c>
      <c r="B382" t="str">
        <f>IF(AND('PO-Backlog2028'!B63&lt;&gt;"",'PO-Backlog2028'!E63&lt;&gt;""),'PO-Backlog2028'!B63,"")</f>
        <v/>
      </c>
      <c r="C382" t="str">
        <f>IF(AND('PO-Backlog2028'!B63&lt;&gt;"",'PO-Backlog2028'!E63&lt;&gt;""),'PO-Backlog2028'!C63,"")</f>
        <v/>
      </c>
      <c r="D382" t="str">
        <f>IF(AND('PO-Backlog2028'!B63&lt;&gt;"",'PO-Backlog2028'!E63&lt;&gt;""),'PO-Backlog2028'!D63,"")</f>
        <v/>
      </c>
      <c r="E382" t="str">
        <f>IF(AND('PO-Backlog2028'!B63&lt;&gt;"",'PO-Backlog2028'!E63&lt;&gt;""),'PO-Backlog2028'!H63,"")</f>
        <v/>
      </c>
      <c r="F382" t="str">
        <f>IF(AND('PO-Backlog2028'!B63&lt;&gt;"",'PO-Backlog2028'!E63&lt;&gt;""),'PO-Backlog2028'!F63,"")</f>
        <v/>
      </c>
      <c r="G382" t="str">
        <f>IF(AND('PO-Backlog2028'!B63&lt;&gt;"",'PO-Backlog2028'!E63&lt;&gt;""),'PO-Backlog2028'!G63,"")</f>
        <v/>
      </c>
      <c r="H382" t="str">
        <f>IF(AND('PO-Backlog2028'!B63&lt;&gt;"",'PO-Backlog2028'!E63&lt;&gt;""),"PO-Backlog2028","")</f>
        <v/>
      </c>
      <c r="I382" t="str">
        <f>IF(A382="Q12028",COUNTIF($A$2:$A382,"Q12028"),"")</f>
        <v/>
      </c>
      <c r="J382" t="str">
        <f>IF(A382="Q22028",COUNTIF($A$2:$A382,"Q22028"),"")</f>
        <v/>
      </c>
      <c r="K382" t="str">
        <f>IF(A382="Q32028",COUNTIF($A$2:$A382,"Q32028"),"")</f>
        <v/>
      </c>
      <c r="L382" t="str">
        <f>IF(A382="Q42028",COUNTIF($A$2:$A382,"Q42028"),"")</f>
        <v/>
      </c>
      <c r="M382" t="str">
        <f>IF(A382="Backlog",COUNTIF($A$2:$A382,"Backlog"),"")</f>
        <v/>
      </c>
    </row>
    <row r="383" spans="1:13">
      <c r="A383" t="str">
        <f>IF(AND('PO-Backlog2028'!B64&lt;&gt;"",'PO-Backlog2028'!E64&lt;&gt;""),'PO-Backlog2028'!E64,"")</f>
        <v/>
      </c>
      <c r="B383" t="str">
        <f>IF(AND('PO-Backlog2028'!B64&lt;&gt;"",'PO-Backlog2028'!E64&lt;&gt;""),'PO-Backlog2028'!B64,"")</f>
        <v/>
      </c>
      <c r="C383" t="str">
        <f>IF(AND('PO-Backlog2028'!B64&lt;&gt;"",'PO-Backlog2028'!E64&lt;&gt;""),'PO-Backlog2028'!C64,"")</f>
        <v/>
      </c>
      <c r="D383" t="str">
        <f>IF(AND('PO-Backlog2028'!B64&lt;&gt;"",'PO-Backlog2028'!E64&lt;&gt;""),'PO-Backlog2028'!D64,"")</f>
        <v/>
      </c>
      <c r="E383" t="str">
        <f>IF(AND('PO-Backlog2028'!B64&lt;&gt;"",'PO-Backlog2028'!E64&lt;&gt;""),'PO-Backlog2028'!H64,"")</f>
        <v/>
      </c>
      <c r="F383" t="str">
        <f>IF(AND('PO-Backlog2028'!B64&lt;&gt;"",'PO-Backlog2028'!E64&lt;&gt;""),'PO-Backlog2028'!F64,"")</f>
        <v/>
      </c>
      <c r="G383" t="str">
        <f>IF(AND('PO-Backlog2028'!B64&lt;&gt;"",'PO-Backlog2028'!E64&lt;&gt;""),'PO-Backlog2028'!G64,"")</f>
        <v/>
      </c>
      <c r="H383" t="str">
        <f>IF(AND('PO-Backlog2028'!B64&lt;&gt;"",'PO-Backlog2028'!E64&lt;&gt;""),"PO-Backlog2028","")</f>
        <v/>
      </c>
      <c r="I383" t="str">
        <f>IF(A383="Q12028",COUNTIF($A$2:$A383,"Q12028"),"")</f>
        <v/>
      </c>
      <c r="J383" t="str">
        <f>IF(A383="Q22028",COUNTIF($A$2:$A383,"Q22028"),"")</f>
        <v/>
      </c>
      <c r="K383" t="str">
        <f>IF(A383="Q32028",COUNTIF($A$2:$A383,"Q32028"),"")</f>
        <v/>
      </c>
      <c r="L383" t="str">
        <f>IF(A383="Q42028",COUNTIF($A$2:$A383,"Q42028"),"")</f>
        <v/>
      </c>
      <c r="M383" t="str">
        <f>IF(A383="Backlog",COUNTIF($A$2:$A383,"Backlog"),"")</f>
        <v/>
      </c>
    </row>
    <row r="384" spans="1:13">
      <c r="A384" t="str">
        <f>IF(AND('PO-Backlog2028'!B65&lt;&gt;"",'PO-Backlog2028'!E65&lt;&gt;""),'PO-Backlog2028'!E65,"")</f>
        <v/>
      </c>
      <c r="B384" t="str">
        <f>IF(AND('PO-Backlog2028'!B65&lt;&gt;"",'PO-Backlog2028'!E65&lt;&gt;""),'PO-Backlog2028'!B65,"")</f>
        <v/>
      </c>
      <c r="C384" t="str">
        <f>IF(AND('PO-Backlog2028'!B65&lt;&gt;"",'PO-Backlog2028'!E65&lt;&gt;""),'PO-Backlog2028'!C65,"")</f>
        <v/>
      </c>
      <c r="D384" t="str">
        <f>IF(AND('PO-Backlog2028'!B65&lt;&gt;"",'PO-Backlog2028'!E65&lt;&gt;""),'PO-Backlog2028'!D65,"")</f>
        <v/>
      </c>
      <c r="E384" t="str">
        <f>IF(AND('PO-Backlog2028'!B65&lt;&gt;"",'PO-Backlog2028'!E65&lt;&gt;""),'PO-Backlog2028'!H65,"")</f>
        <v/>
      </c>
      <c r="F384" t="str">
        <f>IF(AND('PO-Backlog2028'!B65&lt;&gt;"",'PO-Backlog2028'!E65&lt;&gt;""),'PO-Backlog2028'!F65,"")</f>
        <v/>
      </c>
      <c r="G384" t="str">
        <f>IF(AND('PO-Backlog2028'!B65&lt;&gt;"",'PO-Backlog2028'!E65&lt;&gt;""),'PO-Backlog2028'!G65,"")</f>
        <v/>
      </c>
      <c r="H384" t="str">
        <f>IF(AND('PO-Backlog2028'!B65&lt;&gt;"",'PO-Backlog2028'!E65&lt;&gt;""),"PO-Backlog2028","")</f>
        <v/>
      </c>
      <c r="I384" t="str">
        <f>IF(A384="Q12028",COUNTIF($A$2:$A384,"Q12028"),"")</f>
        <v/>
      </c>
      <c r="J384" t="str">
        <f>IF(A384="Q22028",COUNTIF($A$2:$A384,"Q22028"),"")</f>
        <v/>
      </c>
      <c r="K384" t="str">
        <f>IF(A384="Q32028",COUNTIF($A$2:$A384,"Q32028"),"")</f>
        <v/>
      </c>
      <c r="L384" t="str">
        <f>IF(A384="Q42028",COUNTIF($A$2:$A384,"Q42028"),"")</f>
        <v/>
      </c>
      <c r="M384" t="str">
        <f>IF(A384="Backlog",COUNTIF($A$2:$A384,"Backlog"),"")</f>
        <v/>
      </c>
    </row>
    <row r="385" spans="1:13">
      <c r="A385" t="str">
        <f>IF(AND('PO-Backlog2028'!B66&lt;&gt;"",'PO-Backlog2028'!E66&lt;&gt;""),'PO-Backlog2028'!E66,"")</f>
        <v/>
      </c>
      <c r="B385" t="str">
        <f>IF(AND('PO-Backlog2028'!B66&lt;&gt;"",'PO-Backlog2028'!E66&lt;&gt;""),'PO-Backlog2028'!B66,"")</f>
        <v/>
      </c>
      <c r="C385" t="str">
        <f>IF(AND('PO-Backlog2028'!B66&lt;&gt;"",'PO-Backlog2028'!E66&lt;&gt;""),'PO-Backlog2028'!C66,"")</f>
        <v/>
      </c>
      <c r="D385" t="str">
        <f>IF(AND('PO-Backlog2028'!B66&lt;&gt;"",'PO-Backlog2028'!E66&lt;&gt;""),'PO-Backlog2028'!D66,"")</f>
        <v/>
      </c>
      <c r="E385" t="str">
        <f>IF(AND('PO-Backlog2028'!B66&lt;&gt;"",'PO-Backlog2028'!E66&lt;&gt;""),'PO-Backlog2028'!H66,"")</f>
        <v/>
      </c>
      <c r="F385" t="str">
        <f>IF(AND('PO-Backlog2028'!B66&lt;&gt;"",'PO-Backlog2028'!E66&lt;&gt;""),'PO-Backlog2028'!F66,"")</f>
        <v/>
      </c>
      <c r="G385" t="str">
        <f>IF(AND('PO-Backlog2028'!B66&lt;&gt;"",'PO-Backlog2028'!E66&lt;&gt;""),'PO-Backlog2028'!G66,"")</f>
        <v/>
      </c>
      <c r="H385" t="str">
        <f>IF(AND('PO-Backlog2028'!B66&lt;&gt;"",'PO-Backlog2028'!E66&lt;&gt;""),"PO-Backlog2028","")</f>
        <v/>
      </c>
      <c r="I385" t="str">
        <f>IF(A385="Q12028",COUNTIF($A$2:$A385,"Q12028"),"")</f>
        <v/>
      </c>
      <c r="J385" t="str">
        <f>IF(A385="Q22028",COUNTIF($A$2:$A385,"Q22028"),"")</f>
        <v/>
      </c>
      <c r="K385" t="str">
        <f>IF(A385="Q32028",COUNTIF($A$2:$A385,"Q32028"),"")</f>
        <v/>
      </c>
      <c r="L385" t="str">
        <f>IF(A385="Q42028",COUNTIF($A$2:$A385,"Q42028"),"")</f>
        <v/>
      </c>
      <c r="M385" t="str">
        <f>IF(A385="Backlog",COUNTIF($A$2:$A385,"Backlog"),"")</f>
        <v/>
      </c>
    </row>
    <row r="386" spans="1:13">
      <c r="A386" t="str">
        <f>IF(AND('PO-Backlog2028'!B67&lt;&gt;"",'PO-Backlog2028'!E67&lt;&gt;""),'PO-Backlog2028'!E67,"")</f>
        <v/>
      </c>
      <c r="B386" t="str">
        <f>IF(AND('PO-Backlog2028'!B67&lt;&gt;"",'PO-Backlog2028'!E67&lt;&gt;""),'PO-Backlog2028'!B67,"")</f>
        <v/>
      </c>
      <c r="C386" t="str">
        <f>IF(AND('PO-Backlog2028'!B67&lt;&gt;"",'PO-Backlog2028'!E67&lt;&gt;""),'PO-Backlog2028'!C67,"")</f>
        <v/>
      </c>
      <c r="D386" t="str">
        <f>IF(AND('PO-Backlog2028'!B67&lt;&gt;"",'PO-Backlog2028'!E67&lt;&gt;""),'PO-Backlog2028'!D67,"")</f>
        <v/>
      </c>
      <c r="E386" t="str">
        <f>IF(AND('PO-Backlog2028'!B67&lt;&gt;"",'PO-Backlog2028'!E67&lt;&gt;""),'PO-Backlog2028'!H67,"")</f>
        <v/>
      </c>
      <c r="F386" t="str">
        <f>IF(AND('PO-Backlog2028'!B67&lt;&gt;"",'PO-Backlog2028'!E67&lt;&gt;""),'PO-Backlog2028'!F67,"")</f>
        <v/>
      </c>
      <c r="G386" t="str">
        <f>IF(AND('PO-Backlog2028'!B67&lt;&gt;"",'PO-Backlog2028'!E67&lt;&gt;""),'PO-Backlog2028'!G67,"")</f>
        <v/>
      </c>
      <c r="H386" t="str">
        <f>IF(AND('PO-Backlog2028'!B67&lt;&gt;"",'PO-Backlog2028'!E67&lt;&gt;""),"PO-Backlog2028","")</f>
        <v/>
      </c>
      <c r="I386" t="str">
        <f>IF(A386="Q12028",COUNTIF($A$2:$A386,"Q12028"),"")</f>
        <v/>
      </c>
      <c r="J386" t="str">
        <f>IF(A386="Q22028",COUNTIF($A$2:$A386,"Q22028"),"")</f>
        <v/>
      </c>
      <c r="K386" t="str">
        <f>IF(A386="Q32028",COUNTIF($A$2:$A386,"Q32028"),"")</f>
        <v/>
      </c>
      <c r="L386" t="str">
        <f>IF(A386="Q42028",COUNTIF($A$2:$A386,"Q42028"),"")</f>
        <v/>
      </c>
      <c r="M386" t="str">
        <f>IF(A386="Backlog",COUNTIF($A$2:$A386,"Backlog"),"")</f>
        <v/>
      </c>
    </row>
    <row r="387" spans="1:13">
      <c r="A387" t="str">
        <f>IF(AND('PO-Backlog2028'!B68&lt;&gt;"",'PO-Backlog2028'!E68&lt;&gt;""),'PO-Backlog2028'!E68,"")</f>
        <v/>
      </c>
      <c r="B387" t="str">
        <f>IF(AND('PO-Backlog2028'!B68&lt;&gt;"",'PO-Backlog2028'!E68&lt;&gt;""),'PO-Backlog2028'!B68,"")</f>
        <v/>
      </c>
      <c r="C387" t="str">
        <f>IF(AND('PO-Backlog2028'!B68&lt;&gt;"",'PO-Backlog2028'!E68&lt;&gt;""),'PO-Backlog2028'!C68,"")</f>
        <v/>
      </c>
      <c r="D387" t="str">
        <f>IF(AND('PO-Backlog2028'!B68&lt;&gt;"",'PO-Backlog2028'!E68&lt;&gt;""),'PO-Backlog2028'!D68,"")</f>
        <v/>
      </c>
      <c r="E387" t="str">
        <f>IF(AND('PO-Backlog2028'!B68&lt;&gt;"",'PO-Backlog2028'!E68&lt;&gt;""),'PO-Backlog2028'!H68,"")</f>
        <v/>
      </c>
      <c r="F387" t="str">
        <f>IF(AND('PO-Backlog2028'!B68&lt;&gt;"",'PO-Backlog2028'!E68&lt;&gt;""),'PO-Backlog2028'!F68,"")</f>
        <v/>
      </c>
      <c r="G387" t="str">
        <f>IF(AND('PO-Backlog2028'!B68&lt;&gt;"",'PO-Backlog2028'!E68&lt;&gt;""),'PO-Backlog2028'!G68,"")</f>
        <v/>
      </c>
      <c r="H387" t="str">
        <f>IF(AND('PO-Backlog2028'!B68&lt;&gt;"",'PO-Backlog2028'!E68&lt;&gt;""),"PO-Backlog2028","")</f>
        <v/>
      </c>
      <c r="I387" t="str">
        <f>IF(A387="Q12028",COUNTIF($A$2:$A387,"Q12028"),"")</f>
        <v/>
      </c>
      <c r="J387" t="str">
        <f>IF(A387="Q22028",COUNTIF($A$2:$A387,"Q22028"),"")</f>
        <v/>
      </c>
      <c r="K387" t="str">
        <f>IF(A387="Q32028",COUNTIF($A$2:$A387,"Q32028"),"")</f>
        <v/>
      </c>
      <c r="L387" t="str">
        <f>IF(A387="Q42028",COUNTIF($A$2:$A387,"Q42028"),"")</f>
        <v/>
      </c>
      <c r="M387" t="str">
        <f>IF(A387="Backlog",COUNTIF($A$2:$A387,"Backlog"),"")</f>
        <v/>
      </c>
    </row>
    <row r="388" spans="1:13">
      <c r="A388" t="str">
        <f>IF(AND('PO-Backlog2028'!B69&lt;&gt;"",'PO-Backlog2028'!E69&lt;&gt;""),'PO-Backlog2028'!E69,"")</f>
        <v/>
      </c>
      <c r="B388" t="str">
        <f>IF(AND('PO-Backlog2028'!B69&lt;&gt;"",'PO-Backlog2028'!E69&lt;&gt;""),'PO-Backlog2028'!B69,"")</f>
        <v/>
      </c>
      <c r="C388" t="str">
        <f>IF(AND('PO-Backlog2028'!B69&lt;&gt;"",'PO-Backlog2028'!E69&lt;&gt;""),'PO-Backlog2028'!C69,"")</f>
        <v/>
      </c>
      <c r="D388" t="str">
        <f>IF(AND('PO-Backlog2028'!B69&lt;&gt;"",'PO-Backlog2028'!E69&lt;&gt;""),'PO-Backlog2028'!D69,"")</f>
        <v/>
      </c>
      <c r="E388" t="str">
        <f>IF(AND('PO-Backlog2028'!B69&lt;&gt;"",'PO-Backlog2028'!E69&lt;&gt;""),'PO-Backlog2028'!H69,"")</f>
        <v/>
      </c>
      <c r="F388" t="str">
        <f>IF(AND('PO-Backlog2028'!B69&lt;&gt;"",'PO-Backlog2028'!E69&lt;&gt;""),'PO-Backlog2028'!F69,"")</f>
        <v/>
      </c>
      <c r="G388" t="str">
        <f>IF(AND('PO-Backlog2028'!B69&lt;&gt;"",'PO-Backlog2028'!E69&lt;&gt;""),'PO-Backlog2028'!G69,"")</f>
        <v/>
      </c>
      <c r="H388" t="str">
        <f>IF(AND('PO-Backlog2028'!B69&lt;&gt;"",'PO-Backlog2028'!E69&lt;&gt;""),"PO-Backlog2028","")</f>
        <v/>
      </c>
      <c r="I388" t="str">
        <f>IF(A388="Q12028",COUNTIF($A$2:$A388,"Q12028"),"")</f>
        <v/>
      </c>
      <c r="J388" t="str">
        <f>IF(A388="Q22028",COUNTIF($A$2:$A388,"Q22028"),"")</f>
        <v/>
      </c>
      <c r="K388" t="str">
        <f>IF(A388="Q32028",COUNTIF($A$2:$A388,"Q32028"),"")</f>
        <v/>
      </c>
      <c r="L388" t="str">
        <f>IF(A388="Q42028",COUNTIF($A$2:$A388,"Q42028"),"")</f>
        <v/>
      </c>
      <c r="M388" t="str">
        <f>IF(A388="Backlog",COUNTIF($A$2:$A388,"Backlog"),"")</f>
        <v/>
      </c>
    </row>
    <row r="389" spans="1:13">
      <c r="A389" t="str">
        <f>IF(AND('PO-Backlog2028'!B70&lt;&gt;"",'PO-Backlog2028'!E70&lt;&gt;""),'PO-Backlog2028'!E70,"")</f>
        <v/>
      </c>
      <c r="B389" t="str">
        <f>IF(AND('PO-Backlog2028'!B70&lt;&gt;"",'PO-Backlog2028'!E70&lt;&gt;""),'PO-Backlog2028'!B70,"")</f>
        <v/>
      </c>
      <c r="C389" t="str">
        <f>IF(AND('PO-Backlog2028'!B70&lt;&gt;"",'PO-Backlog2028'!E70&lt;&gt;""),'PO-Backlog2028'!C70,"")</f>
        <v/>
      </c>
      <c r="D389" t="str">
        <f>IF(AND('PO-Backlog2028'!B70&lt;&gt;"",'PO-Backlog2028'!E70&lt;&gt;""),'PO-Backlog2028'!D70,"")</f>
        <v/>
      </c>
      <c r="E389" t="str">
        <f>IF(AND('PO-Backlog2028'!B70&lt;&gt;"",'PO-Backlog2028'!E70&lt;&gt;""),'PO-Backlog2028'!H70,"")</f>
        <v/>
      </c>
      <c r="F389" t="str">
        <f>IF(AND('PO-Backlog2028'!B70&lt;&gt;"",'PO-Backlog2028'!E70&lt;&gt;""),'PO-Backlog2028'!F70,"")</f>
        <v/>
      </c>
      <c r="G389" t="str">
        <f>IF(AND('PO-Backlog2028'!B70&lt;&gt;"",'PO-Backlog2028'!E70&lt;&gt;""),'PO-Backlog2028'!G70,"")</f>
        <v/>
      </c>
      <c r="H389" t="str">
        <f>IF(AND('PO-Backlog2028'!B70&lt;&gt;"",'PO-Backlog2028'!E70&lt;&gt;""),"PO-Backlog2028","")</f>
        <v/>
      </c>
      <c r="I389" t="str">
        <f>IF(A389="Q12028",COUNTIF($A$2:$A389,"Q12028"),"")</f>
        <v/>
      </c>
      <c r="J389" t="str">
        <f>IF(A389="Q22028",COUNTIF($A$2:$A389,"Q22028"),"")</f>
        <v/>
      </c>
      <c r="K389" t="str">
        <f>IF(A389="Q32028",COUNTIF($A$2:$A389,"Q32028"),"")</f>
        <v/>
      </c>
      <c r="L389" t="str">
        <f>IF(A389="Q42028",COUNTIF($A$2:$A389,"Q42028"),"")</f>
        <v/>
      </c>
      <c r="M389" t="str">
        <f>IF(A389="Backlog",COUNTIF($A$2:$A389,"Backlog"),"")</f>
        <v/>
      </c>
    </row>
    <row r="390" spans="1:13">
      <c r="A390" t="str">
        <f>IF(AND('PO-Backlog2028'!B71&lt;&gt;"",'PO-Backlog2028'!E71&lt;&gt;""),'PO-Backlog2028'!E71,"")</f>
        <v/>
      </c>
      <c r="B390" t="str">
        <f>IF(AND('PO-Backlog2028'!B71&lt;&gt;"",'PO-Backlog2028'!E71&lt;&gt;""),'PO-Backlog2028'!B71,"")</f>
        <v/>
      </c>
      <c r="C390" t="str">
        <f>IF(AND('PO-Backlog2028'!B71&lt;&gt;"",'PO-Backlog2028'!E71&lt;&gt;""),'PO-Backlog2028'!C71,"")</f>
        <v/>
      </c>
      <c r="D390" t="str">
        <f>IF(AND('PO-Backlog2028'!B71&lt;&gt;"",'PO-Backlog2028'!E71&lt;&gt;""),'PO-Backlog2028'!D71,"")</f>
        <v/>
      </c>
      <c r="E390" t="str">
        <f>IF(AND('PO-Backlog2028'!B71&lt;&gt;"",'PO-Backlog2028'!E71&lt;&gt;""),'PO-Backlog2028'!H71,"")</f>
        <v/>
      </c>
      <c r="F390" t="str">
        <f>IF(AND('PO-Backlog2028'!B71&lt;&gt;"",'PO-Backlog2028'!E71&lt;&gt;""),'PO-Backlog2028'!F71,"")</f>
        <v/>
      </c>
      <c r="G390" t="str">
        <f>IF(AND('PO-Backlog2028'!B71&lt;&gt;"",'PO-Backlog2028'!E71&lt;&gt;""),'PO-Backlog2028'!G71,"")</f>
        <v/>
      </c>
      <c r="H390" t="str">
        <f>IF(AND('PO-Backlog2028'!B71&lt;&gt;"",'PO-Backlog2028'!E71&lt;&gt;""),"PO-Backlog2028","")</f>
        <v/>
      </c>
      <c r="I390" t="str">
        <f>IF(A390="Q12028",COUNTIF($A$2:$A390,"Q12028"),"")</f>
        <v/>
      </c>
      <c r="J390" t="str">
        <f>IF(A390="Q22028",COUNTIF($A$2:$A390,"Q22028"),"")</f>
        <v/>
      </c>
      <c r="K390" t="str">
        <f>IF(A390="Q32028",COUNTIF($A$2:$A390,"Q32028"),"")</f>
        <v/>
      </c>
      <c r="L390" t="str">
        <f>IF(A390="Q42028",COUNTIF($A$2:$A390,"Q42028"),"")</f>
        <v/>
      </c>
      <c r="M390" t="str">
        <f>IF(A390="Backlog",COUNTIF($A$2:$A390,"Backlog"),"")</f>
        <v/>
      </c>
    </row>
    <row r="391" spans="1:13">
      <c r="A391" t="str">
        <f>IF(AND('PO-Backlog2028'!B72&lt;&gt;"",'PO-Backlog2028'!E72&lt;&gt;""),'PO-Backlog2028'!E72,"")</f>
        <v/>
      </c>
      <c r="B391" t="str">
        <f>IF(AND('PO-Backlog2028'!B72&lt;&gt;"",'PO-Backlog2028'!E72&lt;&gt;""),'PO-Backlog2028'!B72,"")</f>
        <v/>
      </c>
      <c r="C391" t="str">
        <f>IF(AND('PO-Backlog2028'!B72&lt;&gt;"",'PO-Backlog2028'!E72&lt;&gt;""),'PO-Backlog2028'!C72,"")</f>
        <v/>
      </c>
      <c r="D391" t="str">
        <f>IF(AND('PO-Backlog2028'!B72&lt;&gt;"",'PO-Backlog2028'!E72&lt;&gt;""),'PO-Backlog2028'!D72,"")</f>
        <v/>
      </c>
      <c r="E391" t="str">
        <f>IF(AND('PO-Backlog2028'!B72&lt;&gt;"",'PO-Backlog2028'!E72&lt;&gt;""),'PO-Backlog2028'!H72,"")</f>
        <v/>
      </c>
      <c r="F391" t="str">
        <f>IF(AND('PO-Backlog2028'!B72&lt;&gt;"",'PO-Backlog2028'!E72&lt;&gt;""),'PO-Backlog2028'!F72,"")</f>
        <v/>
      </c>
      <c r="G391" t="str">
        <f>IF(AND('PO-Backlog2028'!B72&lt;&gt;"",'PO-Backlog2028'!E72&lt;&gt;""),'PO-Backlog2028'!G72,"")</f>
        <v/>
      </c>
      <c r="H391" t="str">
        <f>IF(AND('PO-Backlog2028'!B72&lt;&gt;"",'PO-Backlog2028'!E72&lt;&gt;""),"PO-Backlog2028","")</f>
        <v/>
      </c>
      <c r="I391" t="str">
        <f>IF(A391="Q12028",COUNTIF($A$2:$A391,"Q12028"),"")</f>
        <v/>
      </c>
      <c r="J391" t="str">
        <f>IF(A391="Q22028",COUNTIF($A$2:$A391,"Q22028"),"")</f>
        <v/>
      </c>
      <c r="K391" t="str">
        <f>IF(A391="Q32028",COUNTIF($A$2:$A391,"Q32028"),"")</f>
        <v/>
      </c>
      <c r="L391" t="str">
        <f>IF(A391="Q42028",COUNTIF($A$2:$A391,"Q42028"),"")</f>
        <v/>
      </c>
      <c r="M391" t="str">
        <f>IF(A391="Backlog",COUNTIF($A$2:$A391,"Backlog"),"")</f>
        <v/>
      </c>
    </row>
    <row r="392" spans="1:13">
      <c r="A392" t="str">
        <f>IF(AND('PO-Backlog2028'!B73&lt;&gt;"",'PO-Backlog2028'!E73&lt;&gt;""),'PO-Backlog2028'!E73,"")</f>
        <v/>
      </c>
      <c r="B392" t="str">
        <f>IF(AND('PO-Backlog2028'!B73&lt;&gt;"",'PO-Backlog2028'!E73&lt;&gt;""),'PO-Backlog2028'!B73,"")</f>
        <v/>
      </c>
      <c r="C392" t="str">
        <f>IF(AND('PO-Backlog2028'!B73&lt;&gt;"",'PO-Backlog2028'!E73&lt;&gt;""),'PO-Backlog2028'!C73,"")</f>
        <v/>
      </c>
      <c r="D392" t="str">
        <f>IF(AND('PO-Backlog2028'!B73&lt;&gt;"",'PO-Backlog2028'!E73&lt;&gt;""),'PO-Backlog2028'!D73,"")</f>
        <v/>
      </c>
      <c r="E392" t="str">
        <f>IF(AND('PO-Backlog2028'!B73&lt;&gt;"",'PO-Backlog2028'!E73&lt;&gt;""),'PO-Backlog2028'!H73,"")</f>
        <v/>
      </c>
      <c r="F392" t="str">
        <f>IF(AND('PO-Backlog2028'!B73&lt;&gt;"",'PO-Backlog2028'!E73&lt;&gt;""),'PO-Backlog2028'!F73,"")</f>
        <v/>
      </c>
      <c r="G392" t="str">
        <f>IF(AND('PO-Backlog2028'!B73&lt;&gt;"",'PO-Backlog2028'!E73&lt;&gt;""),'PO-Backlog2028'!G73,"")</f>
        <v/>
      </c>
      <c r="H392" t="str">
        <f>IF(AND('PO-Backlog2028'!B73&lt;&gt;"",'PO-Backlog2028'!E73&lt;&gt;""),"PO-Backlog2028","")</f>
        <v/>
      </c>
      <c r="I392" t="str">
        <f>IF(A392="Q12028",COUNTIF($A$2:$A392,"Q12028"),"")</f>
        <v/>
      </c>
      <c r="J392" t="str">
        <f>IF(A392="Q22028",COUNTIF($A$2:$A392,"Q22028"),"")</f>
        <v/>
      </c>
      <c r="K392" t="str">
        <f>IF(A392="Q32028",COUNTIF($A$2:$A392,"Q32028"),"")</f>
        <v/>
      </c>
      <c r="L392" t="str">
        <f>IF(A392="Q42028",COUNTIF($A$2:$A392,"Q42028"),"")</f>
        <v/>
      </c>
      <c r="M392" t="str">
        <f>IF(A392="Backlog",COUNTIF($A$2:$A392,"Backlog"),"")</f>
        <v/>
      </c>
    </row>
    <row r="393" spans="1:13">
      <c r="A393" t="str">
        <f>IF(AND('PO-Backlog2028'!B74&lt;&gt;"",'PO-Backlog2028'!E74&lt;&gt;""),'PO-Backlog2028'!E74,"")</f>
        <v/>
      </c>
      <c r="B393" t="str">
        <f>IF(AND('PO-Backlog2028'!B74&lt;&gt;"",'PO-Backlog2028'!E74&lt;&gt;""),'PO-Backlog2028'!B74,"")</f>
        <v/>
      </c>
      <c r="C393" t="str">
        <f>IF(AND('PO-Backlog2028'!B74&lt;&gt;"",'PO-Backlog2028'!E74&lt;&gt;""),'PO-Backlog2028'!C74,"")</f>
        <v/>
      </c>
      <c r="D393" t="str">
        <f>IF(AND('PO-Backlog2028'!B74&lt;&gt;"",'PO-Backlog2028'!E74&lt;&gt;""),'PO-Backlog2028'!D74,"")</f>
        <v/>
      </c>
      <c r="E393" t="str">
        <f>IF(AND('PO-Backlog2028'!B74&lt;&gt;"",'PO-Backlog2028'!E74&lt;&gt;""),'PO-Backlog2028'!H74,"")</f>
        <v/>
      </c>
      <c r="F393" t="str">
        <f>IF(AND('PO-Backlog2028'!B74&lt;&gt;"",'PO-Backlog2028'!E74&lt;&gt;""),'PO-Backlog2028'!F74,"")</f>
        <v/>
      </c>
      <c r="G393" t="str">
        <f>IF(AND('PO-Backlog2028'!B74&lt;&gt;"",'PO-Backlog2028'!E74&lt;&gt;""),'PO-Backlog2028'!G74,"")</f>
        <v/>
      </c>
      <c r="H393" t="str">
        <f>IF(AND('PO-Backlog2028'!B74&lt;&gt;"",'PO-Backlog2028'!E74&lt;&gt;""),"PO-Backlog2028","")</f>
        <v/>
      </c>
      <c r="I393" t="str">
        <f>IF(A393="Q12028",COUNTIF($A$2:$A393,"Q12028"),"")</f>
        <v/>
      </c>
      <c r="J393" t="str">
        <f>IF(A393="Q22028",COUNTIF($A$2:$A393,"Q22028"),"")</f>
        <v/>
      </c>
      <c r="K393" t="str">
        <f>IF(A393="Q32028",COUNTIF($A$2:$A393,"Q32028"),"")</f>
        <v/>
      </c>
      <c r="L393" t="str">
        <f>IF(A393="Q42028",COUNTIF($A$2:$A393,"Q42028"),"")</f>
        <v/>
      </c>
      <c r="M393" t="str">
        <f>IF(A393="Backlog",COUNTIF($A$2:$A393,"Backlog"),"")</f>
        <v/>
      </c>
    </row>
    <row r="394" spans="1:13">
      <c r="A394" t="str">
        <f>IF(AND('PO-Backlog2028'!B75&lt;&gt;"",'PO-Backlog2028'!E75&lt;&gt;""),'PO-Backlog2028'!E75,"")</f>
        <v/>
      </c>
      <c r="B394" t="str">
        <f>IF(AND('PO-Backlog2028'!B75&lt;&gt;"",'PO-Backlog2028'!E75&lt;&gt;""),'PO-Backlog2028'!B75,"")</f>
        <v/>
      </c>
      <c r="C394" t="str">
        <f>IF(AND('PO-Backlog2028'!B75&lt;&gt;"",'PO-Backlog2028'!E75&lt;&gt;""),'PO-Backlog2028'!C75,"")</f>
        <v/>
      </c>
      <c r="D394" t="str">
        <f>IF(AND('PO-Backlog2028'!B75&lt;&gt;"",'PO-Backlog2028'!E75&lt;&gt;""),'PO-Backlog2028'!D75,"")</f>
        <v/>
      </c>
      <c r="E394" t="str">
        <f>IF(AND('PO-Backlog2028'!B75&lt;&gt;"",'PO-Backlog2028'!E75&lt;&gt;""),'PO-Backlog2028'!H75,"")</f>
        <v/>
      </c>
      <c r="F394" t="str">
        <f>IF(AND('PO-Backlog2028'!B75&lt;&gt;"",'PO-Backlog2028'!E75&lt;&gt;""),'PO-Backlog2028'!F75,"")</f>
        <v/>
      </c>
      <c r="G394" t="str">
        <f>IF(AND('PO-Backlog2028'!B75&lt;&gt;"",'PO-Backlog2028'!E75&lt;&gt;""),'PO-Backlog2028'!G75,"")</f>
        <v/>
      </c>
      <c r="H394" t="str">
        <f>IF(AND('PO-Backlog2028'!B75&lt;&gt;"",'PO-Backlog2028'!E75&lt;&gt;""),"PO-Backlog2028","")</f>
        <v/>
      </c>
      <c r="I394" t="str">
        <f>IF(A394="Q12028",COUNTIF($A$2:$A394,"Q12028"),"")</f>
        <v/>
      </c>
      <c r="J394" t="str">
        <f>IF(A394="Q22028",COUNTIF($A$2:$A394,"Q22028"),"")</f>
        <v/>
      </c>
      <c r="K394" t="str">
        <f>IF(A394="Q32028",COUNTIF($A$2:$A394,"Q32028"),"")</f>
        <v/>
      </c>
      <c r="L394" t="str">
        <f>IF(A394="Q42028",COUNTIF($A$2:$A394,"Q42028"),"")</f>
        <v/>
      </c>
      <c r="M394" t="str">
        <f>IF(A394="Backlog",COUNTIF($A$2:$A394,"Backlog"),"")</f>
        <v/>
      </c>
    </row>
    <row r="395" spans="1:13">
      <c r="A395" t="str">
        <f>IF(AND('PO-Backlog2028'!B76&lt;&gt;"",'PO-Backlog2028'!E76&lt;&gt;""),'PO-Backlog2028'!E76,"")</f>
        <v/>
      </c>
      <c r="B395" t="str">
        <f>IF(AND('PO-Backlog2028'!B76&lt;&gt;"",'PO-Backlog2028'!E76&lt;&gt;""),'PO-Backlog2028'!B76,"")</f>
        <v/>
      </c>
      <c r="C395" t="str">
        <f>IF(AND('PO-Backlog2028'!B76&lt;&gt;"",'PO-Backlog2028'!E76&lt;&gt;""),'PO-Backlog2028'!C76,"")</f>
        <v/>
      </c>
      <c r="D395" t="str">
        <f>IF(AND('PO-Backlog2028'!B76&lt;&gt;"",'PO-Backlog2028'!E76&lt;&gt;""),'PO-Backlog2028'!D76,"")</f>
        <v/>
      </c>
      <c r="E395" t="str">
        <f>IF(AND('PO-Backlog2028'!B76&lt;&gt;"",'PO-Backlog2028'!E76&lt;&gt;""),'PO-Backlog2028'!H76,"")</f>
        <v/>
      </c>
      <c r="F395" t="str">
        <f>IF(AND('PO-Backlog2028'!B76&lt;&gt;"",'PO-Backlog2028'!E76&lt;&gt;""),'PO-Backlog2028'!F76,"")</f>
        <v/>
      </c>
      <c r="G395" t="str">
        <f>IF(AND('PO-Backlog2028'!B76&lt;&gt;"",'PO-Backlog2028'!E76&lt;&gt;""),'PO-Backlog2028'!G76,"")</f>
        <v/>
      </c>
      <c r="H395" t="str">
        <f>IF(AND('PO-Backlog2028'!B76&lt;&gt;"",'PO-Backlog2028'!E76&lt;&gt;""),"PO-Backlog2028","")</f>
        <v/>
      </c>
      <c r="I395" t="str">
        <f>IF(A395="Q12028",COUNTIF($A$2:$A395,"Q12028"),"")</f>
        <v/>
      </c>
      <c r="J395" t="str">
        <f>IF(A395="Q22028",COUNTIF($A$2:$A395,"Q22028"),"")</f>
        <v/>
      </c>
      <c r="K395" t="str">
        <f>IF(A395="Q32028",COUNTIF($A$2:$A395,"Q32028"),"")</f>
        <v/>
      </c>
      <c r="L395" t="str">
        <f>IF(A395="Q42028",COUNTIF($A$2:$A395,"Q42028"),"")</f>
        <v/>
      </c>
      <c r="M395" t="str">
        <f>IF(A395="Backlog",COUNTIF($A$2:$A395,"Backlog"),"")</f>
        <v/>
      </c>
    </row>
    <row r="396" spans="1:13">
      <c r="A396" t="str">
        <f>IF(AND('PO-Backlog2028'!B77&lt;&gt;"",'PO-Backlog2028'!E77&lt;&gt;""),'PO-Backlog2028'!E77,"")</f>
        <v/>
      </c>
      <c r="B396" t="str">
        <f>IF(AND('PO-Backlog2028'!B77&lt;&gt;"",'PO-Backlog2028'!E77&lt;&gt;""),'PO-Backlog2028'!B77,"")</f>
        <v/>
      </c>
      <c r="C396" t="str">
        <f>IF(AND('PO-Backlog2028'!B77&lt;&gt;"",'PO-Backlog2028'!E77&lt;&gt;""),'PO-Backlog2028'!C77,"")</f>
        <v/>
      </c>
      <c r="D396" t="str">
        <f>IF(AND('PO-Backlog2028'!B77&lt;&gt;"",'PO-Backlog2028'!E77&lt;&gt;""),'PO-Backlog2028'!D77,"")</f>
        <v/>
      </c>
      <c r="E396" t="str">
        <f>IF(AND('PO-Backlog2028'!B77&lt;&gt;"",'PO-Backlog2028'!E77&lt;&gt;""),'PO-Backlog2028'!H77,"")</f>
        <v/>
      </c>
      <c r="F396" t="str">
        <f>IF(AND('PO-Backlog2028'!B77&lt;&gt;"",'PO-Backlog2028'!E77&lt;&gt;""),'PO-Backlog2028'!F77,"")</f>
        <v/>
      </c>
      <c r="G396" t="str">
        <f>IF(AND('PO-Backlog2028'!B77&lt;&gt;"",'PO-Backlog2028'!E77&lt;&gt;""),'PO-Backlog2028'!G77,"")</f>
        <v/>
      </c>
      <c r="H396" t="str">
        <f>IF(AND('PO-Backlog2028'!B77&lt;&gt;"",'PO-Backlog2028'!E77&lt;&gt;""),"PO-Backlog2028","")</f>
        <v/>
      </c>
      <c r="I396" t="str">
        <f>IF(A396="Q12028",COUNTIF($A$2:$A396,"Q12028"),"")</f>
        <v/>
      </c>
      <c r="J396" t="str">
        <f>IF(A396="Q22028",COUNTIF($A$2:$A396,"Q22028"),"")</f>
        <v/>
      </c>
      <c r="K396" t="str">
        <f>IF(A396="Q32028",COUNTIF($A$2:$A396,"Q32028"),"")</f>
        <v/>
      </c>
      <c r="L396" t="str">
        <f>IF(A396="Q42028",COUNTIF($A$2:$A396,"Q42028"),"")</f>
        <v/>
      </c>
      <c r="M396" t="str">
        <f>IF(A396="Backlog",COUNTIF($A$2:$A396,"Backlog"),"")</f>
        <v/>
      </c>
    </row>
    <row r="397" spans="1:13">
      <c r="A397" t="str">
        <f>IF(AND('PO-Backlog2028'!B78&lt;&gt;"",'PO-Backlog2028'!E78&lt;&gt;""),'PO-Backlog2028'!E78,"")</f>
        <v/>
      </c>
      <c r="B397" t="str">
        <f>IF(AND('PO-Backlog2028'!B78&lt;&gt;"",'PO-Backlog2028'!E78&lt;&gt;""),'PO-Backlog2028'!B78,"")</f>
        <v/>
      </c>
      <c r="C397" t="str">
        <f>IF(AND('PO-Backlog2028'!B78&lt;&gt;"",'PO-Backlog2028'!E78&lt;&gt;""),'PO-Backlog2028'!C78,"")</f>
        <v/>
      </c>
      <c r="D397" t="str">
        <f>IF(AND('PO-Backlog2028'!B78&lt;&gt;"",'PO-Backlog2028'!E78&lt;&gt;""),'PO-Backlog2028'!D78,"")</f>
        <v/>
      </c>
      <c r="E397" t="str">
        <f>IF(AND('PO-Backlog2028'!B78&lt;&gt;"",'PO-Backlog2028'!E78&lt;&gt;""),'PO-Backlog2028'!H78,"")</f>
        <v/>
      </c>
      <c r="F397" t="str">
        <f>IF(AND('PO-Backlog2028'!B78&lt;&gt;"",'PO-Backlog2028'!E78&lt;&gt;""),'PO-Backlog2028'!F78,"")</f>
        <v/>
      </c>
      <c r="G397" t="str">
        <f>IF(AND('PO-Backlog2028'!B78&lt;&gt;"",'PO-Backlog2028'!E78&lt;&gt;""),'PO-Backlog2028'!G78,"")</f>
        <v/>
      </c>
      <c r="H397" t="str">
        <f>IF(AND('PO-Backlog2028'!B78&lt;&gt;"",'PO-Backlog2028'!E78&lt;&gt;""),"PO-Backlog2028","")</f>
        <v/>
      </c>
      <c r="I397" t="str">
        <f>IF(A397="Q12028",COUNTIF($A$2:$A397,"Q12028"),"")</f>
        <v/>
      </c>
      <c r="J397" t="str">
        <f>IF(A397="Q22028",COUNTIF($A$2:$A397,"Q22028"),"")</f>
        <v/>
      </c>
      <c r="K397" t="str">
        <f>IF(A397="Q32028",COUNTIF($A$2:$A397,"Q32028"),"")</f>
        <v/>
      </c>
      <c r="L397" t="str">
        <f>IF(A397="Q42028",COUNTIF($A$2:$A397,"Q42028"),"")</f>
        <v/>
      </c>
      <c r="M397" t="str">
        <f>IF(A397="Backlog",COUNTIF($A$2:$A397,"Backlog"),"")</f>
        <v/>
      </c>
    </row>
    <row r="398" spans="1:13">
      <c r="A398" t="str">
        <f>IF(AND('PO-Backlog2028'!B79&lt;&gt;"",'PO-Backlog2028'!E79&lt;&gt;""),'PO-Backlog2028'!E79,"")</f>
        <v/>
      </c>
      <c r="B398" t="str">
        <f>IF(AND('PO-Backlog2028'!B79&lt;&gt;"",'PO-Backlog2028'!E79&lt;&gt;""),'PO-Backlog2028'!B79,"")</f>
        <v/>
      </c>
      <c r="C398" t="str">
        <f>IF(AND('PO-Backlog2028'!B79&lt;&gt;"",'PO-Backlog2028'!E79&lt;&gt;""),'PO-Backlog2028'!C79,"")</f>
        <v/>
      </c>
      <c r="D398" t="str">
        <f>IF(AND('PO-Backlog2028'!B79&lt;&gt;"",'PO-Backlog2028'!E79&lt;&gt;""),'PO-Backlog2028'!D79,"")</f>
        <v/>
      </c>
      <c r="E398" t="str">
        <f>IF(AND('PO-Backlog2028'!B79&lt;&gt;"",'PO-Backlog2028'!E79&lt;&gt;""),'PO-Backlog2028'!H79,"")</f>
        <v/>
      </c>
      <c r="F398" t="str">
        <f>IF(AND('PO-Backlog2028'!B79&lt;&gt;"",'PO-Backlog2028'!E79&lt;&gt;""),'PO-Backlog2028'!F79,"")</f>
        <v/>
      </c>
      <c r="G398" t="str">
        <f>IF(AND('PO-Backlog2028'!B79&lt;&gt;"",'PO-Backlog2028'!E79&lt;&gt;""),'PO-Backlog2028'!G79,"")</f>
        <v/>
      </c>
      <c r="H398" t="str">
        <f>IF(AND('PO-Backlog2028'!B79&lt;&gt;"",'PO-Backlog2028'!E79&lt;&gt;""),"PO-Backlog2028","")</f>
        <v/>
      </c>
      <c r="I398" t="str">
        <f>IF(A398="Q12028",COUNTIF($A$2:$A398,"Q12028"),"")</f>
        <v/>
      </c>
      <c r="J398" t="str">
        <f>IF(A398="Q22028",COUNTIF($A$2:$A398,"Q22028"),"")</f>
        <v/>
      </c>
      <c r="K398" t="str">
        <f>IF(A398="Q32028",COUNTIF($A$2:$A398,"Q32028"),"")</f>
        <v/>
      </c>
      <c r="L398" t="str">
        <f>IF(A398="Q42028",COUNTIF($A$2:$A398,"Q42028"),"")</f>
        <v/>
      </c>
      <c r="M398" t="str">
        <f>IF(A398="Backlog",COUNTIF($A$2:$A398,"Backlog"),"")</f>
        <v/>
      </c>
    </row>
    <row r="399" spans="1:13">
      <c r="A399" t="str">
        <f>IF(AND('PO-Backlog2028'!B80&lt;&gt;"",'PO-Backlog2028'!E80&lt;&gt;""),'PO-Backlog2028'!E80,"")</f>
        <v/>
      </c>
      <c r="B399" t="str">
        <f>IF(AND('PO-Backlog2028'!B80&lt;&gt;"",'PO-Backlog2028'!E80&lt;&gt;""),'PO-Backlog2028'!B80,"")</f>
        <v/>
      </c>
      <c r="C399" t="str">
        <f>IF(AND('PO-Backlog2028'!B80&lt;&gt;"",'PO-Backlog2028'!E80&lt;&gt;""),'PO-Backlog2028'!C80,"")</f>
        <v/>
      </c>
      <c r="D399" t="str">
        <f>IF(AND('PO-Backlog2028'!B80&lt;&gt;"",'PO-Backlog2028'!E80&lt;&gt;""),'PO-Backlog2028'!D80,"")</f>
        <v/>
      </c>
      <c r="E399" t="str">
        <f>IF(AND('PO-Backlog2028'!B80&lt;&gt;"",'PO-Backlog2028'!E80&lt;&gt;""),'PO-Backlog2028'!H80,"")</f>
        <v/>
      </c>
      <c r="F399" t="str">
        <f>IF(AND('PO-Backlog2028'!B80&lt;&gt;"",'PO-Backlog2028'!E80&lt;&gt;""),'PO-Backlog2028'!F80,"")</f>
        <v/>
      </c>
      <c r="G399" t="str">
        <f>IF(AND('PO-Backlog2028'!B80&lt;&gt;"",'PO-Backlog2028'!E80&lt;&gt;""),'PO-Backlog2028'!G80,"")</f>
        <v/>
      </c>
      <c r="H399" t="str">
        <f>IF(AND('PO-Backlog2028'!B80&lt;&gt;"",'PO-Backlog2028'!E80&lt;&gt;""),"PO-Backlog2028","")</f>
        <v/>
      </c>
      <c r="I399" t="str">
        <f>IF(A399="Q12028",COUNTIF($A$2:$A399,"Q12028"),"")</f>
        <v/>
      </c>
      <c r="J399" t="str">
        <f>IF(A399="Q22028",COUNTIF($A$2:$A399,"Q22028"),"")</f>
        <v/>
      </c>
      <c r="K399" t="str">
        <f>IF(A399="Q32028",COUNTIF($A$2:$A399,"Q32028"),"")</f>
        <v/>
      </c>
      <c r="L399" t="str">
        <f>IF(A399="Q42028",COUNTIF($A$2:$A399,"Q42028"),"")</f>
        <v/>
      </c>
      <c r="M399" t="str">
        <f>IF(A399="Backlog",COUNTIF($A$2:$A399,"Backlog"),"")</f>
        <v/>
      </c>
    </row>
    <row r="400" spans="1:13">
      <c r="A400" t="str">
        <f>IF(AND('PO-Backlog2028'!B81&lt;&gt;"",'PO-Backlog2028'!E81&lt;&gt;""),'PO-Backlog2028'!E81,"")</f>
        <v/>
      </c>
      <c r="B400" t="str">
        <f>IF(AND('PO-Backlog2028'!B81&lt;&gt;"",'PO-Backlog2028'!E81&lt;&gt;""),'PO-Backlog2028'!B81,"")</f>
        <v/>
      </c>
      <c r="C400" t="str">
        <f>IF(AND('PO-Backlog2028'!B81&lt;&gt;"",'PO-Backlog2028'!E81&lt;&gt;""),'PO-Backlog2028'!C81,"")</f>
        <v/>
      </c>
      <c r="D400" t="str">
        <f>IF(AND('PO-Backlog2028'!B81&lt;&gt;"",'PO-Backlog2028'!E81&lt;&gt;""),'PO-Backlog2028'!D81,"")</f>
        <v/>
      </c>
      <c r="E400" t="str">
        <f>IF(AND('PO-Backlog2028'!B81&lt;&gt;"",'PO-Backlog2028'!E81&lt;&gt;""),'PO-Backlog2028'!H81,"")</f>
        <v/>
      </c>
      <c r="F400" t="str">
        <f>IF(AND('PO-Backlog2028'!B81&lt;&gt;"",'PO-Backlog2028'!E81&lt;&gt;""),'PO-Backlog2028'!F81,"")</f>
        <v/>
      </c>
      <c r="G400" t="str">
        <f>IF(AND('PO-Backlog2028'!B81&lt;&gt;"",'PO-Backlog2028'!E81&lt;&gt;""),'PO-Backlog2028'!G81,"")</f>
        <v/>
      </c>
      <c r="H400" t="str">
        <f>IF(AND('PO-Backlog2028'!B81&lt;&gt;"",'PO-Backlog2028'!E81&lt;&gt;""),"PO-Backlog2028","")</f>
        <v/>
      </c>
      <c r="I400" t="str">
        <f>IF(A400="Q12028",COUNTIF($A$2:$A400,"Q12028"),"")</f>
        <v/>
      </c>
      <c r="J400" t="str">
        <f>IF(A400="Q22028",COUNTIF($A$2:$A400,"Q22028"),"")</f>
        <v/>
      </c>
      <c r="K400" t="str">
        <f>IF(A400="Q32028",COUNTIF($A$2:$A400,"Q32028"),"")</f>
        <v/>
      </c>
      <c r="L400" t="str">
        <f>IF(A400="Q42028",COUNTIF($A$2:$A400,"Q42028"),"")</f>
        <v/>
      </c>
      <c r="M400" t="str">
        <f>IF(A400="Backlog",COUNTIF($A$2:$A400,"Backlog"),"")</f>
        <v/>
      </c>
    </row>
    <row r="401" spans="1:13">
      <c r="A401" t="str">
        <f>IF(AND('PO-Backlog2028'!B82&lt;&gt;"",'PO-Backlog2028'!E82&lt;&gt;""),'PO-Backlog2028'!E82,"")</f>
        <v/>
      </c>
      <c r="B401" t="str">
        <f>IF(AND('PO-Backlog2028'!B82&lt;&gt;"",'PO-Backlog2028'!E82&lt;&gt;""),'PO-Backlog2028'!B82,"")</f>
        <v/>
      </c>
      <c r="C401" t="str">
        <f>IF(AND('PO-Backlog2028'!B82&lt;&gt;"",'PO-Backlog2028'!E82&lt;&gt;""),'PO-Backlog2028'!C82,"")</f>
        <v/>
      </c>
      <c r="D401" t="str">
        <f>IF(AND('PO-Backlog2028'!B82&lt;&gt;"",'PO-Backlog2028'!E82&lt;&gt;""),'PO-Backlog2028'!D82,"")</f>
        <v/>
      </c>
      <c r="E401" t="str">
        <f>IF(AND('PO-Backlog2028'!B82&lt;&gt;"",'PO-Backlog2028'!E82&lt;&gt;""),'PO-Backlog2028'!H82,"")</f>
        <v/>
      </c>
      <c r="F401" t="str">
        <f>IF(AND('PO-Backlog2028'!B82&lt;&gt;"",'PO-Backlog2028'!E82&lt;&gt;""),'PO-Backlog2028'!F82,"")</f>
        <v/>
      </c>
      <c r="G401" t="str">
        <f>IF(AND('PO-Backlog2028'!B82&lt;&gt;"",'PO-Backlog2028'!E82&lt;&gt;""),'PO-Backlog2028'!G82,"")</f>
        <v/>
      </c>
      <c r="H401" t="str">
        <f>IF(AND('PO-Backlog2028'!B82&lt;&gt;"",'PO-Backlog2028'!E82&lt;&gt;""),"PO-Backlog2028","")</f>
        <v/>
      </c>
      <c r="I401" t="str">
        <f>IF(A401="Q12028",COUNTIF($A$2:$A401,"Q12028"),"")</f>
        <v/>
      </c>
      <c r="J401" t="str">
        <f>IF(A401="Q22028",COUNTIF($A$2:$A401,"Q22028"),"")</f>
        <v/>
      </c>
      <c r="K401" t="str">
        <f>IF(A401="Q32028",COUNTIF($A$2:$A401,"Q32028"),"")</f>
        <v/>
      </c>
      <c r="L401" t="str">
        <f>IF(A401="Q42028",COUNTIF($A$2:$A401,"Q42028"),"")</f>
        <v/>
      </c>
      <c r="M401" t="str">
        <f>IF(A401="Backlog",COUNTIF($A$2:$A401,"Backlog"),"")</f>
        <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59DB1784CA920B4EA2B999A0816EF708" ma:contentTypeVersion="23" ma:contentTypeDescription="Ein neues Dokument erstellen." ma:contentTypeScope="" ma:versionID="5e1e971d89984790cff9450806449ab3">
  <xsd:schema xmlns:xsd="http://www.w3.org/2001/XMLSchema" xmlns:xs="http://www.w3.org/2001/XMLSchema" xmlns:p="http://schemas.microsoft.com/office/2006/metadata/properties" xmlns:ns2="83a05034-ad27-4108-80b7-2495d26d6061" xmlns:ns3="f7fadde1-4617-4b09-8573-621c4b252e1e" targetNamespace="http://schemas.microsoft.com/office/2006/metadata/properties" ma:root="true" ma:fieldsID="2c8e8518f0868bc80f9504547afda60f" ns2:_="" ns3:_="">
    <xsd:import namespace="83a05034-ad27-4108-80b7-2495d26d6061"/>
    <xsd:import namespace="f7fadde1-4617-4b09-8573-621c4b252e1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2:PrimeClassificationStatus" minOccurs="0"/>
                <xsd:element ref="ns2:PrimeClassificationStatusDetails" minOccurs="0"/>
                <xsd:element ref="ns2:PrimeLastClassified" minOccurs="0"/>
                <xsd:element ref="ns2:PrimeCorrectedByUser" minOccurs="0"/>
                <xsd:element ref="ns3:Quarta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a05034-ad27-4108-80b7-2495d26d6061"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20" nillable="true" ma:displayName="Taxonomy Catch All Column" ma:hidden="true" ma:list="{f8f564ba-4129-44b4-9a65-fe4d0a7103bf}" ma:internalName="TaxCatchAll" ma:showField="CatchAllData" ma:web="83a05034-ad27-4108-80b7-2495d26d6061">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3" nillable="true" ma:displayName="Verarbeitungsstatus" ma:internalName="PrimeClassificationStatus">
      <xsd:simpleType>
        <xsd:restriction base="dms:Text"/>
      </xsd:simpleType>
    </xsd:element>
    <xsd:element name="PrimeClassificationStatusDetails" ma:index="24" nillable="true" ma:displayName="Verarbeitungsdetails" ma:internalName="PrimeClassificationStatusDetails">
      <xsd:simpleType>
        <xsd:restriction base="dms:Note">
          <xsd:maxLength value="255"/>
        </xsd:restriction>
      </xsd:simpleType>
    </xsd:element>
    <xsd:element name="PrimeLastClassified" ma:index="25" nillable="true" ma:displayName="Verarbeitet" ma:internalName="PrimeLastClassified">
      <xsd:simpleType>
        <xsd:restriction base="dms:DateTime"/>
      </xsd:simpleType>
    </xsd:element>
    <xsd:element name="PrimeCorrectedByUser" ma:index="26" nillable="true" ma:displayName="Korrigiert" ma:internalName="PrimeCorrectedByUser">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f7fadde1-4617-4b09-8573-621c4b252e1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21f5c2dd-7081-44e7-86f9-96069a94ab7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Quartal" ma:index="27" nillable="true" ma:displayName="Quartal" ma:internalName="Quartal">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imeCorrectedByUser xmlns="83a05034-ad27-4108-80b7-2495d26d6061" xsi:nil="true"/>
    <lcf76f155ced4ddcb4097134ff3c332f xmlns="f7fadde1-4617-4b09-8573-621c4b252e1e">
      <Terms xmlns="http://schemas.microsoft.com/office/infopath/2007/PartnerControls"/>
    </lcf76f155ced4ddcb4097134ff3c332f>
    <PrimeClassificationStatusDetails xmlns="83a05034-ad27-4108-80b7-2495d26d6061" xsi:nil="true"/>
    <TaxCatchAll xmlns="83a05034-ad27-4108-80b7-2495d26d6061" xsi:nil="true"/>
    <PrimeClassificationStatus xmlns="83a05034-ad27-4108-80b7-2495d26d6061" xsi:nil="true"/>
    <Quartal xmlns="f7fadde1-4617-4b09-8573-621c4b252e1e" xsi:nil="true"/>
    <PrimeLastClassified xmlns="83a05034-ad27-4108-80b7-2495d26d6061" xsi:nil="true"/>
  </documentManagement>
</p:properties>
</file>

<file path=customXml/itemProps1.xml><?xml version="1.0" encoding="utf-8"?>
<ds:datastoreItem xmlns:ds="http://schemas.openxmlformats.org/officeDocument/2006/customXml" ds:itemID="{BA7A1FC0-8C46-477D-BC0F-74ED5D00C1E0}"/>
</file>

<file path=customXml/itemProps2.xml><?xml version="1.0" encoding="utf-8"?>
<ds:datastoreItem xmlns:ds="http://schemas.openxmlformats.org/officeDocument/2006/customXml" ds:itemID="{80BBC90B-A262-4E94-8973-0ECFB4E973B4}"/>
</file>

<file path=customXml/itemProps3.xml><?xml version="1.0" encoding="utf-8"?>
<ds:datastoreItem xmlns:ds="http://schemas.openxmlformats.org/officeDocument/2006/customXml" ds:itemID="{D570F547-89D9-4038-B803-03B5428B08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Marc-Oliver Westphal</cp:lastModifiedBy>
  <cp:revision>1</cp:revision>
  <dcterms:created xsi:type="dcterms:W3CDTF">2026-03-20T11:17:02Z</dcterms:created>
  <dcterms:modified xsi:type="dcterms:W3CDTF">2026-06-22T13:15:48Z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0x01010059DB1784CA920B4EA2B999A0816EF708</vt:lpwstr>
  </property>
  <property fmtid="{D5CDD505-2E9C-101B-9397-08002B2CF9AE}" pid="3" name="MediaServiceImageTags">
    <vt:lpwstr/>
  </property>
</Properties>
</file>